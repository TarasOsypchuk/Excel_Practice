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51-Challenge_BuildAnAmortizationSchedule\"/>
    </mc:Choice>
  </mc:AlternateContent>
  <xr:revisionPtr revIDLastSave="0" documentId="13_ncr:1_{867A4F10-EFBD-4DB5-AE7B-AE5F159B99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llenge" sheetId="1" r:id="rId1"/>
    <sheet name="AmortizationSchedule" sheetId="2" r:id="rId2"/>
  </sheets>
  <definedNames>
    <definedName name="Amount_Financed">AmortizationSchedule!$D$6</definedName>
    <definedName name="Down_Payment">AmortizationSchedule!$D$5</definedName>
    <definedName name="Interest_Rate">AmortizationSchedule!$D$7</definedName>
    <definedName name="Loan_Date">AmortizationSchedule!$D$10</definedName>
    <definedName name="Monthly_Payment">AmortizationSchedule!$D$9</definedName>
    <definedName name="Purchase_Price">AmortizationSchedule!$D$4</definedName>
    <definedName name="Term">AmortizationSchedule!$D$8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IaDRIOWxWde4dvA4U9WtJKVods4bGe4CSI87eJDmGl0="/>
    </ext>
  </extLst>
</workbook>
</file>

<file path=xl/calcChain.xml><?xml version="1.0" encoding="utf-8"?>
<calcChain xmlns="http://schemas.openxmlformats.org/spreadsheetml/2006/main">
  <c r="E13" i="2" l="1"/>
  <c r="F13" i="2"/>
  <c r="D13" i="2"/>
  <c r="E16" i="2"/>
  <c r="F16" i="2" s="1"/>
  <c r="G16" i="2" s="1"/>
  <c r="G15" i="2"/>
  <c r="F15" i="2"/>
  <c r="E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5" i="2"/>
  <c r="C16" i="2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5" i="2"/>
  <c r="B15" i="2" a="1"/>
  <c r="B15" i="2" s="1"/>
  <c r="D5" i="2"/>
  <c r="D6" i="2" s="1"/>
  <c r="C14" i="2"/>
  <c r="E17" i="2" l="1"/>
  <c r="F17" i="2" s="1"/>
  <c r="G17" i="2" s="1"/>
  <c r="G14" i="2"/>
  <c r="D9" i="2"/>
  <c r="E18" i="2" l="1"/>
  <c r="F18" i="2" s="1"/>
  <c r="G18" i="2" s="1"/>
  <c r="E19" i="2" l="1"/>
  <c r="F19" i="2" s="1"/>
  <c r="G19" i="2"/>
  <c r="E20" i="2" l="1"/>
  <c r="F20" i="2" s="1"/>
  <c r="G20" i="2" s="1"/>
  <c r="G21" i="2" l="1"/>
  <c r="E21" i="2"/>
  <c r="F21" i="2" s="1"/>
  <c r="E22" i="2" l="1"/>
  <c r="F22" i="2" s="1"/>
  <c r="G22" i="2" s="1"/>
  <c r="E23" i="2" l="1"/>
  <c r="F23" i="2" s="1"/>
  <c r="G23" i="2" s="1"/>
  <c r="E24" i="2" l="1"/>
  <c r="F24" i="2" s="1"/>
  <c r="G24" i="2" s="1"/>
  <c r="E25" i="2" l="1"/>
  <c r="F25" i="2" s="1"/>
  <c r="G25" i="2" s="1"/>
  <c r="E26" i="2" l="1"/>
  <c r="F26" i="2" s="1"/>
  <c r="G26" i="2"/>
  <c r="E27" i="2" l="1"/>
  <c r="F27" i="2" s="1"/>
  <c r="G27" i="2" s="1"/>
  <c r="E28" i="2" l="1"/>
  <c r="F28" i="2" s="1"/>
  <c r="G28" i="2" s="1"/>
  <c r="E29" i="2" l="1"/>
  <c r="F29" i="2" s="1"/>
  <c r="G29" i="2" s="1"/>
  <c r="E30" i="2" l="1"/>
  <c r="F30" i="2" s="1"/>
  <c r="G30" i="2" s="1"/>
  <c r="E31" i="2" l="1"/>
  <c r="F31" i="2" s="1"/>
  <c r="G31" i="2"/>
  <c r="G32" i="2" l="1"/>
  <c r="E32" i="2"/>
  <c r="F32" i="2" s="1"/>
  <c r="E33" i="2" l="1"/>
  <c r="F33" i="2" s="1"/>
  <c r="G33" i="2"/>
  <c r="E34" i="2" l="1"/>
  <c r="F34" i="2" s="1"/>
  <c r="G34" i="2" s="1"/>
  <c r="E35" i="2" l="1"/>
  <c r="F35" i="2" s="1"/>
  <c r="G35" i="2" s="1"/>
  <c r="E36" i="2" l="1"/>
  <c r="F36" i="2" s="1"/>
  <c r="G36" i="2" s="1"/>
  <c r="G37" i="2" l="1"/>
  <c r="E37" i="2"/>
  <c r="F37" i="2" s="1"/>
  <c r="E38" i="2" l="1"/>
  <c r="F38" i="2" s="1"/>
  <c r="G38" i="2"/>
  <c r="E39" i="2" l="1"/>
  <c r="F39" i="2" s="1"/>
  <c r="G39" i="2"/>
  <c r="G40" i="2" l="1"/>
  <c r="E40" i="2"/>
  <c r="F40" i="2" s="1"/>
  <c r="E41" i="2" l="1"/>
  <c r="F41" i="2" s="1"/>
  <c r="G41" i="2" s="1"/>
  <c r="E42" i="2" l="1"/>
  <c r="F42" i="2" s="1"/>
  <c r="G42" i="2" s="1"/>
  <c r="E43" i="2" l="1"/>
  <c r="F43" i="2" s="1"/>
  <c r="G43" i="2" s="1"/>
  <c r="E44" i="2" l="1"/>
  <c r="F44" i="2" s="1"/>
  <c r="G44" i="2"/>
  <c r="G45" i="2" l="1"/>
  <c r="E45" i="2"/>
  <c r="F45" i="2" s="1"/>
  <c r="E46" i="2" l="1"/>
  <c r="F46" i="2" s="1"/>
  <c r="G46" i="2"/>
  <c r="E47" i="2" l="1"/>
  <c r="F47" i="2" s="1"/>
  <c r="G47" i="2"/>
  <c r="E48" i="2" l="1"/>
  <c r="F48" i="2" s="1"/>
  <c r="G48" i="2" s="1"/>
  <c r="E49" i="2" l="1"/>
  <c r="F49" i="2" s="1"/>
  <c r="G49" i="2"/>
  <c r="E50" i="2" l="1"/>
  <c r="F50" i="2" s="1"/>
  <c r="G50" i="2"/>
  <c r="E51" i="2" l="1"/>
  <c r="F51" i="2" s="1"/>
  <c r="G51" i="2" s="1"/>
  <c r="E52" i="2" l="1"/>
  <c r="F52" i="2" s="1"/>
  <c r="G52" i="2" s="1"/>
  <c r="E53" i="2" l="1"/>
  <c r="F53" i="2" s="1"/>
  <c r="G53" i="2" s="1"/>
  <c r="E54" i="2" l="1"/>
  <c r="F54" i="2" s="1"/>
  <c r="G54" i="2" s="1"/>
  <c r="E55" i="2" l="1"/>
  <c r="F55" i="2" s="1"/>
  <c r="G55" i="2" s="1"/>
  <c r="E56" i="2" l="1"/>
  <c r="F56" i="2" s="1"/>
  <c r="G56" i="2" s="1"/>
  <c r="E57" i="2" l="1"/>
  <c r="F57" i="2" s="1"/>
  <c r="G57" i="2" s="1"/>
  <c r="E58" i="2" l="1"/>
  <c r="F58" i="2" s="1"/>
  <c r="G58" i="2" s="1"/>
  <c r="E59" i="2" l="1"/>
  <c r="F59" i="2" s="1"/>
  <c r="G59" i="2"/>
  <c r="E60" i="2" l="1"/>
  <c r="F60" i="2" s="1"/>
  <c r="G60" i="2"/>
  <c r="E61" i="2" l="1"/>
  <c r="F61" i="2" s="1"/>
  <c r="G61" i="2" s="1"/>
  <c r="E62" i="2" l="1"/>
  <c r="F62" i="2" s="1"/>
  <c r="G62" i="2"/>
  <c r="E63" i="2" l="1"/>
  <c r="F63" i="2" s="1"/>
  <c r="G63" i="2"/>
  <c r="E64" i="2" l="1"/>
  <c r="F64" i="2" s="1"/>
  <c r="G64" i="2" s="1"/>
  <c r="E65" i="2" l="1"/>
  <c r="F65" i="2" s="1"/>
  <c r="G65" i="2"/>
  <c r="E66" i="2" l="1"/>
  <c r="F66" i="2" s="1"/>
  <c r="G66" i="2"/>
  <c r="E67" i="2" l="1"/>
  <c r="F67" i="2" s="1"/>
  <c r="G67" i="2"/>
  <c r="E68" i="2" l="1"/>
  <c r="F68" i="2" s="1"/>
  <c r="G68" i="2"/>
  <c r="E69" i="2" l="1"/>
  <c r="F69" i="2" s="1"/>
  <c r="G69" i="2" s="1"/>
  <c r="E70" i="2" l="1"/>
  <c r="F70" i="2" s="1"/>
  <c r="G70" i="2"/>
  <c r="E71" i="2" l="1"/>
  <c r="F71" i="2" s="1"/>
  <c r="G71" i="2" s="1"/>
  <c r="E72" i="2" l="1"/>
  <c r="F72" i="2" s="1"/>
  <c r="G72" i="2" s="1"/>
  <c r="E73" i="2" l="1"/>
  <c r="F73" i="2" s="1"/>
  <c r="G73" i="2"/>
  <c r="E74" i="2" l="1"/>
  <c r="F74" i="2" s="1"/>
  <c r="G74" i="2"/>
  <c r="E75" i="2" l="1"/>
  <c r="F75" i="2" s="1"/>
  <c r="G75" i="2"/>
  <c r="E76" i="2" l="1"/>
  <c r="F76" i="2" s="1"/>
  <c r="G76" i="2"/>
  <c r="G77" i="2" l="1"/>
  <c r="E77" i="2"/>
  <c r="F77" i="2" s="1"/>
  <c r="E78" i="2" l="1"/>
  <c r="F78" i="2" s="1"/>
  <c r="G78" i="2" s="1"/>
  <c r="E79" i="2" l="1"/>
  <c r="F79" i="2" s="1"/>
  <c r="G79" i="2" s="1"/>
  <c r="E80" i="2" l="1"/>
  <c r="F80" i="2" s="1"/>
  <c r="G80" i="2" s="1"/>
  <c r="E81" i="2" l="1"/>
  <c r="F81" i="2" s="1"/>
  <c r="G81" i="2" s="1"/>
  <c r="E82" i="2" l="1"/>
  <c r="F82" i="2" s="1"/>
  <c r="G82" i="2"/>
  <c r="E83" i="2" l="1"/>
  <c r="F83" i="2" s="1"/>
  <c r="G83" i="2" s="1"/>
  <c r="E84" i="2" l="1"/>
  <c r="F84" i="2" s="1"/>
  <c r="G84" i="2" s="1"/>
  <c r="G85" i="2" l="1"/>
  <c r="E85" i="2"/>
  <c r="F85" i="2" s="1"/>
  <c r="E86" i="2" l="1"/>
  <c r="F86" i="2" s="1"/>
  <c r="G86" i="2" s="1"/>
  <c r="E87" i="2" l="1"/>
  <c r="F87" i="2" s="1"/>
  <c r="G87" i="2"/>
  <c r="G88" i="2" l="1"/>
  <c r="E88" i="2"/>
  <c r="F88" i="2" s="1"/>
  <c r="E89" i="2" l="1"/>
  <c r="F89" i="2" s="1"/>
  <c r="G89" i="2" s="1"/>
  <c r="E90" i="2" l="1"/>
  <c r="F90" i="2" s="1"/>
  <c r="G90" i="2"/>
  <c r="E91" i="2" l="1"/>
  <c r="F91" i="2" s="1"/>
  <c r="G91" i="2"/>
  <c r="E92" i="2" l="1"/>
  <c r="F92" i="2" s="1"/>
  <c r="G92" i="2" s="1"/>
  <c r="E93" i="2" l="1"/>
  <c r="F93" i="2" s="1"/>
  <c r="G93" i="2" s="1"/>
  <c r="G94" i="2" l="1"/>
  <c r="E94" i="2"/>
  <c r="F94" i="2" s="1"/>
  <c r="E95" i="2" l="1"/>
  <c r="F95" i="2" s="1"/>
  <c r="G95" i="2" s="1"/>
  <c r="G96" i="2" l="1"/>
  <c r="E96" i="2"/>
  <c r="F96" i="2" s="1"/>
  <c r="E97" i="2" l="1"/>
  <c r="F97" i="2" s="1"/>
  <c r="G97" i="2" s="1"/>
  <c r="E98" i="2" l="1"/>
  <c r="F98" i="2" s="1"/>
  <c r="G98" i="2" s="1"/>
  <c r="E99" i="2" l="1"/>
  <c r="F99" i="2" s="1"/>
  <c r="G99" i="2" s="1"/>
  <c r="E100" i="2" l="1"/>
  <c r="F100" i="2" s="1"/>
  <c r="G100" i="2" s="1"/>
  <c r="E101" i="2" l="1"/>
  <c r="F101" i="2" s="1"/>
  <c r="G101" i="2"/>
  <c r="G102" i="2" l="1"/>
  <c r="E102" i="2"/>
  <c r="F102" i="2" s="1"/>
  <c r="E103" i="2" l="1"/>
  <c r="F103" i="2" s="1"/>
  <c r="G103" i="2" s="1"/>
  <c r="E104" i="2" l="1"/>
  <c r="F104" i="2" s="1"/>
  <c r="G104" i="2"/>
  <c r="E105" i="2" l="1"/>
  <c r="F105" i="2" s="1"/>
  <c r="G105" i="2" s="1"/>
  <c r="E106" i="2" l="1"/>
  <c r="F106" i="2" s="1"/>
  <c r="G106" i="2" s="1"/>
  <c r="E107" i="2" l="1"/>
  <c r="F107" i="2" s="1"/>
  <c r="G107" i="2" s="1"/>
  <c r="E108" i="2" l="1"/>
  <c r="F108" i="2" s="1"/>
  <c r="G108" i="2" s="1"/>
  <c r="E109" i="2" l="1"/>
  <c r="F109" i="2" s="1"/>
  <c r="G109" i="2"/>
  <c r="G110" i="2" l="1"/>
  <c r="E110" i="2"/>
  <c r="F110" i="2" s="1"/>
  <c r="E111" i="2" l="1"/>
  <c r="F111" i="2" s="1"/>
  <c r="G111" i="2" s="1"/>
  <c r="E112" i="2" l="1"/>
  <c r="F112" i="2" s="1"/>
  <c r="G112" i="2" s="1"/>
  <c r="E113" i="2" l="1"/>
  <c r="F113" i="2" s="1"/>
  <c r="G113" i="2" s="1"/>
  <c r="E114" i="2" l="1"/>
  <c r="F114" i="2" s="1"/>
  <c r="G114" i="2" s="1"/>
  <c r="E115" i="2" l="1"/>
  <c r="F115" i="2" s="1"/>
  <c r="G115" i="2" s="1"/>
  <c r="E116" i="2" l="1"/>
  <c r="F116" i="2" s="1"/>
  <c r="G116" i="2"/>
  <c r="E117" i="2" l="1"/>
  <c r="F117" i="2" s="1"/>
  <c r="G117" i="2" s="1"/>
  <c r="E118" i="2" l="1"/>
  <c r="F118" i="2" s="1"/>
  <c r="G118" i="2" s="1"/>
  <c r="E119" i="2" l="1"/>
  <c r="F119" i="2" s="1"/>
  <c r="G119" i="2" s="1"/>
  <c r="E120" i="2" l="1"/>
  <c r="F120" i="2" s="1"/>
  <c r="G120" i="2" s="1"/>
  <c r="E121" i="2" l="1"/>
  <c r="F121" i="2" s="1"/>
  <c r="G121" i="2" s="1"/>
  <c r="E122" i="2" l="1"/>
  <c r="F122" i="2" s="1"/>
  <c r="G122" i="2" s="1"/>
  <c r="E123" i="2" l="1"/>
  <c r="F123" i="2" s="1"/>
  <c r="G123" i="2" s="1"/>
  <c r="E124" i="2" l="1"/>
  <c r="F124" i="2" s="1"/>
  <c r="G124" i="2" s="1"/>
  <c r="E125" i="2" l="1"/>
  <c r="F125" i="2" s="1"/>
  <c r="G125" i="2" s="1"/>
  <c r="G126" i="2" l="1"/>
  <c r="E126" i="2"/>
  <c r="F126" i="2" s="1"/>
  <c r="E127" i="2" l="1"/>
  <c r="F127" i="2" s="1"/>
  <c r="G127" i="2" s="1"/>
  <c r="E128" i="2" l="1"/>
  <c r="F128" i="2" s="1"/>
  <c r="G128" i="2" s="1"/>
  <c r="E129" i="2" l="1"/>
  <c r="F129" i="2" s="1"/>
  <c r="G129" i="2" s="1"/>
  <c r="E130" i="2" l="1"/>
  <c r="F130" i="2" s="1"/>
  <c r="G130" i="2" s="1"/>
  <c r="G131" i="2" l="1"/>
  <c r="E131" i="2"/>
  <c r="F131" i="2" s="1"/>
  <c r="E132" i="2" l="1"/>
  <c r="F132" i="2" s="1"/>
  <c r="G132" i="2"/>
  <c r="E133" i="2" l="1"/>
  <c r="F133" i="2" s="1"/>
  <c r="G133" i="2" s="1"/>
  <c r="G134" i="2" l="1"/>
  <c r="E134" i="2"/>
  <c r="F13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<sst xmlns="http://schemas.openxmlformats.org/spreadsheetml/2006/main" count="29" uniqueCount="29">
  <si>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GoSkills Excel Challenge 51</t>
  </si>
  <si>
    <t>For this challenge, you'll take on these Excel missions:</t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</si>
  <si>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D5 to compute the Down Payment.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</si>
  <si>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D9 to compute the Monthly Payment. 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</si>
  <si>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enter the appropriate formula in cell B15 to calculate the Payment Numbers.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</si>
  <si>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C15 to determine the Next Payment Date.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</si>
  <si>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D15 to determine Main Payment Amount.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</si>
  <si>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E15 to determine the next Interest Amount.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</si>
  <si>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F15 to determine the next Principal Amount.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</si>
  <si>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G15 to determine the Balance Amount.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</si>
  <si>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D13 to compute the Total Payment Amount.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</si>
  <si>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E13 to compute the Total Interest Amount.</t>
    </r>
  </si>
  <si>
    <r>
      <rPr>
        <sz val="14"/>
        <color rgb="FF35373C"/>
        <rFont val="Inter"/>
      </rPr>
      <t xml:space="preserve">In the </t>
    </r>
    <r>
      <rPr>
        <b/>
        <sz val="14"/>
        <color rgb="FF35373C"/>
        <rFont val="Inter"/>
      </rPr>
      <t>AmortizationSchedule</t>
    </r>
    <r>
      <rPr>
        <sz val="14"/>
        <color rgb="FF35373C"/>
        <rFont val="Inter"/>
      </rPr>
      <t xml:space="preserve"> worksheet, input the correct formula in cell F13 to compute the Total  Principal Amount.</t>
    </r>
  </si>
  <si>
    <t>Simple Amortization Schedule</t>
  </si>
  <si>
    <t>Data Entry</t>
  </si>
  <si>
    <t>Purchase Price</t>
  </si>
  <si>
    <t>Down Payment (25%)</t>
  </si>
  <si>
    <t>Amount Financed</t>
  </si>
  <si>
    <t>Annual Interest Rate</t>
  </si>
  <si>
    <t>Term</t>
  </si>
  <si>
    <t>Monthly Payment</t>
  </si>
  <si>
    <t>Loan Date</t>
  </si>
  <si>
    <t>Payment Numbers</t>
  </si>
  <si>
    <t>Date</t>
  </si>
  <si>
    <t>Payment</t>
  </si>
  <si>
    <t>Interest</t>
  </si>
  <si>
    <t>Principal</t>
  </si>
  <si>
    <t>Balance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</si>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</sst>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\ &quot;years&quot;"/>
    <numFmt numFmtId="166" formatCode="[$-409]dd/mmm/yy"/>
  </numFmts>
  <fonts count="21">
    <font>
      <sz val="11"/>
      <color theme="1"/>
      <name val="Calibri"/>
      <scheme val="minor"/>
    </font>
    <font>
      <b/>
      <sz val="14"/>
      <color rgb="FFE63946"/>
      <name val="Roboto"/>
    </font>
    <font>
      <sz val="12"/>
      <color rgb="FF457B9D"/>
      <name val="Roboto"/>
    </font>
    <font>
      <b/>
      <sz val="25"/>
      <color rgb="FF35373C"/>
      <name val="Arial"/>
      <family val="2"/>
      <charset val="204"/>
    </font>
    <font>
      <b/>
      <sz val="15"/>
      <color rgb="FF35373C"/>
      <name val="Inter"/>
    </font>
    <font>
      <b/>
      <sz val="13"/>
      <color rgb="FF35373C"/>
      <name val="Inter"/>
    </font>
    <font>
      <sz val="15"/>
      <color rgb="FF35373C"/>
      <name val="Roboto"/>
    </font>
    <font>
      <sz val="14"/>
      <color rgb="FF35373C"/>
      <name val="Inter"/>
    </font>
    <font>
      <sz val="12"/>
      <color rgb="FF35373C"/>
      <name val="Roboto"/>
    </font>
    <font>
      <sz val="11"/>
      <color rgb="FF1D1E20"/>
      <name val="Times New Roman"/>
      <family val="1"/>
      <charset val="204"/>
    </font>
    <font>
      <sz val="11"/>
      <color theme="1"/>
      <name val="Roboto"/>
    </font>
    <font>
      <b/>
      <sz val="16"/>
      <color rgb="FF1D3557"/>
      <name val="Roboto"/>
    </font>
    <font>
      <sz val="11"/>
      <name val="Calibri"/>
      <family val="2"/>
      <charset val="204"/>
    </font>
    <font>
      <b/>
      <sz val="14"/>
      <color rgb="FFFFFFFF"/>
      <name val="Roboto"/>
    </font>
    <font>
      <b/>
      <sz val="14"/>
      <color rgb="FF14425D"/>
      <name val="Roboto"/>
    </font>
    <font>
      <sz val="11"/>
      <color rgb="FF1D3557"/>
      <name val="Roboto"/>
    </font>
    <font>
      <b/>
      <sz val="11"/>
      <color rgb="FFFFFFFF"/>
      <name val="Roboto"/>
    </font>
    <font>
      <sz val="11"/>
      <color rgb="FFFFD823"/>
      <name val="Roboto"/>
    </font>
    <font>
      <b/>
      <sz val="11"/>
      <color rgb="FFFFD823"/>
      <name val="Roboto"/>
    </font>
    <font>
      <b/>
      <sz val="11"/>
      <color rgb="FF1D3557"/>
      <name val="Roboto"/>
    </font>
    <font>
      <b/>
      <sz val="14"/>
      <color rgb="FF35373C"/>
      <name val="Inter"/>
    </font>
  </fonts>
  <fills count="6">
    <fill>
      <patternFill patternType="none"/>
    </fill>
    <fill>
      <patternFill patternType="gray125"/>
    </fill>
    <fill>
      <patternFill patternType="solid">
        <fgColor rgb="FFDFD7E7"/>
        <bgColor rgb="FFDFD7E7"/>
      </patternFill>
    </fill>
    <fill>
      <patternFill patternType="solid">
        <fgColor rgb="FFFFD823"/>
        <bgColor rgb="FFFFD823"/>
      </patternFill>
    </fill>
    <fill>
      <patternFill patternType="solid">
        <fgColor rgb="FF4F4C3A"/>
        <bgColor rgb="FF4F4C3A"/>
      </patternFill>
    </fill>
    <fill>
      <patternFill patternType="solid">
        <fgColor rgb="FF424C55"/>
        <bgColor rgb="FF424C55"/>
      </patternFill>
    </fill>
  </fills>
  <borders count="30">
    <border>
      <left/>
      <right/>
      <top/>
      <bottom/>
      <diagonal/>
    </border>
    <border>
      <left style="medium">
        <color rgb="FF35373C"/>
      </left>
      <right/>
      <top style="medium">
        <color rgb="FF35373C"/>
      </top>
      <bottom/>
      <diagonal/>
    </border>
    <border>
      <left/>
      <right/>
      <top style="medium">
        <color rgb="FF35373C"/>
      </top>
      <bottom/>
      <diagonal/>
    </border>
    <border>
      <left/>
      <right style="medium">
        <color rgb="FF35373C"/>
      </right>
      <top style="medium">
        <color rgb="FF35373C"/>
      </top>
      <bottom/>
      <diagonal/>
    </border>
    <border>
      <left style="medium">
        <color rgb="FF35373C"/>
      </left>
      <right/>
      <top/>
      <bottom/>
      <diagonal/>
    </border>
    <border>
      <left/>
      <right style="medium">
        <color rgb="FF35373C"/>
      </right>
      <top/>
      <bottom/>
      <diagonal/>
    </border>
    <border>
      <left style="medium">
        <color rgb="FF35373C"/>
      </left>
      <right/>
      <top/>
      <bottom style="medium">
        <color rgb="FF35373C"/>
      </bottom>
      <diagonal/>
    </border>
    <border>
      <left/>
      <right/>
      <top/>
      <bottom style="medium">
        <color rgb="FF35373C"/>
      </bottom>
      <diagonal/>
    </border>
    <border>
      <left/>
      <right style="medium">
        <color rgb="FF35373C"/>
      </right>
      <top/>
      <bottom style="medium">
        <color rgb="FF35373C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double">
        <color theme="1"/>
      </right>
      <top style="double">
        <color theme="1"/>
      </top>
      <bottom style="double">
        <color rgb="FF000000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rgb="FF000000"/>
      </bottom>
      <diagonal/>
    </border>
    <border>
      <left style="double">
        <color theme="1"/>
      </left>
      <right style="thick">
        <color theme="1"/>
      </right>
      <top style="double">
        <color theme="1"/>
      </top>
      <bottom style="double">
        <color rgb="FF000000"/>
      </bottom>
      <diagonal/>
    </border>
    <border>
      <left style="thick">
        <color theme="1"/>
      </left>
      <right style="double">
        <color theme="1"/>
      </right>
      <top style="double">
        <color rgb="FF000000"/>
      </top>
      <bottom style="double">
        <color rgb="FF000000"/>
      </bottom>
      <diagonal/>
    </border>
    <border>
      <left style="double">
        <color theme="1"/>
      </left>
      <right style="double">
        <color theme="1"/>
      </right>
      <top style="double">
        <color rgb="FF000000"/>
      </top>
      <bottom style="double">
        <color rgb="FF000000"/>
      </bottom>
      <diagonal/>
    </border>
    <border>
      <left style="double">
        <color theme="1"/>
      </left>
      <right style="thick">
        <color theme="1"/>
      </right>
      <top style="double">
        <color rgb="FF000000"/>
      </top>
      <bottom style="double">
        <color rgb="FF000000"/>
      </bottom>
      <diagonal/>
    </border>
    <border>
      <left style="thick">
        <color theme="1"/>
      </left>
      <right style="double">
        <color theme="0"/>
      </right>
      <top style="thick">
        <color theme="1"/>
      </top>
      <bottom style="thick">
        <color theme="0"/>
      </bottom>
      <diagonal/>
    </border>
    <border>
      <left style="double">
        <color theme="0"/>
      </left>
      <right style="double">
        <color theme="0"/>
      </right>
      <top style="thick">
        <color theme="1"/>
      </top>
      <bottom style="thick">
        <color theme="0"/>
      </bottom>
      <diagonal/>
    </border>
    <border>
      <left style="double">
        <color theme="0"/>
      </left>
      <right style="thick">
        <color theme="1"/>
      </right>
      <top style="thick">
        <color theme="1"/>
      </top>
      <bottom style="thick">
        <color theme="0"/>
      </bottom>
      <diagonal/>
    </border>
    <border>
      <left style="thick">
        <color theme="1"/>
      </left>
      <right style="double">
        <color theme="0"/>
      </right>
      <top style="thick">
        <color theme="0"/>
      </top>
      <bottom style="thick">
        <color theme="1"/>
      </bottom>
      <diagonal/>
    </border>
    <border>
      <left style="double">
        <color theme="0"/>
      </left>
      <right style="double">
        <color theme="0"/>
      </right>
      <top style="thick">
        <color theme="0"/>
      </top>
      <bottom style="thick">
        <color theme="1"/>
      </bottom>
      <diagonal/>
    </border>
    <border>
      <left style="double">
        <color theme="0"/>
      </left>
      <right style="thick">
        <color theme="1"/>
      </right>
      <top style="thick">
        <color theme="0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2" borderId="9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 wrapText="1"/>
    </xf>
    <xf numFmtId="164" fontId="15" fillId="2" borderId="18" xfId="0" applyNumberFormat="1" applyFont="1" applyFill="1" applyBorder="1" applyAlignment="1">
      <alignment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center" vertical="center" wrapText="1"/>
    </xf>
    <xf numFmtId="164" fontId="15" fillId="2" borderId="21" xfId="0" applyNumberFormat="1" applyFont="1" applyFill="1" applyBorder="1" applyAlignment="1">
      <alignment vertical="center" wrapText="1"/>
    </xf>
    <xf numFmtId="0" fontId="15" fillId="2" borderId="19" xfId="0" applyFont="1" applyFill="1" applyBorder="1" applyAlignment="1">
      <alignment vertical="center" wrapText="1"/>
    </xf>
    <xf numFmtId="0" fontId="10" fillId="2" borderId="20" xfId="0" applyFont="1" applyFill="1" applyBorder="1" applyAlignment="1">
      <alignment vertical="center" wrapText="1"/>
    </xf>
    <xf numFmtId="10" fontId="15" fillId="2" borderId="21" xfId="0" applyNumberFormat="1" applyFont="1" applyFill="1" applyBorder="1" applyAlignment="1">
      <alignment vertical="center" wrapText="1"/>
    </xf>
    <xf numFmtId="165" fontId="15" fillId="2" borderId="21" xfId="0" applyNumberFormat="1" applyFont="1" applyFill="1" applyBorder="1" applyAlignment="1">
      <alignment vertical="center" wrapText="1"/>
    </xf>
    <xf numFmtId="0" fontId="10" fillId="2" borderId="9" xfId="0" applyFont="1" applyFill="1" applyBorder="1"/>
    <xf numFmtId="166" fontId="15" fillId="2" borderId="21" xfId="0" applyNumberFormat="1" applyFont="1" applyFill="1" applyBorder="1" applyAlignment="1">
      <alignment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vertical="center" wrapText="1"/>
    </xf>
    <xf numFmtId="0" fontId="18" fillId="5" borderId="26" xfId="0" applyFont="1" applyFill="1" applyBorder="1" applyAlignment="1">
      <alignment horizontal="right" vertical="center" wrapText="1"/>
    </xf>
    <xf numFmtId="164" fontId="18" fillId="5" borderId="26" xfId="0" applyNumberFormat="1" applyFont="1" applyFill="1" applyBorder="1" applyAlignment="1">
      <alignment horizontal="right" vertical="center" wrapText="1"/>
    </xf>
    <xf numFmtId="0" fontId="17" fillId="5" borderId="27" xfId="0" applyFont="1" applyFill="1" applyBorder="1" applyAlignment="1">
      <alignment vertical="center" wrapText="1"/>
    </xf>
    <xf numFmtId="0" fontId="10" fillId="2" borderId="28" xfId="0" applyFont="1" applyFill="1" applyBorder="1" applyAlignment="1">
      <alignment vertical="center" wrapText="1"/>
    </xf>
    <xf numFmtId="166" fontId="19" fillId="2" borderId="28" xfId="0" applyNumberFormat="1" applyFont="1" applyFill="1" applyBorder="1" applyAlignment="1">
      <alignment vertical="center" wrapText="1"/>
    </xf>
    <xf numFmtId="164" fontId="10" fillId="2" borderId="28" xfId="0" applyNumberFormat="1" applyFont="1" applyFill="1" applyBorder="1" applyAlignment="1">
      <alignment vertical="center" wrapText="1"/>
    </xf>
    <xf numFmtId="164" fontId="19" fillId="2" borderId="28" xfId="0" applyNumberFormat="1" applyFont="1" applyFill="1" applyBorder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166" fontId="15" fillId="2" borderId="29" xfId="0" applyNumberFormat="1" applyFont="1" applyFill="1" applyBorder="1" applyAlignment="1">
      <alignment horizontal="right" vertical="center" wrapText="1"/>
    </xf>
    <xf numFmtId="164" fontId="15" fillId="2" borderId="29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11" fillId="3" borderId="10" xfId="0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2" xfId="0" applyFont="1" applyBorder="1"/>
    <xf numFmtId="0" fontId="13" fillId="4" borderId="13" xfId="0" applyFont="1" applyFill="1" applyBorder="1" applyAlignment="1">
      <alignment horizontal="center" vertical="center" wrapText="1"/>
    </xf>
    <xf numFmtId="0" fontId="12" fillId="0" borderId="14" xfId="0" applyFont="1" applyBorder="1"/>
    <xf numFmtId="0" fontId="1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1</xdr:row>
      <xdr:rowOff>0</xdr:rowOff>
    </xdr:from>
    <xdr:ext cx="2524125" cy="447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304800" cy="304800"/>
    <xdr:sp macro="" textlink="">
      <xdr:nvSpPr>
        <xdr:cNvPr id="3" name="Shape 3" descr="Purchasing free ico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428625</xdr:colOff>
      <xdr:row>5</xdr:row>
      <xdr:rowOff>28575</xdr:rowOff>
    </xdr:from>
    <xdr:ext cx="342900" cy="342900"/>
    <xdr:pic>
      <xdr:nvPicPr>
        <xdr:cNvPr id="2" name="image4.png" descr="Stress, business;tax, money, problem, debt, payment icon - Downloa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5</xdr:row>
      <xdr:rowOff>438150</xdr:rowOff>
    </xdr:from>
    <xdr:ext cx="361950" cy="361950"/>
    <xdr:pic>
      <xdr:nvPicPr>
        <xdr:cNvPr id="4" name="image7.png" descr="Calculation, calculator, annual, interest, rate, percentage, apr icon - Download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6</xdr:row>
      <xdr:rowOff>419100</xdr:rowOff>
    </xdr:from>
    <xdr:ext cx="390525" cy="390525"/>
    <xdr:pic>
      <xdr:nvPicPr>
        <xdr:cNvPr id="5" name="image3.png" descr="Business, loan, money, term icon - Download on Iconfinde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3</xdr:row>
      <xdr:rowOff>19050</xdr:rowOff>
    </xdr:from>
    <xdr:ext cx="342900" cy="342900"/>
    <xdr:pic>
      <xdr:nvPicPr>
        <xdr:cNvPr id="6" name="image8.png" descr="Shop, money, cart, trolley, buy, price, purchase icon - Download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438150" cy="438150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438150" cy="43815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438150" cy="43815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2CAB5"/>
    <pageSetUpPr fitToPage="1"/>
  </sheetPr>
  <dimension ref="A1:Z1000"/>
  <sheetViews>
    <sheetView showGridLines="0" workbookViewId="0">
      <selection activeCell="B11" sqref="B11"/>
    </sheetView>
  </sheetViews>
  <sheetFormatPr defaultColWidth="14.42578125" defaultRowHeight="15" customHeight="1"/>
  <cols>
    <col min="1" max="1" width="8.7109375" customWidth="1"/>
    <col min="2" max="2" width="12.85546875" customWidth="1"/>
    <col min="3" max="3" width="4.28515625" customWidth="1"/>
    <col min="4" max="12" width="8.7109375" customWidth="1"/>
    <col min="13" max="13" width="85.5703125" customWidth="1"/>
    <col min="14" max="26" width="8.7109375" customWidth="1"/>
  </cols>
  <sheetData>
    <row r="1" spans="1:26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.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>
      <c r="A5" s="2"/>
      <c r="B5" s="46" t="s">
        <v>0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3"/>
      <c r="Y5" s="2"/>
      <c r="Z5" s="2"/>
    </row>
    <row r="6" spans="1:26" ht="19.5" customHeight="1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3"/>
      <c r="Y6" s="2"/>
      <c r="Z6" s="2"/>
    </row>
    <row r="7" spans="1:26" ht="19.5" customHeight="1">
      <c r="A7" s="2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3"/>
      <c r="Y7" s="2"/>
      <c r="Z7" s="2"/>
    </row>
    <row r="8" spans="1:26" ht="24.75" customHeight="1">
      <c r="A8" s="2"/>
      <c r="B8" s="4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2"/>
      <c r="Z8" s="2"/>
    </row>
    <row r="9" spans="1:26" ht="19.5" customHeight="1">
      <c r="A9" s="2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2"/>
      <c r="Z9" s="2"/>
    </row>
    <row r="10" spans="1:26" ht="19.5" customHeight="1">
      <c r="A10" s="2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4.75" customHeight="1">
      <c r="A11" s="2"/>
      <c r="B11" s="9" t="b">
        <v>0</v>
      </c>
      <c r="C11" s="10" t="s">
        <v>2</v>
      </c>
      <c r="D11" s="2"/>
      <c r="E11" s="11"/>
      <c r="F11" s="11"/>
      <c r="G11" s="11"/>
      <c r="H11" s="11"/>
      <c r="I11" s="11"/>
      <c r="J11" s="11"/>
      <c r="K11" s="11"/>
      <c r="L11" s="11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4.75" customHeight="1">
      <c r="A12" s="2"/>
      <c r="B12" s="9" t="b">
        <v>0</v>
      </c>
      <c r="C12" s="10" t="s">
        <v>3</v>
      </c>
      <c r="D12" s="11"/>
      <c r="E12" s="11"/>
      <c r="F12" s="11"/>
      <c r="G12" s="11"/>
      <c r="H12" s="11"/>
      <c r="I12" s="11"/>
      <c r="J12" s="11"/>
      <c r="K12" s="11"/>
      <c r="L12" s="11"/>
      <c r="M12" s="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.75" customHeight="1">
      <c r="A13" s="2"/>
      <c r="B13" s="9" t="b">
        <v>0</v>
      </c>
      <c r="C13" s="10" t="s">
        <v>4</v>
      </c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.75" customHeight="1">
      <c r="A14" s="2"/>
      <c r="B14" s="9" t="b">
        <v>0</v>
      </c>
      <c r="C14" s="10" t="s">
        <v>5</v>
      </c>
      <c r="D14" s="11"/>
      <c r="E14" s="11"/>
      <c r="F14" s="11"/>
      <c r="G14" s="11"/>
      <c r="H14" s="11"/>
      <c r="I14" s="11"/>
      <c r="J14" s="11"/>
      <c r="K14" s="11"/>
      <c r="L14" s="11"/>
      <c r="M14" s="1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>
      <c r="A15" s="2"/>
      <c r="B15" s="9" t="b">
        <v>0</v>
      </c>
      <c r="C15" s="10" t="s">
        <v>6</v>
      </c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.75" customHeight="1">
      <c r="A16" s="2"/>
      <c r="B16" s="9" t="b">
        <v>0</v>
      </c>
      <c r="C16" s="10" t="s">
        <v>7</v>
      </c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.75" customHeight="1">
      <c r="A17" s="2"/>
      <c r="B17" s="9" t="b">
        <v>0</v>
      </c>
      <c r="C17" s="10" t="s">
        <v>8</v>
      </c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.75" customHeight="1">
      <c r="A18" s="2"/>
      <c r="B18" s="9" t="b">
        <v>0</v>
      </c>
      <c r="C18" s="10" t="s">
        <v>9</v>
      </c>
      <c r="D18" s="11"/>
      <c r="E18" s="11"/>
      <c r="F18" s="11"/>
      <c r="G18" s="11"/>
      <c r="H18" s="11"/>
      <c r="I18" s="11"/>
      <c r="J18" s="11"/>
      <c r="K18" s="11"/>
      <c r="L18" s="11"/>
      <c r="M18" s="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>
      <c r="A19" s="2"/>
      <c r="B19" s="9" t="b">
        <v>0</v>
      </c>
      <c r="C19" s="10" t="s">
        <v>10</v>
      </c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4.75" customHeight="1">
      <c r="A20" s="2"/>
      <c r="B20" s="9" t="b">
        <v>0</v>
      </c>
      <c r="C20" s="10" t="s">
        <v>11</v>
      </c>
      <c r="D20" s="11"/>
      <c r="E20" s="11"/>
      <c r="F20" s="11"/>
      <c r="G20" s="11"/>
      <c r="H20" s="11"/>
      <c r="I20" s="11"/>
      <c r="J20" s="11"/>
      <c r="K20" s="11"/>
      <c r="L20" s="11"/>
      <c r="M20" s="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4.75" customHeight="1">
      <c r="A21" s="2"/>
      <c r="B21" s="9" t="b">
        <v>0</v>
      </c>
      <c r="C21" s="10" t="s">
        <v>12</v>
      </c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>
      <c r="A22" s="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>
      <c r="A26" s="2"/>
      <c r="B26" s="2"/>
      <c r="C26" s="2"/>
      <c r="D26" s="2"/>
      <c r="E26" s="2"/>
      <c r="F26" s="2"/>
      <c r="G26" s="17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5:W7"/>
  </mergeCells>
  <printOptions horizontalCentered="1"/>
  <pageMargins left="0.25" right="0.25" top="0.75" bottom="0.25" header="0" footer="0"/>
  <pageSetup paperSize="9" orientation="landscape"/>
  <headerFooter>
    <oddHeader>&amp;CExcel Challenge #47 Rules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58958"/>
  </sheetPr>
  <dimension ref="A1:Z1000"/>
  <sheetViews>
    <sheetView showGridLines="0" tabSelected="1" workbookViewId="0">
      <pane ySplit="3" topLeftCell="A4" activePane="bottomLeft" state="frozen"/>
      <selection pane="bottomLeft" activeCell="L6" sqref="L6"/>
    </sheetView>
  </sheetViews>
  <sheetFormatPr defaultColWidth="14.42578125" defaultRowHeight="15" customHeight="1"/>
  <cols>
    <col min="1" max="1" width="2.7109375" customWidth="1"/>
    <col min="2" max="2" width="19.85546875" customWidth="1"/>
    <col min="3" max="7" width="15.7109375" customWidth="1"/>
    <col min="8" max="26" width="8.7109375" customWidth="1"/>
  </cols>
  <sheetData>
    <row r="1" spans="1:26" ht="21" customHeight="1">
      <c r="A1" s="18"/>
      <c r="B1" s="48" t="s">
        <v>13</v>
      </c>
      <c r="C1" s="49"/>
      <c r="D1" s="49"/>
      <c r="E1" s="49"/>
      <c r="F1" s="49"/>
      <c r="G1" s="50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6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6.5" customHeight="1">
      <c r="A3" s="18"/>
      <c r="B3" s="51" t="s">
        <v>14</v>
      </c>
      <c r="C3" s="52"/>
      <c r="D3" s="53"/>
      <c r="E3" s="19"/>
      <c r="F3" s="19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34.5" customHeight="1">
      <c r="A4" s="18"/>
      <c r="B4" s="20" t="s">
        <v>15</v>
      </c>
      <c r="C4" s="21"/>
      <c r="D4" s="22">
        <v>555555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34.5" customHeight="1">
      <c r="A5" s="18"/>
      <c r="B5" s="23" t="s">
        <v>16</v>
      </c>
      <c r="C5" s="24"/>
      <c r="D5" s="25">
        <f>Purchase_Price*0.25</f>
        <v>138888.75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34.5" customHeight="1">
      <c r="A6" s="18"/>
      <c r="B6" s="23" t="s">
        <v>17</v>
      </c>
      <c r="C6" s="24"/>
      <c r="D6" s="25">
        <f>Purchase_Price-Down_Payment</f>
        <v>416666.25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4.5" customHeight="1">
      <c r="A7" s="18"/>
      <c r="B7" s="26" t="s">
        <v>18</v>
      </c>
      <c r="C7" s="27"/>
      <c r="D7" s="28">
        <v>0.1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34.5" customHeight="1">
      <c r="A8" s="18"/>
      <c r="B8" s="26" t="s">
        <v>19</v>
      </c>
      <c r="C8" s="27"/>
      <c r="D8" s="29">
        <v>10</v>
      </c>
      <c r="E8" s="18"/>
      <c r="F8" s="18"/>
      <c r="G8" s="30"/>
      <c r="H8" s="30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34.5" customHeight="1">
      <c r="A9" s="18"/>
      <c r="B9" s="26" t="s">
        <v>20</v>
      </c>
      <c r="C9" s="24"/>
      <c r="D9" s="25">
        <f>PMT(Interest_Rate/12,Term*12,Amount_Financed)*(-1)</f>
        <v>5506.2751971260323</v>
      </c>
      <c r="E9" s="18"/>
      <c r="F9" s="30"/>
      <c r="G9" s="3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34.5" customHeight="1">
      <c r="A10" s="18"/>
      <c r="B10" s="26" t="s">
        <v>21</v>
      </c>
      <c r="C10" s="24"/>
      <c r="D10" s="31">
        <v>45658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6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1" customHeight="1">
      <c r="A12" s="18"/>
      <c r="B12" s="32" t="s">
        <v>22</v>
      </c>
      <c r="C12" s="33" t="s">
        <v>23</v>
      </c>
      <c r="D12" s="33" t="s">
        <v>24</v>
      </c>
      <c r="E12" s="33" t="s">
        <v>25</v>
      </c>
      <c r="F12" s="33" t="s">
        <v>26</v>
      </c>
      <c r="G12" s="34" t="s">
        <v>27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6.5" customHeight="1" thickTop="1" thickBot="1">
      <c r="A13" s="18"/>
      <c r="B13" s="35"/>
      <c r="C13" s="36" t="s">
        <v>28</v>
      </c>
      <c r="D13" s="37">
        <f>SUM(D15:D134)</f>
        <v>660753.02365512506</v>
      </c>
      <c r="E13" s="37">
        <f t="shared" ref="E13:F13" si="0">SUM(E15:E134)</f>
        <v>244086.77365512378</v>
      </c>
      <c r="F13" s="37">
        <f t="shared" si="0"/>
        <v>416666.25000000012</v>
      </c>
      <c r="G13" s="3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6.5" customHeight="1" thickTop="1">
      <c r="A14" s="18"/>
      <c r="B14" s="39"/>
      <c r="C14" s="40">
        <f>Loan_Date</f>
        <v>45658</v>
      </c>
      <c r="D14" s="41"/>
      <c r="E14" s="41"/>
      <c r="F14" s="41"/>
      <c r="G14" s="42">
        <f>Amount_Financed</f>
        <v>416666.25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6.5" customHeight="1">
      <c r="A15" s="18"/>
      <c r="B15" s="43" cm="1">
        <f t="array" ref="B15:B134">_xlfn.SEQUENCE((Term*12),1,1)</f>
        <v>1</v>
      </c>
      <c r="C15" s="44">
        <f>EDATE(AmortizationSchedule!C14,1)</f>
        <v>45689</v>
      </c>
      <c r="D15" s="45">
        <f>Monthly_Payment</f>
        <v>5506.2751971260323</v>
      </c>
      <c r="E15" s="45">
        <f>G14*Interest_Rate/12</f>
        <v>3472.21875</v>
      </c>
      <c r="F15" s="45">
        <f>D15-E15</f>
        <v>2034.0564471260323</v>
      </c>
      <c r="G15" s="45">
        <f>G14-F15</f>
        <v>414632.19355287397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6.5" customHeight="1">
      <c r="A16" s="18"/>
      <c r="B16" s="43">
        <v>2</v>
      </c>
      <c r="C16" s="44">
        <f>EDATE(AmortizationSchedule!C15,1)</f>
        <v>45717</v>
      </c>
      <c r="D16" s="45">
        <f>Monthly_Payment</f>
        <v>5506.2751971260323</v>
      </c>
      <c r="E16" s="45">
        <f>G15*Interest_Rate/12</f>
        <v>3455.2682796072836</v>
      </c>
      <c r="F16" s="45">
        <f t="shared" ref="F16:F79" si="1">D16-E16</f>
        <v>2051.0069175187487</v>
      </c>
      <c r="G16" s="45">
        <f t="shared" ref="G16:G79" si="2">G15-F16</f>
        <v>412581.18663535523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6.5" customHeight="1">
      <c r="A17" s="18"/>
      <c r="B17" s="43">
        <v>3</v>
      </c>
      <c r="C17" s="44">
        <f>EDATE(AmortizationSchedule!C16,1)</f>
        <v>45748</v>
      </c>
      <c r="D17" s="45">
        <f>Monthly_Payment</f>
        <v>5506.2751971260323</v>
      </c>
      <c r="E17" s="45">
        <f>G16*Interest_Rate/12</f>
        <v>3438.1765552946272</v>
      </c>
      <c r="F17" s="45">
        <f t="shared" si="1"/>
        <v>2068.0986418314051</v>
      </c>
      <c r="G17" s="45">
        <f t="shared" si="2"/>
        <v>410513.0879935238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6.5" customHeight="1">
      <c r="A18" s="18"/>
      <c r="B18" s="43">
        <v>4</v>
      </c>
      <c r="C18" s="44">
        <f>EDATE(AmortizationSchedule!C17,1)</f>
        <v>45778</v>
      </c>
      <c r="D18" s="45">
        <f>Monthly_Payment</f>
        <v>5506.2751971260323</v>
      </c>
      <c r="E18" s="45">
        <f>G17*Interest_Rate/12</f>
        <v>3420.9423999460319</v>
      </c>
      <c r="F18" s="45">
        <f t="shared" si="1"/>
        <v>2085.3327971800004</v>
      </c>
      <c r="G18" s="45">
        <f t="shared" si="2"/>
        <v>408427.75519634382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6.5" customHeight="1">
      <c r="A19" s="18"/>
      <c r="B19" s="43">
        <v>5</v>
      </c>
      <c r="C19" s="44">
        <f>EDATE(AmortizationSchedule!C18,1)</f>
        <v>45809</v>
      </c>
      <c r="D19" s="45">
        <f>Monthly_Payment</f>
        <v>5506.2751971260323</v>
      </c>
      <c r="E19" s="45">
        <f>G18*Interest_Rate/12</f>
        <v>3403.5646266361987</v>
      </c>
      <c r="F19" s="45">
        <f t="shared" si="1"/>
        <v>2102.7105704898336</v>
      </c>
      <c r="G19" s="45">
        <f t="shared" si="2"/>
        <v>406325.044625854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6.5" customHeight="1">
      <c r="A20" s="18"/>
      <c r="B20" s="43">
        <v>6</v>
      </c>
      <c r="C20" s="44">
        <f>EDATE(AmortizationSchedule!C19,1)</f>
        <v>45839</v>
      </c>
      <c r="D20" s="45">
        <f>Monthly_Payment</f>
        <v>5506.2751971260323</v>
      </c>
      <c r="E20" s="45">
        <f>G19*Interest_Rate/12</f>
        <v>3386.0420385487837</v>
      </c>
      <c r="F20" s="45">
        <f t="shared" si="1"/>
        <v>2120.2331585772486</v>
      </c>
      <c r="G20" s="45">
        <f t="shared" si="2"/>
        <v>404204.81146727677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6.5" customHeight="1">
      <c r="A21" s="18"/>
      <c r="B21" s="43">
        <v>7</v>
      </c>
      <c r="C21" s="44">
        <f>EDATE(AmortizationSchedule!C20,1)</f>
        <v>45870</v>
      </c>
      <c r="D21" s="45">
        <f>Monthly_Payment</f>
        <v>5506.2751971260323</v>
      </c>
      <c r="E21" s="45">
        <f>G20*Interest_Rate/12</f>
        <v>3368.3734288939736</v>
      </c>
      <c r="F21" s="45">
        <f t="shared" si="1"/>
        <v>2137.9017682320587</v>
      </c>
      <c r="G21" s="45">
        <f t="shared" si="2"/>
        <v>402066.90969904471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6.5" customHeight="1">
      <c r="A22" s="18"/>
      <c r="B22" s="43">
        <v>8</v>
      </c>
      <c r="C22" s="44">
        <f>EDATE(AmortizationSchedule!C21,1)</f>
        <v>45901</v>
      </c>
      <c r="D22" s="45">
        <f>Monthly_Payment</f>
        <v>5506.2751971260323</v>
      </c>
      <c r="E22" s="45">
        <f>G21*Interest_Rate/12</f>
        <v>3350.557580825373</v>
      </c>
      <c r="F22" s="45">
        <f t="shared" si="1"/>
        <v>2155.7176163006593</v>
      </c>
      <c r="G22" s="45">
        <f t="shared" si="2"/>
        <v>399911.19208274403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6.5" customHeight="1">
      <c r="A23" s="18"/>
      <c r="B23" s="43">
        <v>9</v>
      </c>
      <c r="C23" s="44">
        <f>EDATE(AmortizationSchedule!C22,1)</f>
        <v>45931</v>
      </c>
      <c r="D23" s="45">
        <f>Monthly_Payment</f>
        <v>5506.2751971260323</v>
      </c>
      <c r="E23" s="45">
        <f>G22*Interest_Rate/12</f>
        <v>3332.5932673562006</v>
      </c>
      <c r="F23" s="45">
        <f t="shared" si="1"/>
        <v>2173.6819297698316</v>
      </c>
      <c r="G23" s="45">
        <f t="shared" si="2"/>
        <v>397737.51015297422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6.5" customHeight="1">
      <c r="A24" s="18"/>
      <c r="B24" s="43">
        <v>10</v>
      </c>
      <c r="C24" s="44">
        <f>EDATE(AmortizationSchedule!C23,1)</f>
        <v>45962</v>
      </c>
      <c r="D24" s="45">
        <f>Monthly_Payment</f>
        <v>5506.2751971260323</v>
      </c>
      <c r="E24" s="45">
        <f>G23*Interest_Rate/12</f>
        <v>3314.4792512747858</v>
      </c>
      <c r="F24" s="45">
        <f t="shared" si="1"/>
        <v>2191.7959458512464</v>
      </c>
      <c r="G24" s="45">
        <f t="shared" si="2"/>
        <v>395545.71420712298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6.5" customHeight="1">
      <c r="A25" s="18"/>
      <c r="B25" s="43">
        <v>11</v>
      </c>
      <c r="C25" s="44">
        <f>EDATE(AmortizationSchedule!C24,1)</f>
        <v>45992</v>
      </c>
      <c r="D25" s="45">
        <f>Monthly_Payment</f>
        <v>5506.2751971260323</v>
      </c>
      <c r="E25" s="45">
        <f>G24*Interest_Rate/12</f>
        <v>3296.2142850593586</v>
      </c>
      <c r="F25" s="45">
        <f t="shared" si="1"/>
        <v>2210.0609120666736</v>
      </c>
      <c r="G25" s="45">
        <f t="shared" si="2"/>
        <v>393335.65329505631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6.5" customHeight="1">
      <c r="A26" s="18"/>
      <c r="B26" s="43">
        <v>12</v>
      </c>
      <c r="C26" s="44">
        <f>EDATE(AmortizationSchedule!C25,1)</f>
        <v>46023</v>
      </c>
      <c r="D26" s="45">
        <f>Monthly_Payment</f>
        <v>5506.2751971260323</v>
      </c>
      <c r="E26" s="45">
        <f>G25*Interest_Rate/12</f>
        <v>3277.7971107921362</v>
      </c>
      <c r="F26" s="45">
        <f t="shared" si="1"/>
        <v>2228.478086333896</v>
      </c>
      <c r="G26" s="45">
        <f t="shared" si="2"/>
        <v>391107.17520872242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6.5" customHeight="1">
      <c r="A27" s="18"/>
      <c r="B27" s="43">
        <v>13</v>
      </c>
      <c r="C27" s="44">
        <f>EDATE(AmortizationSchedule!C26,1)</f>
        <v>46054</v>
      </c>
      <c r="D27" s="45">
        <f>Monthly_Payment</f>
        <v>5506.2751971260323</v>
      </c>
      <c r="E27" s="45">
        <f>G26*Interest_Rate/12</f>
        <v>3259.2264600726867</v>
      </c>
      <c r="F27" s="45">
        <f t="shared" si="1"/>
        <v>2247.0487370533456</v>
      </c>
      <c r="G27" s="45">
        <f t="shared" si="2"/>
        <v>388860.12647166906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6.5" customHeight="1">
      <c r="A28" s="18"/>
      <c r="B28" s="43">
        <v>14</v>
      </c>
      <c r="C28" s="44">
        <f>EDATE(AmortizationSchedule!C27,1)</f>
        <v>46082</v>
      </c>
      <c r="D28" s="45">
        <f>Monthly_Payment</f>
        <v>5506.2751971260323</v>
      </c>
      <c r="E28" s="45">
        <f>G27*Interest_Rate/12</f>
        <v>3240.5010539305754</v>
      </c>
      <c r="F28" s="45">
        <f t="shared" si="1"/>
        <v>2265.7741431954569</v>
      </c>
      <c r="G28" s="45">
        <f t="shared" si="2"/>
        <v>386594.35232847359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6.5" customHeight="1">
      <c r="A29" s="18"/>
      <c r="B29" s="43">
        <v>15</v>
      </c>
      <c r="C29" s="44">
        <f>EDATE(AmortizationSchedule!C28,1)</f>
        <v>46113</v>
      </c>
      <c r="D29" s="45">
        <f>Monthly_Payment</f>
        <v>5506.2751971260323</v>
      </c>
      <c r="E29" s="45">
        <f>G28*Interest_Rate/12</f>
        <v>3221.6196027372803</v>
      </c>
      <c r="F29" s="45">
        <f t="shared" si="1"/>
        <v>2284.655594388752</v>
      </c>
      <c r="G29" s="45">
        <f t="shared" si="2"/>
        <v>384309.69673408481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6.5" customHeight="1">
      <c r="A30" s="18"/>
      <c r="B30" s="43">
        <v>16</v>
      </c>
      <c r="C30" s="44">
        <f>EDATE(AmortizationSchedule!C29,1)</f>
        <v>46143</v>
      </c>
      <c r="D30" s="45">
        <f>Monthly_Payment</f>
        <v>5506.2751971260323</v>
      </c>
      <c r="E30" s="45">
        <f>G29*Interest_Rate/12</f>
        <v>3202.5808061173734</v>
      </c>
      <c r="F30" s="45">
        <f t="shared" si="1"/>
        <v>2303.6943910086588</v>
      </c>
      <c r="G30" s="45">
        <f t="shared" si="2"/>
        <v>382006.00234307616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6.5" customHeight="1">
      <c r="A31" s="18"/>
      <c r="B31" s="43">
        <v>17</v>
      </c>
      <c r="C31" s="44">
        <f>EDATE(AmortizationSchedule!C30,1)</f>
        <v>46174</v>
      </c>
      <c r="D31" s="45">
        <f>Monthly_Payment</f>
        <v>5506.2751971260323</v>
      </c>
      <c r="E31" s="45">
        <f>G30*Interest_Rate/12</f>
        <v>3183.383352858968</v>
      </c>
      <c r="F31" s="45">
        <f t="shared" si="1"/>
        <v>2322.8918442670642</v>
      </c>
      <c r="G31" s="45">
        <f t="shared" si="2"/>
        <v>379683.11049880908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6.5" customHeight="1">
      <c r="A32" s="18"/>
      <c r="B32" s="43">
        <v>18</v>
      </c>
      <c r="C32" s="44">
        <f>EDATE(AmortizationSchedule!C31,1)</f>
        <v>46204</v>
      </c>
      <c r="D32" s="45">
        <f>Monthly_Payment</f>
        <v>5506.2751971260323</v>
      </c>
      <c r="E32" s="45">
        <f>G31*Interest_Rate/12</f>
        <v>3164.0259208234093</v>
      </c>
      <c r="F32" s="45">
        <f t="shared" si="1"/>
        <v>2342.249276302623</v>
      </c>
      <c r="G32" s="45">
        <f t="shared" si="2"/>
        <v>377340.86122250644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6.5" customHeight="1">
      <c r="A33" s="18"/>
      <c r="B33" s="43">
        <v>19</v>
      </c>
      <c r="C33" s="44">
        <f>EDATE(AmortizationSchedule!C32,1)</f>
        <v>46235</v>
      </c>
      <c r="D33" s="45">
        <f>Monthly_Payment</f>
        <v>5506.2751971260323</v>
      </c>
      <c r="E33" s="45">
        <f>G32*Interest_Rate/12</f>
        <v>3144.5071768542202</v>
      </c>
      <c r="F33" s="45">
        <f t="shared" si="1"/>
        <v>2361.768020271812</v>
      </c>
      <c r="G33" s="45">
        <f t="shared" si="2"/>
        <v>374979.09320223465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6.5" customHeight="1">
      <c r="A34" s="18"/>
      <c r="B34" s="43">
        <v>20</v>
      </c>
      <c r="C34" s="44">
        <f>EDATE(AmortizationSchedule!C33,1)</f>
        <v>46266</v>
      </c>
      <c r="D34" s="45">
        <f>Monthly_Payment</f>
        <v>5506.2751971260323</v>
      </c>
      <c r="E34" s="45">
        <f>G33*Interest_Rate/12</f>
        <v>3124.8257766852889</v>
      </c>
      <c r="F34" s="45">
        <f t="shared" si="1"/>
        <v>2381.4494204407433</v>
      </c>
      <c r="G34" s="45">
        <f t="shared" si="2"/>
        <v>372597.64378179389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6.5" customHeight="1">
      <c r="A35" s="18"/>
      <c r="B35" s="43">
        <v>21</v>
      </c>
      <c r="C35" s="44">
        <f>EDATE(AmortizationSchedule!C34,1)</f>
        <v>46296</v>
      </c>
      <c r="D35" s="45">
        <f>Monthly_Payment</f>
        <v>5506.2751971260323</v>
      </c>
      <c r="E35" s="45">
        <f>G34*Interest_Rate/12</f>
        <v>3104.9803648482825</v>
      </c>
      <c r="F35" s="45">
        <f t="shared" si="1"/>
        <v>2401.2948322777497</v>
      </c>
      <c r="G35" s="45">
        <f t="shared" si="2"/>
        <v>370196.34894951613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6.5" customHeight="1">
      <c r="A36" s="18"/>
      <c r="B36" s="43">
        <v>22</v>
      </c>
      <c r="C36" s="44">
        <f>EDATE(AmortizationSchedule!C35,1)</f>
        <v>46327</v>
      </c>
      <c r="D36" s="45">
        <f>Monthly_Payment</f>
        <v>5506.2751971260323</v>
      </c>
      <c r="E36" s="45">
        <f>G35*Interest_Rate/12</f>
        <v>3084.9695745793015</v>
      </c>
      <c r="F36" s="45">
        <f t="shared" si="1"/>
        <v>2421.3056225467308</v>
      </c>
      <c r="G36" s="45">
        <f t="shared" si="2"/>
        <v>367775.04332696937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6.5" customHeight="1">
      <c r="A37" s="18"/>
      <c r="B37" s="43">
        <v>23</v>
      </c>
      <c r="C37" s="44">
        <f>EDATE(AmortizationSchedule!C36,1)</f>
        <v>46357</v>
      </c>
      <c r="D37" s="45">
        <f>Monthly_Payment</f>
        <v>5506.2751971260323</v>
      </c>
      <c r="E37" s="45">
        <f>G36*Interest_Rate/12</f>
        <v>3064.7920277247449</v>
      </c>
      <c r="F37" s="45">
        <f t="shared" si="1"/>
        <v>2441.4831694012873</v>
      </c>
      <c r="G37" s="45">
        <f t="shared" si="2"/>
        <v>365333.56015756808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6.5" customHeight="1">
      <c r="A38" s="18"/>
      <c r="B38" s="43">
        <v>24</v>
      </c>
      <c r="C38" s="44">
        <f>EDATE(AmortizationSchedule!C37,1)</f>
        <v>46388</v>
      </c>
      <c r="D38" s="45">
        <f>Monthly_Payment</f>
        <v>5506.2751971260323</v>
      </c>
      <c r="E38" s="45">
        <f>G37*Interest_Rate/12</f>
        <v>3044.4463346464004</v>
      </c>
      <c r="F38" s="45">
        <f t="shared" si="1"/>
        <v>2461.8288624796319</v>
      </c>
      <c r="G38" s="45">
        <f t="shared" si="2"/>
        <v>362871.73129508842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6.5" customHeight="1">
      <c r="A39" s="18"/>
      <c r="B39" s="43">
        <v>25</v>
      </c>
      <c r="C39" s="44">
        <f>EDATE(AmortizationSchedule!C38,1)</f>
        <v>46419</v>
      </c>
      <c r="D39" s="45">
        <f>Monthly_Payment</f>
        <v>5506.2751971260323</v>
      </c>
      <c r="E39" s="45">
        <f>G38*Interest_Rate/12</f>
        <v>3023.9310941257372</v>
      </c>
      <c r="F39" s="45">
        <f t="shared" si="1"/>
        <v>2482.344103000295</v>
      </c>
      <c r="G39" s="45">
        <f t="shared" si="2"/>
        <v>360389.38719208812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6.5" customHeight="1">
      <c r="A40" s="18"/>
      <c r="B40" s="43">
        <v>26</v>
      </c>
      <c r="C40" s="44">
        <f>EDATE(AmortizationSchedule!C39,1)</f>
        <v>46447</v>
      </c>
      <c r="D40" s="45">
        <f>Monthly_Payment</f>
        <v>5506.2751971260323</v>
      </c>
      <c r="E40" s="45">
        <f>G39*Interest_Rate/12</f>
        <v>3003.244893267401</v>
      </c>
      <c r="F40" s="45">
        <f t="shared" si="1"/>
        <v>2503.0303038586312</v>
      </c>
      <c r="G40" s="45">
        <f t="shared" si="2"/>
        <v>357886.35688822949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6.5" customHeight="1">
      <c r="A41" s="18"/>
      <c r="B41" s="43">
        <v>27</v>
      </c>
      <c r="C41" s="44">
        <f>EDATE(AmortizationSchedule!C40,1)</f>
        <v>46478</v>
      </c>
      <c r="D41" s="45">
        <f>Monthly_Payment</f>
        <v>5506.2751971260323</v>
      </c>
      <c r="E41" s="45">
        <f>G40*Interest_Rate/12</f>
        <v>2982.3863074019123</v>
      </c>
      <c r="F41" s="45">
        <f t="shared" si="1"/>
        <v>2523.88888972412</v>
      </c>
      <c r="G41" s="45">
        <f t="shared" si="2"/>
        <v>355362.4679985054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6.5" customHeight="1">
      <c r="A42" s="18"/>
      <c r="B42" s="43">
        <v>28</v>
      </c>
      <c r="C42" s="44">
        <f>EDATE(AmortizationSchedule!C41,1)</f>
        <v>46508</v>
      </c>
      <c r="D42" s="45">
        <f>Monthly_Payment</f>
        <v>5506.2751971260323</v>
      </c>
      <c r="E42" s="45">
        <f>G41*Interest_Rate/12</f>
        <v>2961.353899987545</v>
      </c>
      <c r="F42" s="45">
        <f t="shared" si="1"/>
        <v>2544.9212971384873</v>
      </c>
      <c r="G42" s="45">
        <f t="shared" si="2"/>
        <v>352817.5467013669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6.5" customHeight="1">
      <c r="A43" s="18"/>
      <c r="B43" s="43">
        <v>29</v>
      </c>
      <c r="C43" s="44">
        <f>EDATE(AmortizationSchedule!C42,1)</f>
        <v>46539</v>
      </c>
      <c r="D43" s="45">
        <f>Monthly_Payment</f>
        <v>5506.2751971260323</v>
      </c>
      <c r="E43" s="45">
        <f>G42*Interest_Rate/12</f>
        <v>2940.1462225113905</v>
      </c>
      <c r="F43" s="45">
        <f t="shared" si="1"/>
        <v>2566.1289746146417</v>
      </c>
      <c r="G43" s="45">
        <f t="shared" si="2"/>
        <v>350251.41772675223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6.5" customHeight="1">
      <c r="A44" s="18"/>
      <c r="B44" s="43">
        <v>30</v>
      </c>
      <c r="C44" s="44">
        <f>EDATE(AmortizationSchedule!C43,1)</f>
        <v>46569</v>
      </c>
      <c r="D44" s="45">
        <f>Monthly_Payment</f>
        <v>5506.2751971260323</v>
      </c>
      <c r="E44" s="45">
        <f>G43*Interest_Rate/12</f>
        <v>2918.761814389602</v>
      </c>
      <c r="F44" s="45">
        <f t="shared" si="1"/>
        <v>2587.5133827364302</v>
      </c>
      <c r="G44" s="45">
        <f t="shared" si="2"/>
        <v>347663.90434401581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6.5" customHeight="1">
      <c r="A45" s="18"/>
      <c r="B45" s="43">
        <v>31</v>
      </c>
      <c r="C45" s="44">
        <f>EDATE(AmortizationSchedule!C44,1)</f>
        <v>46600</v>
      </c>
      <c r="D45" s="45">
        <f>Monthly_Payment</f>
        <v>5506.2751971260323</v>
      </c>
      <c r="E45" s="45">
        <f>G44*Interest_Rate/12</f>
        <v>2897.1992028667987</v>
      </c>
      <c r="F45" s="45">
        <f t="shared" si="1"/>
        <v>2609.0759942592335</v>
      </c>
      <c r="G45" s="45">
        <f t="shared" si="2"/>
        <v>345054.8283497566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6.5" customHeight="1">
      <c r="A46" s="18"/>
      <c r="B46" s="43">
        <v>32</v>
      </c>
      <c r="C46" s="44">
        <f>EDATE(AmortizationSchedule!C45,1)</f>
        <v>46631</v>
      </c>
      <c r="D46" s="45">
        <f>Monthly_Payment</f>
        <v>5506.2751971260323</v>
      </c>
      <c r="E46" s="45">
        <f>G45*Interest_Rate/12</f>
        <v>2875.4569029146387</v>
      </c>
      <c r="F46" s="45">
        <f t="shared" si="1"/>
        <v>2630.8182942113935</v>
      </c>
      <c r="G46" s="45">
        <f t="shared" si="2"/>
        <v>342424.01005554519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6.5" customHeight="1">
      <c r="A47" s="18"/>
      <c r="B47" s="43">
        <v>33</v>
      </c>
      <c r="C47" s="44">
        <f>EDATE(AmortizationSchedule!C46,1)</f>
        <v>46661</v>
      </c>
      <c r="D47" s="45">
        <f>Monthly_Payment</f>
        <v>5506.2751971260323</v>
      </c>
      <c r="E47" s="45">
        <f>G46*Interest_Rate/12</f>
        <v>2853.5334171295435</v>
      </c>
      <c r="F47" s="45">
        <f t="shared" si="1"/>
        <v>2652.7417799964887</v>
      </c>
      <c r="G47" s="45">
        <f t="shared" si="2"/>
        <v>339771.2682755487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6.5" customHeight="1">
      <c r="A48" s="18"/>
      <c r="B48" s="43">
        <v>34</v>
      </c>
      <c r="C48" s="44">
        <f>EDATE(AmortizationSchedule!C47,1)</f>
        <v>46692</v>
      </c>
      <c r="D48" s="45">
        <f>Monthly_Payment</f>
        <v>5506.2751971260323</v>
      </c>
      <c r="E48" s="45">
        <f>G47*Interest_Rate/12</f>
        <v>2831.4272356295728</v>
      </c>
      <c r="F48" s="45">
        <f t="shared" si="1"/>
        <v>2674.8479614964594</v>
      </c>
      <c r="G48" s="45">
        <f t="shared" si="2"/>
        <v>337096.42031405226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6.5" customHeight="1">
      <c r="A49" s="18"/>
      <c r="B49" s="43">
        <v>35</v>
      </c>
      <c r="C49" s="44">
        <f>EDATE(AmortizationSchedule!C48,1)</f>
        <v>46722</v>
      </c>
      <c r="D49" s="45">
        <f>Monthly_Payment</f>
        <v>5506.2751971260323</v>
      </c>
      <c r="E49" s="45">
        <f>G48*Interest_Rate/12</f>
        <v>2809.1368359504359</v>
      </c>
      <c r="F49" s="45">
        <f t="shared" si="1"/>
        <v>2697.1383611755964</v>
      </c>
      <c r="G49" s="45">
        <f t="shared" si="2"/>
        <v>334399.28195287666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6.5" customHeight="1">
      <c r="A50" s="18"/>
      <c r="B50" s="43">
        <v>36</v>
      </c>
      <c r="C50" s="44">
        <f>EDATE(AmortizationSchedule!C49,1)</f>
        <v>46753</v>
      </c>
      <c r="D50" s="45">
        <f>Monthly_Payment</f>
        <v>5506.2751971260323</v>
      </c>
      <c r="E50" s="45">
        <f>G49*Interest_Rate/12</f>
        <v>2786.6606829406392</v>
      </c>
      <c r="F50" s="45">
        <f t="shared" si="1"/>
        <v>2719.6145141853931</v>
      </c>
      <c r="G50" s="45">
        <f t="shared" si="2"/>
        <v>331679.66743869125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6.5" customHeight="1">
      <c r="A51" s="18"/>
      <c r="B51" s="43">
        <v>37</v>
      </c>
      <c r="C51" s="44">
        <f>EDATE(AmortizationSchedule!C50,1)</f>
        <v>46784</v>
      </c>
      <c r="D51" s="45">
        <f>Monthly_Payment</f>
        <v>5506.2751971260323</v>
      </c>
      <c r="E51" s="45">
        <f>G50*Interest_Rate/12</f>
        <v>2763.9972286557604</v>
      </c>
      <c r="F51" s="45">
        <f t="shared" si="1"/>
        <v>2742.2779684702718</v>
      </c>
      <c r="G51" s="45">
        <f t="shared" si="2"/>
        <v>328937.38947022095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6.5" customHeight="1">
      <c r="A52" s="18"/>
      <c r="B52" s="43">
        <v>38</v>
      </c>
      <c r="C52" s="44">
        <f>EDATE(AmortizationSchedule!C51,1)</f>
        <v>46813</v>
      </c>
      <c r="D52" s="45">
        <f>Monthly_Payment</f>
        <v>5506.2751971260323</v>
      </c>
      <c r="E52" s="45">
        <f>G51*Interest_Rate/12</f>
        <v>2741.1449122518411</v>
      </c>
      <c r="F52" s="45">
        <f t="shared" si="1"/>
        <v>2765.1302848741911</v>
      </c>
      <c r="G52" s="45">
        <f t="shared" si="2"/>
        <v>326172.25918534677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6.5" customHeight="1">
      <c r="A53" s="18"/>
      <c r="B53" s="43">
        <v>39</v>
      </c>
      <c r="C53" s="44">
        <f>EDATE(AmortizationSchedule!C52,1)</f>
        <v>46844</v>
      </c>
      <c r="D53" s="45">
        <f>Monthly_Payment</f>
        <v>5506.2751971260323</v>
      </c>
      <c r="E53" s="45">
        <f>G52*Interest_Rate/12</f>
        <v>2718.1021598778898</v>
      </c>
      <c r="F53" s="45">
        <f t="shared" si="1"/>
        <v>2788.1730372481425</v>
      </c>
      <c r="G53" s="45">
        <f t="shared" si="2"/>
        <v>323384.08614809864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6.5" customHeight="1">
      <c r="A54" s="18"/>
      <c r="B54" s="43">
        <v>40</v>
      </c>
      <c r="C54" s="44">
        <f>EDATE(AmortizationSchedule!C53,1)</f>
        <v>46874</v>
      </c>
      <c r="D54" s="45">
        <f>Monthly_Payment</f>
        <v>5506.2751971260323</v>
      </c>
      <c r="E54" s="45">
        <f>G53*Interest_Rate/12</f>
        <v>2694.8673845674889</v>
      </c>
      <c r="F54" s="45">
        <f t="shared" si="1"/>
        <v>2811.4078125585434</v>
      </c>
      <c r="G54" s="45">
        <f t="shared" si="2"/>
        <v>320572.67833554011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6.5" customHeight="1">
      <c r="A55" s="18"/>
      <c r="B55" s="43">
        <v>41</v>
      </c>
      <c r="C55" s="44">
        <f>EDATE(AmortizationSchedule!C54,1)</f>
        <v>46905</v>
      </c>
      <c r="D55" s="45">
        <f>Monthly_Payment</f>
        <v>5506.2751971260323</v>
      </c>
      <c r="E55" s="45">
        <f>G54*Interest_Rate/12</f>
        <v>2671.4389861295008</v>
      </c>
      <c r="F55" s="45">
        <f t="shared" si="1"/>
        <v>2834.8362109965315</v>
      </c>
      <c r="G55" s="45">
        <f t="shared" si="2"/>
        <v>317737.84212454356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6.5" customHeight="1">
      <c r="A56" s="18"/>
      <c r="B56" s="43">
        <v>42</v>
      </c>
      <c r="C56" s="44">
        <f>EDATE(AmortizationSchedule!C55,1)</f>
        <v>46935</v>
      </c>
      <c r="D56" s="45">
        <f>Monthly_Payment</f>
        <v>5506.2751971260323</v>
      </c>
      <c r="E56" s="45">
        <f>G55*Interest_Rate/12</f>
        <v>2647.8153510378629</v>
      </c>
      <c r="F56" s="45">
        <f t="shared" si="1"/>
        <v>2858.4598460881693</v>
      </c>
      <c r="G56" s="45">
        <f t="shared" si="2"/>
        <v>314879.38227845536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6.5" customHeight="1">
      <c r="A57" s="18"/>
      <c r="B57" s="43">
        <v>43</v>
      </c>
      <c r="C57" s="44">
        <f>EDATE(AmortizationSchedule!C56,1)</f>
        <v>46966</v>
      </c>
      <c r="D57" s="45">
        <f>Monthly_Payment</f>
        <v>5506.2751971260323</v>
      </c>
      <c r="E57" s="45">
        <f>G56*Interest_Rate/12</f>
        <v>2623.9948523204616</v>
      </c>
      <c r="F57" s="45">
        <f t="shared" si="1"/>
        <v>2882.2803448055706</v>
      </c>
      <c r="G57" s="45">
        <f t="shared" si="2"/>
        <v>311997.1019336498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6.5" customHeight="1">
      <c r="A58" s="18"/>
      <c r="B58" s="43">
        <v>44</v>
      </c>
      <c r="C58" s="44">
        <f>EDATE(AmortizationSchedule!C57,1)</f>
        <v>46997</v>
      </c>
      <c r="D58" s="45">
        <f>Monthly_Payment</f>
        <v>5506.2751971260323</v>
      </c>
      <c r="E58" s="45">
        <f>G57*Interest_Rate/12</f>
        <v>2599.9758494470821</v>
      </c>
      <c r="F58" s="45">
        <f t="shared" si="1"/>
        <v>2906.2993476789502</v>
      </c>
      <c r="G58" s="45">
        <f t="shared" si="2"/>
        <v>309090.80258597084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6.5" customHeight="1">
      <c r="A59" s="18"/>
      <c r="B59" s="43">
        <v>45</v>
      </c>
      <c r="C59" s="44">
        <f>EDATE(AmortizationSchedule!C58,1)</f>
        <v>47027</v>
      </c>
      <c r="D59" s="45">
        <f>Monthly_Payment</f>
        <v>5506.2751971260323</v>
      </c>
      <c r="E59" s="45">
        <f>G58*Interest_Rate/12</f>
        <v>2575.7566882164238</v>
      </c>
      <c r="F59" s="45">
        <f t="shared" si="1"/>
        <v>2930.5185089096085</v>
      </c>
      <c r="G59" s="45">
        <f t="shared" si="2"/>
        <v>306160.28407706122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6.5" customHeight="1">
      <c r="A60" s="18"/>
      <c r="B60" s="43">
        <v>46</v>
      </c>
      <c r="C60" s="44">
        <f>EDATE(AmortizationSchedule!C59,1)</f>
        <v>47058</v>
      </c>
      <c r="D60" s="45">
        <f>Monthly_Payment</f>
        <v>5506.2751971260323</v>
      </c>
      <c r="E60" s="45">
        <f>G59*Interest_Rate/12</f>
        <v>2551.335700642177</v>
      </c>
      <c r="F60" s="45">
        <f t="shared" si="1"/>
        <v>2954.9394964838552</v>
      </c>
      <c r="G60" s="45">
        <f t="shared" si="2"/>
        <v>303205.3445805774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6.5" customHeight="1">
      <c r="A61" s="18"/>
      <c r="B61" s="43">
        <v>47</v>
      </c>
      <c r="C61" s="44">
        <f>EDATE(AmortizationSchedule!C60,1)</f>
        <v>47088</v>
      </c>
      <c r="D61" s="45">
        <f>Monthly_Payment</f>
        <v>5506.2751971260323</v>
      </c>
      <c r="E61" s="45">
        <f>G60*Interest_Rate/12</f>
        <v>2526.711204838145</v>
      </c>
      <c r="F61" s="45">
        <f t="shared" si="1"/>
        <v>2979.5639922878872</v>
      </c>
      <c r="G61" s="45">
        <f t="shared" si="2"/>
        <v>300225.78058828949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6.5" customHeight="1">
      <c r="A62" s="18"/>
      <c r="B62" s="43">
        <v>48</v>
      </c>
      <c r="C62" s="44">
        <f>EDATE(AmortizationSchedule!C61,1)</f>
        <v>47119</v>
      </c>
      <c r="D62" s="45">
        <f>Monthly_Payment</f>
        <v>5506.2751971260323</v>
      </c>
      <c r="E62" s="45">
        <f>G61*Interest_Rate/12</f>
        <v>2501.8815049024124</v>
      </c>
      <c r="F62" s="45">
        <f t="shared" si="1"/>
        <v>3004.3936922236198</v>
      </c>
      <c r="G62" s="45">
        <f t="shared" si="2"/>
        <v>297221.38689606584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6.5" customHeight="1">
      <c r="A63" s="18"/>
      <c r="B63" s="43">
        <v>49</v>
      </c>
      <c r="C63" s="44">
        <f>EDATE(AmortizationSchedule!C62,1)</f>
        <v>47150</v>
      </c>
      <c r="D63" s="45">
        <f>Monthly_Payment</f>
        <v>5506.2751971260323</v>
      </c>
      <c r="E63" s="45">
        <f>G62*Interest_Rate/12</f>
        <v>2476.8448908005489</v>
      </c>
      <c r="F63" s="45">
        <f t="shared" si="1"/>
        <v>3029.4303063254833</v>
      </c>
      <c r="G63" s="45">
        <f t="shared" si="2"/>
        <v>294191.95658974035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6.5" customHeight="1">
      <c r="A64" s="18"/>
      <c r="B64" s="43">
        <v>50</v>
      </c>
      <c r="C64" s="44">
        <f>EDATE(AmortizationSchedule!C63,1)</f>
        <v>47178</v>
      </c>
      <c r="D64" s="45">
        <f>Monthly_Payment</f>
        <v>5506.2751971260323</v>
      </c>
      <c r="E64" s="45">
        <f>G63*Interest_Rate/12</f>
        <v>2451.5996382478365</v>
      </c>
      <c r="F64" s="45">
        <f t="shared" si="1"/>
        <v>3054.6755588781957</v>
      </c>
      <c r="G64" s="45">
        <f t="shared" si="2"/>
        <v>291137.28103086218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6.5" customHeight="1">
      <c r="A65" s="18"/>
      <c r="B65" s="43">
        <v>51</v>
      </c>
      <c r="C65" s="44">
        <f>EDATE(AmortizationSchedule!C64,1)</f>
        <v>47209</v>
      </c>
      <c r="D65" s="45">
        <f>Monthly_Payment</f>
        <v>5506.2751971260323</v>
      </c>
      <c r="E65" s="45">
        <f>G64*Interest_Rate/12</f>
        <v>2426.1440085905183</v>
      </c>
      <c r="F65" s="45">
        <f t="shared" si="1"/>
        <v>3080.131188535514</v>
      </c>
      <c r="G65" s="45">
        <f t="shared" si="2"/>
        <v>288057.14984232665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6.5" customHeight="1">
      <c r="A66" s="18"/>
      <c r="B66" s="43">
        <v>52</v>
      </c>
      <c r="C66" s="44">
        <f>EDATE(AmortizationSchedule!C65,1)</f>
        <v>47239</v>
      </c>
      <c r="D66" s="45">
        <f>Monthly_Payment</f>
        <v>5506.2751971260323</v>
      </c>
      <c r="E66" s="45">
        <f>G65*Interest_Rate/12</f>
        <v>2400.4762486860554</v>
      </c>
      <c r="F66" s="45">
        <f t="shared" si="1"/>
        <v>3105.7989484399768</v>
      </c>
      <c r="G66" s="45">
        <f t="shared" si="2"/>
        <v>284951.35089388664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6.5" customHeight="1">
      <c r="A67" s="18"/>
      <c r="B67" s="43">
        <v>53</v>
      </c>
      <c r="C67" s="44">
        <f>EDATE(AmortizationSchedule!C66,1)</f>
        <v>47270</v>
      </c>
      <c r="D67" s="45">
        <f>Monthly_Payment</f>
        <v>5506.2751971260323</v>
      </c>
      <c r="E67" s="45">
        <f>G66*Interest_Rate/12</f>
        <v>2374.5945907823889</v>
      </c>
      <c r="F67" s="45">
        <f t="shared" si="1"/>
        <v>3131.6806063436434</v>
      </c>
      <c r="G67" s="45">
        <f t="shared" si="2"/>
        <v>281819.67028754298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6.5" customHeight="1">
      <c r="A68" s="18"/>
      <c r="B68" s="43">
        <v>54</v>
      </c>
      <c r="C68" s="44">
        <f>EDATE(AmortizationSchedule!C67,1)</f>
        <v>47300</v>
      </c>
      <c r="D68" s="45">
        <f>Monthly_Payment</f>
        <v>5506.2751971260323</v>
      </c>
      <c r="E68" s="45">
        <f>G67*Interest_Rate/12</f>
        <v>2348.4972523961915</v>
      </c>
      <c r="F68" s="45">
        <f t="shared" si="1"/>
        <v>3157.7779447298408</v>
      </c>
      <c r="G68" s="45">
        <f t="shared" si="2"/>
        <v>278661.89234281314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6.5" customHeight="1">
      <c r="A69" s="18"/>
      <c r="B69" s="43">
        <v>55</v>
      </c>
      <c r="C69" s="44">
        <f>EDATE(AmortizationSchedule!C68,1)</f>
        <v>47331</v>
      </c>
      <c r="D69" s="45">
        <f>Monthly_Payment</f>
        <v>5506.2751971260323</v>
      </c>
      <c r="E69" s="45">
        <f>G68*Interest_Rate/12</f>
        <v>2322.1824361901095</v>
      </c>
      <c r="F69" s="45">
        <f t="shared" si="1"/>
        <v>3184.0927609359228</v>
      </c>
      <c r="G69" s="45">
        <f t="shared" si="2"/>
        <v>275477.79958187719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6.5" customHeight="1">
      <c r="A70" s="18"/>
      <c r="B70" s="43">
        <v>56</v>
      </c>
      <c r="C70" s="44">
        <f>EDATE(AmortizationSchedule!C69,1)</f>
        <v>47362</v>
      </c>
      <c r="D70" s="45">
        <f>Monthly_Payment</f>
        <v>5506.2751971260323</v>
      </c>
      <c r="E70" s="45">
        <f>G69*Interest_Rate/12</f>
        <v>2295.6483298489766</v>
      </c>
      <c r="F70" s="45">
        <f t="shared" si="1"/>
        <v>3210.6268672770557</v>
      </c>
      <c r="G70" s="45">
        <f t="shared" si="2"/>
        <v>272267.17271460011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6.5" customHeight="1">
      <c r="A71" s="18"/>
      <c r="B71" s="43">
        <v>57</v>
      </c>
      <c r="C71" s="44">
        <f>EDATE(AmortizationSchedule!C70,1)</f>
        <v>47392</v>
      </c>
      <c r="D71" s="45">
        <f>Monthly_Payment</f>
        <v>5506.2751971260323</v>
      </c>
      <c r="E71" s="45">
        <f>G70*Interest_Rate/12</f>
        <v>2268.8931059550009</v>
      </c>
      <c r="F71" s="45">
        <f t="shared" si="1"/>
        <v>3237.3820911710313</v>
      </c>
      <c r="G71" s="45">
        <f t="shared" si="2"/>
        <v>269029.79062342906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6.5" customHeight="1">
      <c r="A72" s="18"/>
      <c r="B72" s="43">
        <v>58</v>
      </c>
      <c r="C72" s="44">
        <f>EDATE(AmortizationSchedule!C71,1)</f>
        <v>47423</v>
      </c>
      <c r="D72" s="45">
        <f>Monthly_Payment</f>
        <v>5506.2751971260323</v>
      </c>
      <c r="E72" s="45">
        <f>G71*Interest_Rate/12</f>
        <v>2241.9149218619091</v>
      </c>
      <c r="F72" s="45">
        <f t="shared" si="1"/>
        <v>3264.3602752641232</v>
      </c>
      <c r="G72" s="45">
        <f t="shared" si="2"/>
        <v>265765.43034816493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6.5" customHeight="1">
      <c r="A73" s="18"/>
      <c r="B73" s="43">
        <v>59</v>
      </c>
      <c r="C73" s="44">
        <f>EDATE(AmortizationSchedule!C72,1)</f>
        <v>47453</v>
      </c>
      <c r="D73" s="45">
        <f>Monthly_Payment</f>
        <v>5506.2751971260323</v>
      </c>
      <c r="E73" s="45">
        <f>G72*Interest_Rate/12</f>
        <v>2214.7119195680411</v>
      </c>
      <c r="F73" s="45">
        <f t="shared" si="1"/>
        <v>3291.5632775579911</v>
      </c>
      <c r="G73" s="45">
        <f t="shared" si="2"/>
        <v>262473.86707060691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6.5" customHeight="1">
      <c r="A74" s="18"/>
      <c r="B74" s="43">
        <v>60</v>
      </c>
      <c r="C74" s="44">
        <f>EDATE(AmortizationSchedule!C73,1)</f>
        <v>47484</v>
      </c>
      <c r="D74" s="45">
        <f>Monthly_Payment</f>
        <v>5506.2751971260323</v>
      </c>
      <c r="E74" s="45">
        <f>G73*Interest_Rate/12</f>
        <v>2187.2822255883912</v>
      </c>
      <c r="F74" s="45">
        <f t="shared" si="1"/>
        <v>3318.9929715376411</v>
      </c>
      <c r="G74" s="45">
        <f t="shared" si="2"/>
        <v>259154.87409906927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6.5" customHeight="1">
      <c r="A75" s="18"/>
      <c r="B75" s="43">
        <v>61</v>
      </c>
      <c r="C75" s="44">
        <f>EDATE(AmortizationSchedule!C74,1)</f>
        <v>47515</v>
      </c>
      <c r="D75" s="45">
        <f>Monthly_Payment</f>
        <v>5506.2751971260323</v>
      </c>
      <c r="E75" s="45">
        <f>G74*Interest_Rate/12</f>
        <v>2159.6239508255771</v>
      </c>
      <c r="F75" s="45">
        <f t="shared" si="1"/>
        <v>3346.6512463004551</v>
      </c>
      <c r="G75" s="45">
        <f t="shared" si="2"/>
        <v>255808.22285276881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>
      <c r="A76" s="18"/>
      <c r="B76" s="43">
        <v>62</v>
      </c>
      <c r="C76" s="44">
        <f>EDATE(AmortizationSchedule!C75,1)</f>
        <v>47543</v>
      </c>
      <c r="D76" s="45">
        <f>Monthly_Payment</f>
        <v>5506.2751971260323</v>
      </c>
      <c r="E76" s="45">
        <f>G75*Interest_Rate/12</f>
        <v>2131.7351904397401</v>
      </c>
      <c r="F76" s="45">
        <f t="shared" si="1"/>
        <v>3374.5400066862921</v>
      </c>
      <c r="G76" s="45">
        <f t="shared" si="2"/>
        <v>252433.68284608252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6.5" customHeight="1">
      <c r="A77" s="18"/>
      <c r="B77" s="43">
        <v>63</v>
      </c>
      <c r="C77" s="44">
        <f>EDATE(AmortizationSchedule!C76,1)</f>
        <v>47574</v>
      </c>
      <c r="D77" s="45">
        <f>Monthly_Payment</f>
        <v>5506.2751971260323</v>
      </c>
      <c r="E77" s="45">
        <f>G76*Interest_Rate/12</f>
        <v>2103.6140237173545</v>
      </c>
      <c r="F77" s="45">
        <f t="shared" si="1"/>
        <v>3402.6611734086778</v>
      </c>
      <c r="G77" s="45">
        <f t="shared" si="2"/>
        <v>249031.02167267384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6.5" customHeight="1">
      <c r="A78" s="18"/>
      <c r="B78" s="43">
        <v>64</v>
      </c>
      <c r="C78" s="44">
        <f>EDATE(AmortizationSchedule!C77,1)</f>
        <v>47604</v>
      </c>
      <c r="D78" s="45">
        <f>Monthly_Payment</f>
        <v>5506.2751971260323</v>
      </c>
      <c r="E78" s="45">
        <f>G77*Interest_Rate/12</f>
        <v>2075.2585139389489</v>
      </c>
      <c r="F78" s="45">
        <f t="shared" si="1"/>
        <v>3431.0166831870833</v>
      </c>
      <c r="G78" s="45">
        <f t="shared" si="2"/>
        <v>245600.00498948677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6.5" customHeight="1">
      <c r="A79" s="18"/>
      <c r="B79" s="43">
        <v>65</v>
      </c>
      <c r="C79" s="44">
        <f>EDATE(AmortizationSchedule!C78,1)</f>
        <v>47635</v>
      </c>
      <c r="D79" s="45">
        <f>Monthly_Payment</f>
        <v>5506.2751971260323</v>
      </c>
      <c r="E79" s="45">
        <f>G78*Interest_Rate/12</f>
        <v>2046.6667082457232</v>
      </c>
      <c r="F79" s="45">
        <f t="shared" si="1"/>
        <v>3459.6084888803089</v>
      </c>
      <c r="G79" s="45">
        <f t="shared" si="2"/>
        <v>242140.39650060647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6.5" customHeight="1">
      <c r="A80" s="18"/>
      <c r="B80" s="43">
        <v>66</v>
      </c>
      <c r="C80" s="44">
        <f>EDATE(AmortizationSchedule!C79,1)</f>
        <v>47665</v>
      </c>
      <c r="D80" s="45">
        <f>Monthly_Payment</f>
        <v>5506.2751971260323</v>
      </c>
      <c r="E80" s="45">
        <f>G79*Interest_Rate/12</f>
        <v>2017.8366375050539</v>
      </c>
      <c r="F80" s="45">
        <f t="shared" ref="F80:F134" si="3">D80-E80</f>
        <v>3488.4385596209786</v>
      </c>
      <c r="G80" s="45">
        <f t="shared" ref="G80:G134" si="4">G79-F80</f>
        <v>238651.95794098548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6.5" customHeight="1">
      <c r="A81" s="18"/>
      <c r="B81" s="43">
        <v>67</v>
      </c>
      <c r="C81" s="44">
        <f>EDATE(AmortizationSchedule!C80,1)</f>
        <v>47696</v>
      </c>
      <c r="D81" s="45">
        <f>Monthly_Payment</f>
        <v>5506.2751971260323</v>
      </c>
      <c r="E81" s="45">
        <f>G80*Interest_Rate/12</f>
        <v>1988.766316174879</v>
      </c>
      <c r="F81" s="45">
        <f t="shared" si="3"/>
        <v>3517.5088809511535</v>
      </c>
      <c r="G81" s="45">
        <f t="shared" si="4"/>
        <v>235134.44906003433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6.5" customHeight="1">
      <c r="A82" s="18"/>
      <c r="B82" s="43">
        <v>68</v>
      </c>
      <c r="C82" s="44">
        <f>EDATE(AmortizationSchedule!C81,1)</f>
        <v>47727</v>
      </c>
      <c r="D82" s="45">
        <f>Monthly_Payment</f>
        <v>5506.2751971260323</v>
      </c>
      <c r="E82" s="45">
        <f>G81*Interest_Rate/12</f>
        <v>1959.4537421669529</v>
      </c>
      <c r="F82" s="45">
        <f t="shared" si="3"/>
        <v>3546.8214549590793</v>
      </c>
      <c r="G82" s="45">
        <f t="shared" si="4"/>
        <v>231587.62760507525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6.5" customHeight="1">
      <c r="A83" s="18"/>
      <c r="B83" s="43">
        <v>69</v>
      </c>
      <c r="C83" s="44">
        <f>EDATE(AmortizationSchedule!C82,1)</f>
        <v>47757</v>
      </c>
      <c r="D83" s="45">
        <f>Monthly_Payment</f>
        <v>5506.2751971260323</v>
      </c>
      <c r="E83" s="45">
        <f>G82*Interest_Rate/12</f>
        <v>1929.8968967089604</v>
      </c>
      <c r="F83" s="45">
        <f t="shared" si="3"/>
        <v>3576.3783004170718</v>
      </c>
      <c r="G83" s="45">
        <f t="shared" si="4"/>
        <v>228011.24930465818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6.5" customHeight="1">
      <c r="A84" s="18"/>
      <c r="B84" s="43">
        <v>70</v>
      </c>
      <c r="C84" s="44">
        <f>EDATE(AmortizationSchedule!C83,1)</f>
        <v>47788</v>
      </c>
      <c r="D84" s="45">
        <f>Monthly_Payment</f>
        <v>5506.2751971260323</v>
      </c>
      <c r="E84" s="45">
        <f>G83*Interest_Rate/12</f>
        <v>1900.0937442054849</v>
      </c>
      <c r="F84" s="45">
        <f t="shared" si="3"/>
        <v>3606.1814529205476</v>
      </c>
      <c r="G84" s="45">
        <f t="shared" si="4"/>
        <v>224405.06785173764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6.5" customHeight="1">
      <c r="A85" s="18"/>
      <c r="B85" s="43">
        <v>71</v>
      </c>
      <c r="C85" s="44">
        <f>EDATE(AmortizationSchedule!C84,1)</f>
        <v>47818</v>
      </c>
      <c r="D85" s="45">
        <f>Monthly_Payment</f>
        <v>5506.2751971260323</v>
      </c>
      <c r="E85" s="45">
        <f>G84*Interest_Rate/12</f>
        <v>1870.0422320978139</v>
      </c>
      <c r="F85" s="45">
        <f t="shared" si="3"/>
        <v>3636.2329650282181</v>
      </c>
      <c r="G85" s="45">
        <f t="shared" si="4"/>
        <v>220768.83488670943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6.5" customHeight="1">
      <c r="A86" s="18"/>
      <c r="B86" s="43">
        <v>72</v>
      </c>
      <c r="C86" s="44">
        <f>EDATE(AmortizationSchedule!C85,1)</f>
        <v>47849</v>
      </c>
      <c r="D86" s="45">
        <f>Monthly_Payment</f>
        <v>5506.2751971260323</v>
      </c>
      <c r="E86" s="45">
        <f>G85*Interest_Rate/12</f>
        <v>1839.7402907225787</v>
      </c>
      <c r="F86" s="45">
        <f t="shared" si="3"/>
        <v>3666.5349064034535</v>
      </c>
      <c r="G86" s="45">
        <f t="shared" si="4"/>
        <v>217102.29998030598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6.5" customHeight="1">
      <c r="A87" s="18"/>
      <c r="B87" s="43">
        <v>73</v>
      </c>
      <c r="C87" s="44">
        <f>EDATE(AmortizationSchedule!C86,1)</f>
        <v>47880</v>
      </c>
      <c r="D87" s="45">
        <f>Monthly_Payment</f>
        <v>5506.2751971260323</v>
      </c>
      <c r="E87" s="45">
        <f>G86*Interest_Rate/12</f>
        <v>1809.1858331692165</v>
      </c>
      <c r="F87" s="45">
        <f t="shared" si="3"/>
        <v>3697.0893639568158</v>
      </c>
      <c r="G87" s="45">
        <f t="shared" si="4"/>
        <v>213405.21061634916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6.5" customHeight="1">
      <c r="A88" s="18"/>
      <c r="B88" s="43">
        <v>74</v>
      </c>
      <c r="C88" s="44">
        <f>EDATE(AmortizationSchedule!C87,1)</f>
        <v>47908</v>
      </c>
      <c r="D88" s="45">
        <f>Monthly_Payment</f>
        <v>5506.2751971260323</v>
      </c>
      <c r="E88" s="45">
        <f>G87*Interest_Rate/12</f>
        <v>1778.3767551362432</v>
      </c>
      <c r="F88" s="45">
        <f t="shared" si="3"/>
        <v>3727.8984419897888</v>
      </c>
      <c r="G88" s="45">
        <f t="shared" si="4"/>
        <v>209677.31217435937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6.5" customHeight="1">
      <c r="A89" s="18"/>
      <c r="B89" s="43">
        <v>75</v>
      </c>
      <c r="C89" s="44">
        <f>EDATE(AmortizationSchedule!C88,1)</f>
        <v>47939</v>
      </c>
      <c r="D89" s="45">
        <f>Monthly_Payment</f>
        <v>5506.2751971260323</v>
      </c>
      <c r="E89" s="45">
        <f>G88*Interest_Rate/12</f>
        <v>1747.3109347863283</v>
      </c>
      <c r="F89" s="45">
        <f t="shared" si="3"/>
        <v>3758.964262339704</v>
      </c>
      <c r="G89" s="45">
        <f t="shared" si="4"/>
        <v>205918.34791201967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6.5" customHeight="1">
      <c r="A90" s="18"/>
      <c r="B90" s="43">
        <v>76</v>
      </c>
      <c r="C90" s="44">
        <f>EDATE(AmortizationSchedule!C89,1)</f>
        <v>47969</v>
      </c>
      <c r="D90" s="45">
        <f>Monthly_Payment</f>
        <v>5506.2751971260323</v>
      </c>
      <c r="E90" s="45">
        <f>G89*Interest_Rate/12</f>
        <v>1715.9862326001639</v>
      </c>
      <c r="F90" s="45">
        <f t="shared" si="3"/>
        <v>3790.2889645258683</v>
      </c>
      <c r="G90" s="45">
        <f t="shared" si="4"/>
        <v>202128.05894749382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6.5" customHeight="1">
      <c r="A91" s="18"/>
      <c r="B91" s="43">
        <v>77</v>
      </c>
      <c r="C91" s="44">
        <f>EDATE(AmortizationSchedule!C90,1)</f>
        <v>48000</v>
      </c>
      <c r="D91" s="45">
        <f>Monthly_Payment</f>
        <v>5506.2751971260323</v>
      </c>
      <c r="E91" s="45">
        <f>G90*Interest_Rate/12</f>
        <v>1684.4004912291155</v>
      </c>
      <c r="F91" s="45">
        <f t="shared" si="3"/>
        <v>3821.8747058969166</v>
      </c>
      <c r="G91" s="45">
        <f t="shared" si="4"/>
        <v>198306.1842415969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6.5" customHeight="1">
      <c r="A92" s="18"/>
      <c r="B92" s="43">
        <v>78</v>
      </c>
      <c r="C92" s="44">
        <f>EDATE(AmortizationSchedule!C91,1)</f>
        <v>48030</v>
      </c>
      <c r="D92" s="45">
        <f>Monthly_Payment</f>
        <v>5506.2751971260323</v>
      </c>
      <c r="E92" s="45">
        <f>G91*Interest_Rate/12</f>
        <v>1652.551535346641</v>
      </c>
      <c r="F92" s="45">
        <f t="shared" si="3"/>
        <v>3853.7236617793915</v>
      </c>
      <c r="G92" s="45">
        <f t="shared" si="4"/>
        <v>194452.4605798175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6.5" customHeight="1">
      <c r="A93" s="18"/>
      <c r="B93" s="43">
        <v>79</v>
      </c>
      <c r="C93" s="44">
        <f>EDATE(AmortizationSchedule!C92,1)</f>
        <v>48061</v>
      </c>
      <c r="D93" s="45">
        <f>Monthly_Payment</f>
        <v>5506.2751971260323</v>
      </c>
      <c r="E93" s="45">
        <f>G92*Interest_Rate/12</f>
        <v>1620.4371714984793</v>
      </c>
      <c r="F93" s="45">
        <f t="shared" si="3"/>
        <v>3885.8380256275532</v>
      </c>
      <c r="G93" s="45">
        <f t="shared" si="4"/>
        <v>190566.62255418996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6.5" customHeight="1">
      <c r="A94" s="18"/>
      <c r="B94" s="43">
        <v>80</v>
      </c>
      <c r="C94" s="44">
        <f>EDATE(AmortizationSchedule!C93,1)</f>
        <v>48092</v>
      </c>
      <c r="D94" s="45">
        <f>Monthly_Payment</f>
        <v>5506.2751971260323</v>
      </c>
      <c r="E94" s="45">
        <f>G93*Interest_Rate/12</f>
        <v>1588.0551879515831</v>
      </c>
      <c r="F94" s="45">
        <f t="shared" si="3"/>
        <v>3918.2200091744489</v>
      </c>
      <c r="G94" s="45">
        <f t="shared" si="4"/>
        <v>186648.4025450155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6.5" customHeight="1">
      <c r="A95" s="18"/>
      <c r="B95" s="43">
        <v>81</v>
      </c>
      <c r="C95" s="44">
        <f>EDATE(AmortizationSchedule!C94,1)</f>
        <v>48122</v>
      </c>
      <c r="D95" s="45">
        <f>Monthly_Payment</f>
        <v>5506.2751971260323</v>
      </c>
      <c r="E95" s="45">
        <f>G94*Interest_Rate/12</f>
        <v>1555.403354541796</v>
      </c>
      <c r="F95" s="45">
        <f t="shared" si="3"/>
        <v>3950.8718425842362</v>
      </c>
      <c r="G95" s="45">
        <f t="shared" si="4"/>
        <v>182697.53070243128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6.5" customHeight="1">
      <c r="A96" s="18"/>
      <c r="B96" s="43">
        <v>82</v>
      </c>
      <c r="C96" s="44">
        <f>EDATE(AmortizationSchedule!C95,1)</f>
        <v>48153</v>
      </c>
      <c r="D96" s="45">
        <f>Monthly_Payment</f>
        <v>5506.2751971260323</v>
      </c>
      <c r="E96" s="45">
        <f>G95*Interest_Rate/12</f>
        <v>1522.4794225202606</v>
      </c>
      <c r="F96" s="45">
        <f t="shared" si="3"/>
        <v>3983.7957746057718</v>
      </c>
      <c r="G96" s="45">
        <f t="shared" si="4"/>
        <v>178713.73492782551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6.5" customHeight="1">
      <c r="A97" s="18"/>
      <c r="B97" s="43">
        <v>83</v>
      </c>
      <c r="C97" s="44">
        <f>EDATE(AmortizationSchedule!C96,1)</f>
        <v>48183</v>
      </c>
      <c r="D97" s="45">
        <f>Monthly_Payment</f>
        <v>5506.2751971260323</v>
      </c>
      <c r="E97" s="45">
        <f>G96*Interest_Rate/12</f>
        <v>1489.2811243985461</v>
      </c>
      <c r="F97" s="45">
        <f t="shared" si="3"/>
        <v>4016.9940727274861</v>
      </c>
      <c r="G97" s="45">
        <f t="shared" si="4"/>
        <v>174696.74085509803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6.5" customHeight="1">
      <c r="A98" s="18"/>
      <c r="B98" s="43">
        <v>84</v>
      </c>
      <c r="C98" s="44">
        <f>EDATE(AmortizationSchedule!C97,1)</f>
        <v>48214</v>
      </c>
      <c r="D98" s="45">
        <f>Monthly_Payment</f>
        <v>5506.2751971260323</v>
      </c>
      <c r="E98" s="45">
        <f>G97*Interest_Rate/12</f>
        <v>1455.8061737924836</v>
      </c>
      <c r="F98" s="45">
        <f t="shared" si="3"/>
        <v>4050.4690233335486</v>
      </c>
      <c r="G98" s="45">
        <f t="shared" si="4"/>
        <v>170646.27183176449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6.5" customHeight="1">
      <c r="A99" s="18"/>
      <c r="B99" s="43">
        <v>85</v>
      </c>
      <c r="C99" s="44">
        <f>EDATE(AmortizationSchedule!C98,1)</f>
        <v>48245</v>
      </c>
      <c r="D99" s="45">
        <f>Monthly_Payment</f>
        <v>5506.2751971260323</v>
      </c>
      <c r="E99" s="45">
        <f>G98*Interest_Rate/12</f>
        <v>1422.0522652647041</v>
      </c>
      <c r="F99" s="45">
        <f t="shared" si="3"/>
        <v>4084.2229318613281</v>
      </c>
      <c r="G99" s="45">
        <f t="shared" si="4"/>
        <v>166562.04889990317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6.5" customHeight="1">
      <c r="A100" s="18"/>
      <c r="B100" s="43">
        <v>86</v>
      </c>
      <c r="C100" s="44">
        <f>EDATE(AmortizationSchedule!C99,1)</f>
        <v>48274</v>
      </c>
      <c r="D100" s="45">
        <f>Monthly_Payment</f>
        <v>5506.2751971260323</v>
      </c>
      <c r="E100" s="45">
        <f>G99*Interest_Rate/12</f>
        <v>1388.0170741658596</v>
      </c>
      <c r="F100" s="45">
        <f t="shared" si="3"/>
        <v>4118.2581229601728</v>
      </c>
      <c r="G100" s="45">
        <f t="shared" si="4"/>
        <v>162443.790776943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6.5" customHeight="1">
      <c r="A101" s="18"/>
      <c r="B101" s="43">
        <v>87</v>
      </c>
      <c r="C101" s="44">
        <f>EDATE(AmortizationSchedule!C100,1)</f>
        <v>48305</v>
      </c>
      <c r="D101" s="45">
        <f>Monthly_Payment</f>
        <v>5506.2751971260323</v>
      </c>
      <c r="E101" s="45">
        <f>G100*Interest_Rate/12</f>
        <v>1353.6982564745251</v>
      </c>
      <c r="F101" s="45">
        <f t="shared" si="3"/>
        <v>4152.5769406515074</v>
      </c>
      <c r="G101" s="45">
        <f t="shared" si="4"/>
        <v>158291.21383629148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6.5" customHeight="1">
      <c r="A102" s="18"/>
      <c r="B102" s="43">
        <v>88</v>
      </c>
      <c r="C102" s="44">
        <f>EDATE(AmortizationSchedule!C101,1)</f>
        <v>48335</v>
      </c>
      <c r="D102" s="45">
        <f>Monthly_Payment</f>
        <v>5506.2751971260323</v>
      </c>
      <c r="E102" s="45">
        <f>G101*Interest_Rate/12</f>
        <v>1319.0934486357626</v>
      </c>
      <c r="F102" s="45">
        <f t="shared" si="3"/>
        <v>4187.1817484902695</v>
      </c>
      <c r="G102" s="45">
        <f t="shared" si="4"/>
        <v>154104.03208780123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6.5" customHeight="1">
      <c r="A103" s="18"/>
      <c r="B103" s="43">
        <v>89</v>
      </c>
      <c r="C103" s="44">
        <f>EDATE(AmortizationSchedule!C102,1)</f>
        <v>48366</v>
      </c>
      <c r="D103" s="45">
        <f>Monthly_Payment</f>
        <v>5506.2751971260323</v>
      </c>
      <c r="E103" s="45">
        <f>G102*Interest_Rate/12</f>
        <v>1284.2002673983436</v>
      </c>
      <c r="F103" s="45">
        <f t="shared" si="3"/>
        <v>4222.0749297276889</v>
      </c>
      <c r="G103" s="45">
        <f t="shared" si="4"/>
        <v>149881.95715807355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6.5" customHeight="1">
      <c r="A104" s="18"/>
      <c r="B104" s="43">
        <v>90</v>
      </c>
      <c r="C104" s="44">
        <f>EDATE(AmortizationSchedule!C103,1)</f>
        <v>48396</v>
      </c>
      <c r="D104" s="45">
        <f>Monthly_Payment</f>
        <v>5506.2751971260323</v>
      </c>
      <c r="E104" s="45">
        <f>G103*Interest_Rate/12</f>
        <v>1249.016309650613</v>
      </c>
      <c r="F104" s="45">
        <f t="shared" si="3"/>
        <v>4257.2588874754192</v>
      </c>
      <c r="G104" s="45">
        <f t="shared" si="4"/>
        <v>145624.69827059814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6.5" customHeight="1">
      <c r="A105" s="18"/>
      <c r="B105" s="43">
        <v>91</v>
      </c>
      <c r="C105" s="44">
        <f>EDATE(AmortizationSchedule!C104,1)</f>
        <v>48427</v>
      </c>
      <c r="D105" s="45">
        <f>Monthly_Payment</f>
        <v>5506.2751971260323</v>
      </c>
      <c r="E105" s="45">
        <f>G104*Interest_Rate/12</f>
        <v>1213.5391522549846</v>
      </c>
      <c r="F105" s="45">
        <f t="shared" si="3"/>
        <v>4292.7360448710479</v>
      </c>
      <c r="G105" s="45">
        <f t="shared" si="4"/>
        <v>141331.9622257271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6.5" customHeight="1">
      <c r="A106" s="18"/>
      <c r="B106" s="43">
        <v>92</v>
      </c>
      <c r="C106" s="44">
        <f>EDATE(AmortizationSchedule!C105,1)</f>
        <v>48458</v>
      </c>
      <c r="D106" s="45">
        <f>Monthly_Payment</f>
        <v>5506.2751971260323</v>
      </c>
      <c r="E106" s="45">
        <f>G105*Interest_Rate/12</f>
        <v>1177.7663518810593</v>
      </c>
      <c r="F106" s="45">
        <f t="shared" si="3"/>
        <v>4328.5088452449727</v>
      </c>
      <c r="G106" s="45">
        <f t="shared" si="4"/>
        <v>137003.45338048213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6.5" customHeight="1">
      <c r="A107" s="18"/>
      <c r="B107" s="43">
        <v>93</v>
      </c>
      <c r="C107" s="44">
        <f>EDATE(AmortizationSchedule!C106,1)</f>
        <v>48488</v>
      </c>
      <c r="D107" s="45">
        <f>Monthly_Payment</f>
        <v>5506.2751971260323</v>
      </c>
      <c r="E107" s="45">
        <f>G106*Interest_Rate/12</f>
        <v>1141.695444837351</v>
      </c>
      <c r="F107" s="45">
        <f t="shared" si="3"/>
        <v>4364.5797522886814</v>
      </c>
      <c r="G107" s="45">
        <f t="shared" si="4"/>
        <v>132638.87362819345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6.5" customHeight="1">
      <c r="A108" s="18"/>
      <c r="B108" s="43">
        <v>94</v>
      </c>
      <c r="C108" s="44">
        <f>EDATE(AmortizationSchedule!C107,1)</f>
        <v>48519</v>
      </c>
      <c r="D108" s="45">
        <f>Monthly_Payment</f>
        <v>5506.2751971260323</v>
      </c>
      <c r="E108" s="45">
        <f>G107*Interest_Rate/12</f>
        <v>1105.3239469016123</v>
      </c>
      <c r="F108" s="45">
        <f t="shared" si="3"/>
        <v>4400.9512502244197</v>
      </c>
      <c r="G108" s="45">
        <f t="shared" si="4"/>
        <v>128237.92237796904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6.5" customHeight="1">
      <c r="A109" s="18"/>
      <c r="B109" s="43">
        <v>95</v>
      </c>
      <c r="C109" s="44">
        <f>EDATE(AmortizationSchedule!C108,1)</f>
        <v>48549</v>
      </c>
      <c r="D109" s="45">
        <f>Monthly_Payment</f>
        <v>5506.2751971260323</v>
      </c>
      <c r="E109" s="45">
        <f>G108*Interest_Rate/12</f>
        <v>1068.649353149742</v>
      </c>
      <c r="F109" s="45">
        <f t="shared" si="3"/>
        <v>4437.6258439762905</v>
      </c>
      <c r="G109" s="45">
        <f t="shared" si="4"/>
        <v>123800.29653399275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6.5" customHeight="1">
      <c r="A110" s="18"/>
      <c r="B110" s="43">
        <v>96</v>
      </c>
      <c r="C110" s="44">
        <f>EDATE(AmortizationSchedule!C109,1)</f>
        <v>48580</v>
      </c>
      <c r="D110" s="45">
        <f>Monthly_Payment</f>
        <v>5506.2751971260323</v>
      </c>
      <c r="E110" s="45">
        <f>G109*Interest_Rate/12</f>
        <v>1031.6691377832728</v>
      </c>
      <c r="F110" s="45">
        <f t="shared" si="3"/>
        <v>4474.6060593427592</v>
      </c>
      <c r="G110" s="45">
        <f t="shared" si="4"/>
        <v>119325.69047464999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6.5" customHeight="1">
      <c r="A111" s="18"/>
      <c r="B111" s="43">
        <v>97</v>
      </c>
      <c r="C111" s="44">
        <f>EDATE(AmortizationSchedule!C110,1)</f>
        <v>48611</v>
      </c>
      <c r="D111" s="45">
        <f>Monthly_Payment</f>
        <v>5506.2751971260323</v>
      </c>
      <c r="E111" s="45">
        <f>G110*Interest_Rate/12</f>
        <v>994.38075395541671</v>
      </c>
      <c r="F111" s="45">
        <f t="shared" si="3"/>
        <v>4511.8944431706159</v>
      </c>
      <c r="G111" s="45">
        <f t="shared" si="4"/>
        <v>114813.79603147937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6.5" customHeight="1">
      <c r="A112" s="18"/>
      <c r="B112" s="43">
        <v>98</v>
      </c>
      <c r="C112" s="44">
        <f>EDATE(AmortizationSchedule!C111,1)</f>
        <v>48639</v>
      </c>
      <c r="D112" s="45">
        <f>Monthly_Payment</f>
        <v>5506.2751971260323</v>
      </c>
      <c r="E112" s="45">
        <f>G111*Interest_Rate/12</f>
        <v>956.78163359566145</v>
      </c>
      <c r="F112" s="45">
        <f t="shared" si="3"/>
        <v>4549.4935635303709</v>
      </c>
      <c r="G112" s="45">
        <f t="shared" si="4"/>
        <v>110264.302467949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6.5" customHeight="1">
      <c r="A113" s="18"/>
      <c r="B113" s="43">
        <v>99</v>
      </c>
      <c r="C113" s="44">
        <f>EDATE(AmortizationSchedule!C112,1)</f>
        <v>48670</v>
      </c>
      <c r="D113" s="45">
        <f>Monthly_Payment</f>
        <v>5506.2751971260323</v>
      </c>
      <c r="E113" s="45">
        <f>G112*Interest_Rate/12</f>
        <v>918.86918723290853</v>
      </c>
      <c r="F113" s="45">
        <f t="shared" si="3"/>
        <v>4587.4060098931241</v>
      </c>
      <c r="G113" s="45">
        <f t="shared" si="4"/>
        <v>105676.89645805588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6.5" customHeight="1">
      <c r="A114" s="18"/>
      <c r="B114" s="43">
        <v>100</v>
      </c>
      <c r="C114" s="44">
        <f>EDATE(AmortizationSchedule!C113,1)</f>
        <v>48700</v>
      </c>
      <c r="D114" s="45">
        <f>Monthly_Payment</f>
        <v>5506.2751971260323</v>
      </c>
      <c r="E114" s="45">
        <f>G113*Interest_Rate/12</f>
        <v>880.64080381713245</v>
      </c>
      <c r="F114" s="45">
        <f t="shared" si="3"/>
        <v>4625.6343933089001</v>
      </c>
      <c r="G114" s="45">
        <f t="shared" si="4"/>
        <v>101051.26206474699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6.5" customHeight="1">
      <c r="A115" s="18"/>
      <c r="B115" s="43">
        <v>101</v>
      </c>
      <c r="C115" s="44">
        <f>EDATE(AmortizationSchedule!C114,1)</f>
        <v>48731</v>
      </c>
      <c r="D115" s="45">
        <f>Monthly_Payment</f>
        <v>5506.2751971260323</v>
      </c>
      <c r="E115" s="45">
        <f>G114*Interest_Rate/12</f>
        <v>842.09385053955828</v>
      </c>
      <c r="F115" s="45">
        <f t="shared" si="3"/>
        <v>4664.1813465864743</v>
      </c>
      <c r="G115" s="45">
        <f t="shared" si="4"/>
        <v>96387.08071816052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6.5" customHeight="1">
      <c r="A116" s="18"/>
      <c r="B116" s="43">
        <v>102</v>
      </c>
      <c r="C116" s="44">
        <f>EDATE(AmortizationSchedule!C115,1)</f>
        <v>48761</v>
      </c>
      <c r="D116" s="45">
        <f>Monthly_Payment</f>
        <v>5506.2751971260323</v>
      </c>
      <c r="E116" s="45">
        <f>G115*Interest_Rate/12</f>
        <v>803.22567265133773</v>
      </c>
      <c r="F116" s="45">
        <f t="shared" si="3"/>
        <v>4703.0495244746944</v>
      </c>
      <c r="G116" s="45">
        <f t="shared" si="4"/>
        <v>91684.03119368582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6.5" customHeight="1">
      <c r="A117" s="18"/>
      <c r="B117" s="43">
        <v>103</v>
      </c>
      <c r="C117" s="44">
        <f>EDATE(AmortizationSchedule!C116,1)</f>
        <v>48792</v>
      </c>
      <c r="D117" s="45">
        <f>Monthly_Payment</f>
        <v>5506.2751971260323</v>
      </c>
      <c r="E117" s="45">
        <f>G116*Interest_Rate/12</f>
        <v>764.03359328071519</v>
      </c>
      <c r="F117" s="45">
        <f t="shared" si="3"/>
        <v>4742.2416038453175</v>
      </c>
      <c r="G117" s="45">
        <f t="shared" si="4"/>
        <v>86941.789589840497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6.5" customHeight="1">
      <c r="A118" s="18"/>
      <c r="B118" s="43">
        <v>104</v>
      </c>
      <c r="C118" s="44">
        <f>EDATE(AmortizationSchedule!C117,1)</f>
        <v>48823</v>
      </c>
      <c r="D118" s="45">
        <f>Monthly_Payment</f>
        <v>5506.2751971260323</v>
      </c>
      <c r="E118" s="45">
        <f>G117*Interest_Rate/12</f>
        <v>724.51491324867084</v>
      </c>
      <c r="F118" s="45">
        <f t="shared" si="3"/>
        <v>4781.7602838773619</v>
      </c>
      <c r="G118" s="45">
        <f t="shared" si="4"/>
        <v>82160.029305963137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6.5" customHeight="1">
      <c r="A119" s="18"/>
      <c r="B119" s="43">
        <v>105</v>
      </c>
      <c r="C119" s="44">
        <f>EDATE(AmortizationSchedule!C118,1)</f>
        <v>48853</v>
      </c>
      <c r="D119" s="45">
        <f>Monthly_Payment</f>
        <v>5506.2751971260323</v>
      </c>
      <c r="E119" s="45">
        <f>G118*Interest_Rate/12</f>
        <v>684.66691088302616</v>
      </c>
      <c r="F119" s="45">
        <f t="shared" si="3"/>
        <v>4821.6082862430058</v>
      </c>
      <c r="G119" s="45">
        <f t="shared" si="4"/>
        <v>77338.421019720132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6.5" customHeight="1">
      <c r="A120" s="18"/>
      <c r="B120" s="43">
        <v>106</v>
      </c>
      <c r="C120" s="44">
        <f>EDATE(AmortizationSchedule!C119,1)</f>
        <v>48884</v>
      </c>
      <c r="D120" s="45">
        <f>Monthly_Payment</f>
        <v>5506.2751971260323</v>
      </c>
      <c r="E120" s="45">
        <f>G119*Interest_Rate/12</f>
        <v>644.48684183100113</v>
      </c>
      <c r="F120" s="45">
        <f t="shared" si="3"/>
        <v>4861.7883552950316</v>
      </c>
      <c r="G120" s="45">
        <f t="shared" si="4"/>
        <v>72476.632664425095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6.5" customHeight="1">
      <c r="A121" s="18"/>
      <c r="B121" s="43">
        <v>107</v>
      </c>
      <c r="C121" s="44">
        <f>EDATE(AmortizationSchedule!C120,1)</f>
        <v>48914</v>
      </c>
      <c r="D121" s="45">
        <f>Monthly_Payment</f>
        <v>5506.2751971260323</v>
      </c>
      <c r="E121" s="45">
        <f>G120*Interest_Rate/12</f>
        <v>603.9719388702091</v>
      </c>
      <c r="F121" s="45">
        <f t="shared" si="3"/>
        <v>4902.3032582558235</v>
      </c>
      <c r="G121" s="45">
        <f t="shared" si="4"/>
        <v>67574.329406169272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6.5" customHeight="1">
      <c r="A122" s="18"/>
      <c r="B122" s="43">
        <v>108</v>
      </c>
      <c r="C122" s="44">
        <f>EDATE(AmortizationSchedule!C121,1)</f>
        <v>48945</v>
      </c>
      <c r="D122" s="45">
        <f>Monthly_Payment</f>
        <v>5506.2751971260323</v>
      </c>
      <c r="E122" s="45">
        <f>G121*Interest_Rate/12</f>
        <v>563.11941171807723</v>
      </c>
      <c r="F122" s="45">
        <f t="shared" si="3"/>
        <v>4943.1557854079547</v>
      </c>
      <c r="G122" s="45">
        <f t="shared" si="4"/>
        <v>62631.173620761314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6.5" customHeight="1">
      <c r="A123" s="18"/>
      <c r="B123" s="43">
        <v>109</v>
      </c>
      <c r="C123" s="44">
        <f>EDATE(AmortizationSchedule!C122,1)</f>
        <v>48976</v>
      </c>
      <c r="D123" s="45">
        <f>Monthly_Payment</f>
        <v>5506.2751971260323</v>
      </c>
      <c r="E123" s="45">
        <f>G122*Interest_Rate/12</f>
        <v>521.92644683967762</v>
      </c>
      <c r="F123" s="45">
        <f t="shared" si="3"/>
        <v>4984.3487502863545</v>
      </c>
      <c r="G123" s="45">
        <f t="shared" si="4"/>
        <v>57646.824870474957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6.5" customHeight="1">
      <c r="A124" s="18"/>
      <c r="B124" s="43">
        <v>110</v>
      </c>
      <c r="C124" s="44">
        <f>EDATE(AmortizationSchedule!C123,1)</f>
        <v>49004</v>
      </c>
      <c r="D124" s="45">
        <f>Monthly_Payment</f>
        <v>5506.2751971260323</v>
      </c>
      <c r="E124" s="45">
        <f>G123*Interest_Rate/12</f>
        <v>480.39020725395795</v>
      </c>
      <c r="F124" s="45">
        <f t="shared" si="3"/>
        <v>5025.8849898720746</v>
      </c>
      <c r="G124" s="45">
        <f t="shared" si="4"/>
        <v>52620.939880602884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6.5" customHeight="1">
      <c r="A125" s="18"/>
      <c r="B125" s="43">
        <v>111</v>
      </c>
      <c r="C125" s="44">
        <f>EDATE(AmortizationSchedule!C124,1)</f>
        <v>49035</v>
      </c>
      <c r="D125" s="45">
        <f>Monthly_Payment</f>
        <v>5506.2751971260323</v>
      </c>
      <c r="E125" s="45">
        <f>G124*Interest_Rate/12</f>
        <v>438.50783233835745</v>
      </c>
      <c r="F125" s="45">
        <f t="shared" si="3"/>
        <v>5067.7673647876745</v>
      </c>
      <c r="G125" s="45">
        <f t="shared" si="4"/>
        <v>47553.172515815211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6.5" customHeight="1">
      <c r="A126" s="18"/>
      <c r="B126" s="43">
        <v>112</v>
      </c>
      <c r="C126" s="44">
        <f>EDATE(AmortizationSchedule!C125,1)</f>
        <v>49065</v>
      </c>
      <c r="D126" s="45">
        <f>Monthly_Payment</f>
        <v>5506.2751971260323</v>
      </c>
      <c r="E126" s="45">
        <f>G125*Interest_Rate/12</f>
        <v>396.27643763179344</v>
      </c>
      <c r="F126" s="45">
        <f t="shared" si="3"/>
        <v>5109.9987594942386</v>
      </c>
      <c r="G126" s="45">
        <f t="shared" si="4"/>
        <v>42443.173756320975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6.5" customHeight="1">
      <c r="A127" s="18"/>
      <c r="B127" s="43">
        <v>113</v>
      </c>
      <c r="C127" s="44">
        <f>EDATE(AmortizationSchedule!C126,1)</f>
        <v>49096</v>
      </c>
      <c r="D127" s="45">
        <f>Monthly_Payment</f>
        <v>5506.2751971260323</v>
      </c>
      <c r="E127" s="45">
        <f>G126*Interest_Rate/12</f>
        <v>353.69311463600815</v>
      </c>
      <c r="F127" s="45">
        <f t="shared" si="3"/>
        <v>5152.5820824900238</v>
      </c>
      <c r="G127" s="45">
        <f t="shared" si="4"/>
        <v>37290.591673830953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6.5" customHeight="1">
      <c r="A128" s="18"/>
      <c r="B128" s="43">
        <v>114</v>
      </c>
      <c r="C128" s="44">
        <f>EDATE(AmortizationSchedule!C127,1)</f>
        <v>49126</v>
      </c>
      <c r="D128" s="45">
        <f>Monthly_Payment</f>
        <v>5506.2751971260323</v>
      </c>
      <c r="E128" s="45">
        <f>G127*Interest_Rate/12</f>
        <v>310.75493061525793</v>
      </c>
      <c r="F128" s="45">
        <f t="shared" si="3"/>
        <v>5195.5202665107745</v>
      </c>
      <c r="G128" s="45">
        <f t="shared" si="4"/>
        <v>32095.071407320178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6.5" customHeight="1">
      <c r="A129" s="18"/>
      <c r="B129" s="43">
        <v>115</v>
      </c>
      <c r="C129" s="44">
        <f>EDATE(AmortizationSchedule!C128,1)</f>
        <v>49157</v>
      </c>
      <c r="D129" s="45">
        <f>Monthly_Payment</f>
        <v>5506.2751971260323</v>
      </c>
      <c r="E129" s="45">
        <f>G128*Interest_Rate/12</f>
        <v>267.45892839433481</v>
      </c>
      <c r="F129" s="45">
        <f t="shared" si="3"/>
        <v>5238.8162687316972</v>
      </c>
      <c r="G129" s="45">
        <f t="shared" si="4"/>
        <v>26856.25513858848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6.5" customHeight="1">
      <c r="A130" s="18"/>
      <c r="B130" s="43">
        <v>116</v>
      </c>
      <c r="C130" s="44">
        <f>EDATE(AmortizationSchedule!C129,1)</f>
        <v>49188</v>
      </c>
      <c r="D130" s="45">
        <f>Monthly_Payment</f>
        <v>5506.2751971260323</v>
      </c>
      <c r="E130" s="45">
        <f>G129*Interest_Rate/12</f>
        <v>223.80212615490402</v>
      </c>
      <c r="F130" s="45">
        <f t="shared" si="3"/>
        <v>5282.4730709711284</v>
      </c>
      <c r="G130" s="45">
        <f t="shared" si="4"/>
        <v>21573.782067617351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6.5" customHeight="1">
      <c r="A131" s="18"/>
      <c r="B131" s="43">
        <v>117</v>
      </c>
      <c r="C131" s="44">
        <f>EDATE(AmortizationSchedule!C130,1)</f>
        <v>49218</v>
      </c>
      <c r="D131" s="45">
        <f>Monthly_Payment</f>
        <v>5506.2751971260323</v>
      </c>
      <c r="E131" s="45">
        <f>G130*Interest_Rate/12</f>
        <v>179.7815172301446</v>
      </c>
      <c r="F131" s="45">
        <f t="shared" si="3"/>
        <v>5326.4936798958879</v>
      </c>
      <c r="G131" s="45">
        <f t="shared" si="4"/>
        <v>16247.288387721463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6.5" customHeight="1">
      <c r="A132" s="18"/>
      <c r="B132" s="43">
        <v>118</v>
      </c>
      <c r="C132" s="44">
        <f>EDATE(AmortizationSchedule!C131,1)</f>
        <v>49249</v>
      </c>
      <c r="D132" s="45">
        <f>Monthly_Payment</f>
        <v>5506.2751971260323</v>
      </c>
      <c r="E132" s="45">
        <f>G131*Interest_Rate/12</f>
        <v>135.39406989767886</v>
      </c>
      <c r="F132" s="45">
        <f t="shared" si="3"/>
        <v>5370.8811272283538</v>
      </c>
      <c r="G132" s="45">
        <f t="shared" si="4"/>
        <v>10876.40726049311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6.5" customHeight="1">
      <c r="A133" s="18"/>
      <c r="B133" s="43">
        <v>119</v>
      </c>
      <c r="C133" s="44">
        <f>EDATE(AmortizationSchedule!C132,1)</f>
        <v>49279</v>
      </c>
      <c r="D133" s="45">
        <f>Monthly_Payment</f>
        <v>5506.2751971260323</v>
      </c>
      <c r="E133" s="45">
        <f>G132*Interest_Rate/12</f>
        <v>90.636727170775927</v>
      </c>
      <c r="F133" s="45">
        <f t="shared" si="3"/>
        <v>5415.6384699552564</v>
      </c>
      <c r="G133" s="45">
        <f t="shared" si="4"/>
        <v>5460.7687905378534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6.5" customHeight="1">
      <c r="A134" s="18"/>
      <c r="B134" s="43">
        <v>120</v>
      </c>
      <c r="C134" s="44">
        <f>EDATE(AmortizationSchedule!C133,1)</f>
        <v>49310</v>
      </c>
      <c r="D134" s="45">
        <f>Monthly_Payment</f>
        <v>5506.2751971260323</v>
      </c>
      <c r="E134" s="45">
        <f>G133*Interest_Rate/12</f>
        <v>45.506406587815441</v>
      </c>
      <c r="F134" s="45">
        <f t="shared" si="3"/>
        <v>5460.7687905382172</v>
      </c>
      <c r="G134" s="45">
        <f t="shared" si="4"/>
        <v>-3.637978807091713E-10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6.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6.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6.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6.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6.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6.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6.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6.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6.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6.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6.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6.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6.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6.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6.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6.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6.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6.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6.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6.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6.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6.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6.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6.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6.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6.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6.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6.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6.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6.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6.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6.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6.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6.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6.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6.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6.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6.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6.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6.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6.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6.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6.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6.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6.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6.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6.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6.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6.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6.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6.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6.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6.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6.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6.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6.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6.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6.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6.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6.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6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6.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6.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6.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6.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6.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6.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6.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6.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6.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6.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6.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6.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6.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6.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6.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6.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6.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6.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6.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6.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6.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6.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6.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6.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6.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6.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6.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6.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6.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6.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6.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6.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6.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6.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6.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6.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6.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6.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6.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6.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6.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6.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6.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6.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6.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6.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6.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6.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6.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6.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6.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6.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6.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6.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6.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6.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6.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6.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6.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6.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6.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6.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6.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6.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6.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6.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6.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6.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6.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6.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6.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6.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6.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6.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6.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6.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6.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6.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6.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6.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6.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6.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6.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6.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6.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6.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6.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6.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6.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6.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6.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6.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6.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6.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6.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6.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6.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6.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6.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6.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6.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6.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6.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6.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6.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6.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6.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6.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6.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6.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6.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6.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6.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6.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6.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6.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6.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6.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6.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6.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6.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6.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6.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6.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6.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6.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6.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6.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6.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6.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6.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6.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6.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6.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6.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6.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6.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6.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6.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6.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6.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6.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6.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6.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6.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6.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6.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6.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6.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6.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6.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6.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6.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6.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6.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6.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6.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6.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6.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6.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6.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6.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6.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6.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6.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6.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6.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6.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6.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6.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6.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6.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6.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6.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6.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6.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6.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6.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6.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6.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6.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6.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6.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6.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6.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6.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6.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6.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6.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6.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6.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6.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6.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6.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6.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6.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6.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6.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6.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6.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6.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6.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6.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6.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6.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6.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6.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6.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6.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6.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6.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6.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6.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6.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6.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6.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6.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6.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6.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6.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6.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6.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6.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6.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6.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6.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6.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6.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6.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6.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6.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6.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6.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6.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6.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6.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6.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6.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6.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6.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6.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6.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6.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6.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6.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6.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6.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6.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6.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6.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6.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6.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6.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6.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6.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6.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6.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6.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6.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6.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6.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6.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6.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6.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6.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6.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6.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6.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6.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6.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6.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6.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6.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6.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6.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6.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6.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6.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6.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6.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6.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6.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6.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6.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6.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6.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6.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6.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6.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6.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6.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6.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6.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6.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6.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6.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6.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6.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6.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6.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6.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6.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6.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6.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6.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6.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6.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6.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6.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6.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6.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6.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6.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6.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6.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6.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6.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6.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6.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6.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6.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6.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6.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6.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6.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6.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6.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6.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6.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6.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6.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6.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6.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6.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6.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6.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6.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6.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6.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6.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6.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6.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6.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6.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6.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6.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6.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6.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6.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6.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6.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6.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6.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6.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6.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6.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6.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6.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6.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6.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6.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6.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6.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6.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6.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6.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6.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6.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6.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6.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6.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6.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6.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6.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6.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6.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6.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6.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6.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6.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6.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6.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6.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6.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6.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6.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6.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6.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6.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6.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6.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6.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6.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6.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6.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6.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6.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6.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6.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6.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6.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6.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6.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6.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6.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6.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6.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6.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6.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6.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6.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6.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6.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6.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6.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6.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6.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6.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6.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6.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6.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6.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6.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6.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6.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6.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6.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6.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6.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6.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6.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6.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6.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6.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6.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6.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6.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6.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6.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6.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6.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6.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6.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6.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6.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6.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6.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6.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6.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6.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6.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6.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6.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6.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6.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6.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6.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6.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6.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6.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6.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6.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6.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6.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6.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6.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6.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6.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6.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6.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6.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6.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6.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6.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6.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6.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6.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6.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6.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6.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6.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6.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6.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6.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6.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6.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6.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6.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6.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6.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6.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6.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6.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6.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6.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6.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6.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6.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6.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6.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6.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6.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6.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6.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6.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6.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6.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6.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6.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6.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6.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6.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6.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6.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6.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6.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6.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6.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6.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6.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6.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6.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6.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6.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6.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6.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6.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6.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6.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6.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6.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6.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6.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6.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6.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6.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6.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6.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6.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6.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6.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6.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6.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6.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6.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6.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6.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6.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6.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6.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6.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6.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6.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6.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6.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6.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6.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6.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6.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6.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6.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6.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6.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6.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6.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6.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6.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6.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6.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6.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6.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6.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6.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6.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6.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6.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6.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6.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6.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6.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6.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6.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6.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6.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6.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6.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6.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6.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6.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6.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6.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6.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6.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6.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6.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6.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6.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6.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6.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6.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6.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6.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6.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6.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6.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6.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6.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6.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6.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6.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6.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6.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6.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6.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6.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6.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6.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6.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6.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6.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6.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6.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6.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6.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6.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6.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6.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6.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6.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6.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6.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6.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6.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6.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6.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6.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6.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6.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6.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6.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6.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6.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6.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6.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6.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6.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6.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6.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6.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6.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6.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6.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6.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6.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6.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6.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6.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6.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6.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6.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6.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6.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6.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6.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6.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6.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6.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6.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6.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6.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6.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6.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6.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6.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6.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6.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6.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6.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6.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6.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6.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6.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6.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6.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6.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6.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6.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6.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6.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6.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6.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6.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6.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6.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6.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6.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6.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6.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6.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6.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6.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6.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6.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6.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6.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6.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6.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6.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6.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6.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6.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6.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6.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6.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6.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6.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6.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6.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6.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6.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6.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6.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6.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6.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6.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6.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6.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6.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6.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6.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6.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6.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6.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6.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6.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6.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6.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6.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6.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6.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6.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6.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6.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6.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6.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6.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6.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6.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6.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6.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6.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6.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6.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6.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6.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6.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6.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6.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6.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6.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6.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6.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6.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6.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6.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6.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6.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6.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6.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6.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6.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6.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6.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6.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6.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6.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6.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6.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6.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6.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6.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6.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6.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6.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6.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6.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6.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6.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6.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6.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6.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6.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6.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6.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6.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6.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6.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6.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6.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6.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6.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6.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6.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6.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6.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">
    <mergeCell ref="B1:G1"/>
    <mergeCell ref="B3:D3"/>
  </mergeCells>
  <printOptions horizontalCentered="1"/>
  <pageMargins left="0.25" right="0.7" top="0.75" bottom="0.2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Challenge</vt:lpstr>
      <vt:lpstr>AmortizationSchedule</vt:lpstr>
      <vt:lpstr>Amount_Financed</vt:lpstr>
      <vt:lpstr>Down_Payment</vt:lpstr>
      <vt:lpstr>Interest_Rate</vt:lpstr>
      <vt:lpstr>Loan_Date</vt:lpstr>
      <vt:lpstr>Monthly_Payment</vt:lpstr>
      <vt:lpstr>Purchase_Price</vt:lpstr>
      <vt:lpstr>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Тарас Андрійович Осипчук</cp:lastModifiedBy>
  <dcterms:created xsi:type="dcterms:W3CDTF">2015-06-05T18:19:34Z</dcterms:created>
  <dcterms:modified xsi:type="dcterms:W3CDTF">2026-07-08T19:48:22Z</dcterms:modified>
</cp:coreProperties>
</file>