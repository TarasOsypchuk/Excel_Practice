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inkPad\Desktop\Excel_Practice-main\46+ExcelChallenges_from_Goskills\36-Challenge_CalculateAndMaximizeCommissionWithWhatIfAnalysis\"/>
    </mc:Choice>
  </mc:AlternateContent>
  <xr:revisionPtr revIDLastSave="0" documentId="13_ncr:1_{4FE0ABB1-A768-41DF-8C3A-A12341AD96E5}" xr6:coauthVersionLast="47" xr6:coauthVersionMax="47" xr10:uidLastSave="{00000000-0000-0000-0000-000000000000}"/>
  <bookViews>
    <workbookView xWindow="-120" yWindow="-120" windowWidth="29040" windowHeight="15720" xr2:uid="{C72C0276-5D73-4F7C-98A6-765D4DFADA4B}"/>
  </bookViews>
  <sheets>
    <sheet name="EC-36" sheetId="2" r:id="rId1"/>
  </sheets>
  <definedNames>
    <definedName name="Commission">'EC-36'!$H$3:$J$8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8" i="2" l="1" a="1"/>
  <c r="F48" i="2" s="1"/>
  <c r="F47" i="2" a="1"/>
  <c r="F47" i="2" s="1"/>
  <c r="F46" i="2" a="1"/>
  <c r="F46" i="2" s="1"/>
  <c r="F45" i="2" a="1"/>
  <c r="F45" i="2" s="1"/>
  <c r="F44" i="2" a="1"/>
  <c r="F44" i="2" s="1"/>
  <c r="F43" i="2" a="1"/>
  <c r="F43" i="2" s="1"/>
  <c r="F42" i="2" a="1"/>
  <c r="F42" i="2" s="1"/>
  <c r="F41" i="2" a="1"/>
  <c r="F41" i="2" s="1"/>
  <c r="F40" i="2" a="1"/>
  <c r="F40" i="2" s="1"/>
  <c r="F39" i="2" a="1"/>
  <c r="F39" i="2" s="1"/>
  <c r="F38" i="2" a="1"/>
  <c r="F38" i="2" s="1"/>
  <c r="F37" i="2" a="1"/>
  <c r="F37" i="2" s="1"/>
  <c r="F36" i="2" a="1"/>
  <c r="F36" i="2" s="1"/>
  <c r="F35" i="2" a="1"/>
  <c r="F35" i="2" s="1"/>
  <c r="F34" i="2" a="1"/>
  <c r="F34" i="2" s="1"/>
  <c r="F33" i="2" a="1"/>
  <c r="F33" i="2" s="1"/>
  <c r="F32" i="2" a="1"/>
  <c r="F32" i="2" s="1"/>
  <c r="F31" i="2" a="1"/>
  <c r="F31" i="2" s="1"/>
  <c r="F30" i="2" a="1"/>
  <c r="F30" i="2" s="1"/>
  <c r="F29" i="2" a="1"/>
  <c r="F29" i="2" s="1"/>
  <c r="F28" i="2" a="1"/>
  <c r="F28" i="2" s="1"/>
  <c r="F27" i="2" a="1"/>
  <c r="F27" i="2" s="1"/>
  <c r="F26" i="2" a="1"/>
  <c r="F26" i="2" s="1"/>
  <c r="F25" i="2" a="1"/>
  <c r="F25" i="2" s="1"/>
  <c r="F24" i="2" a="1"/>
  <c r="F24" i="2" s="1"/>
  <c r="F23" i="2" a="1"/>
  <c r="F23" i="2" s="1"/>
  <c r="F22" i="2" a="1"/>
  <c r="F22" i="2" s="1"/>
  <c r="F21" i="2" a="1"/>
  <c r="F21" i="2" s="1"/>
  <c r="F20" i="2" a="1"/>
  <c r="F20" i="2" s="1"/>
  <c r="F19" i="2" a="1"/>
  <c r="F19" i="2" s="1"/>
  <c r="F18" i="2" a="1"/>
  <c r="F18" i="2" s="1"/>
  <c r="F17" i="2" a="1"/>
  <c r="F17" i="2" s="1"/>
  <c r="F16" i="2" a="1"/>
  <c r="F16" i="2" s="1"/>
  <c r="F15" i="2" a="1"/>
  <c r="F15" i="2" s="1"/>
  <c r="F14" i="2" a="1"/>
  <c r="F14" i="2" s="1"/>
  <c r="F13" i="2" a="1"/>
  <c r="F13" i="2" s="1"/>
  <c r="F12" i="2" a="1"/>
  <c r="F12" i="2" s="1"/>
  <c r="F11" i="2" a="1"/>
  <c r="F11" i="2" s="1"/>
  <c r="F10" i="2" a="1"/>
  <c r="F10" i="2" s="1"/>
  <c r="F9" i="2" a="1"/>
  <c r="F9" i="2" s="1"/>
  <c r="F8" i="2" a="1"/>
  <c r="F8" i="2" s="1"/>
  <c r="F7" i="2" a="1"/>
  <c r="F7" i="2" s="1"/>
  <c r="F6" i="2" a="1"/>
  <c r="F6" i="2" s="1"/>
  <c r="F5" i="2" a="1"/>
  <c r="F5" i="2" s="1"/>
  <c r="F4" i="2" a="1"/>
  <c r="F4" i="2" s="1"/>
  <c r="I13" i="2" l="1"/>
  <c r="I16" i="2"/>
  <c r="I14" i="2"/>
  <c r="I15" i="2"/>
  <c r="I1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2A2F5C-D9A2-4D99-ACD0-47BAF2CCE509}"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<sst xmlns="http://schemas.openxmlformats.org/spreadsheetml/2006/main" count="153" uniqueCount="77">
  <si>
    <t>Team</t>
  </si>
  <si>
    <t>Sales</t>
  </si>
  <si>
    <t>Sales Team 1</t>
  </si>
  <si>
    <t>Sales Team 2</t>
  </si>
  <si>
    <t>Bottom</t>
  </si>
  <si>
    <t>Top</t>
  </si>
  <si>
    <t>Total</t>
  </si>
  <si>
    <t xml:space="preserve"> Employee Name   </t>
  </si>
  <si>
    <t xml:space="preserve"> Location       </t>
  </si>
  <si>
    <t xml:space="preserve"> Department  </t>
  </si>
  <si>
    <t xml:space="preserve"> Salary </t>
  </si>
  <si>
    <t>John Doe</t>
  </si>
  <si>
    <t>New York</t>
  </si>
  <si>
    <t>Jane Smith</t>
  </si>
  <si>
    <t>Chicago</t>
  </si>
  <si>
    <t>Robert Johnson</t>
  </si>
  <si>
    <t>Los Angeles</t>
  </si>
  <si>
    <t>Emily Davis</t>
  </si>
  <si>
    <t>San Francisco</t>
  </si>
  <si>
    <t>Michael Brown</t>
  </si>
  <si>
    <t>Boston</t>
  </si>
  <si>
    <t>Sarah White</t>
  </si>
  <si>
    <t>Dallas</t>
  </si>
  <si>
    <t>Brian Lee</t>
  </si>
  <si>
    <t>Seattle</t>
  </si>
  <si>
    <t>Lisa Taylor</t>
  </si>
  <si>
    <t>Atlanta</t>
  </si>
  <si>
    <t>Eric Miller</t>
  </si>
  <si>
    <t>Houston</t>
  </si>
  <si>
    <t>Amanda Reed</t>
  </si>
  <si>
    <t>Miami</t>
  </si>
  <si>
    <t>Kevin Wilson</t>
  </si>
  <si>
    <t>Denver</t>
  </si>
  <si>
    <t>Jessica Moore</t>
  </si>
  <si>
    <t>Phoenix</t>
  </si>
  <si>
    <t>Ryan Carter</t>
  </si>
  <si>
    <t>Minneapolis</t>
  </si>
  <si>
    <t>Megan Anderson</t>
  </si>
  <si>
    <t>Philadelphia</t>
  </si>
  <si>
    <t>David Thompson</t>
  </si>
  <si>
    <t>San Diego</t>
  </si>
  <si>
    <t>Jordan Hall</t>
  </si>
  <si>
    <t>Olivia Brown</t>
  </si>
  <si>
    <t>Ethan Turner</t>
  </si>
  <si>
    <t>Grace Walker</t>
  </si>
  <si>
    <t>Tyler Miller</t>
  </si>
  <si>
    <t>Madison Clark</t>
  </si>
  <si>
    <t>Caleb Adams</t>
  </si>
  <si>
    <t>Lily Martinez</t>
  </si>
  <si>
    <t>Connor Hall</t>
  </si>
  <si>
    <t>Zoey Baker</t>
  </si>
  <si>
    <t>Andrew King</t>
  </si>
  <si>
    <t>Chloe Allen</t>
  </si>
  <si>
    <t>Nathan Davis</t>
  </si>
  <si>
    <t>Emma Cooper</t>
  </si>
  <si>
    <t>Samuel White</t>
  </si>
  <si>
    <t>Sophia Moore</t>
  </si>
  <si>
    <t>Dylan Scott</t>
  </si>
  <si>
    <t>Aria Baker</t>
  </si>
  <si>
    <t>Mason Turner</t>
  </si>
  <si>
    <t>Ava Brooks</t>
  </si>
  <si>
    <t>Lucas Taylor</t>
  </si>
  <si>
    <t>Ella Martin</t>
  </si>
  <si>
    <t>Jack Allen</t>
  </si>
  <si>
    <t>Harper Adams</t>
  </si>
  <si>
    <t>Isaac Turner</t>
  </si>
  <si>
    <t>Sofia Carter</t>
  </si>
  <si>
    <t>Brayden Wilson</t>
  </si>
  <si>
    <t>Avery Clark</t>
  </si>
  <si>
    <t>Scarlett King</t>
  </si>
  <si>
    <t>Liam Miller</t>
  </si>
  <si>
    <t>Sales Team 3</t>
  </si>
  <si>
    <t>Sales Team 4</t>
  </si>
  <si>
    <t>Total Comission</t>
  </si>
  <si>
    <t>Commission Table</t>
  </si>
  <si>
    <t>Commission</t>
  </si>
  <si>
    <t>Sales Teams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</si>
</sst>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0_);_(* \(#,##0.00\);_(* &quot;-&quot;??_);_(@_)"/>
    <numFmt numFmtId="166" formatCode="&quot;$&quot;#,##0"/>
    <numFmt numFmtId="167" formatCode="_(* #,##0_);_(* \(#,##0\);_(* &quot;-&quot;??_);_(@_)"/>
  </numFmts>
  <fonts count="5" x14ac:knownFonts="1">
    <font>
      <sz val="11"/>
      <color theme="1"/>
      <name val="Aptos"/>
      <family val="2"/>
    </font>
    <font>
      <sz val="11"/>
      <color theme="1"/>
      <name val="Aptos"/>
      <family val="2"/>
    </font>
    <font>
      <b/>
      <sz val="11"/>
      <color theme="0"/>
      <name val="Aptos"/>
      <family val="2"/>
    </font>
    <font>
      <b/>
      <sz val="12"/>
      <color theme="1"/>
      <name val="Aptos"/>
      <family val="2"/>
    </font>
    <font>
      <b/>
      <i/>
      <sz val="11"/>
      <color theme="1"/>
      <name val="Aptos"/>
      <family val="2"/>
    </font>
  </fonts>
  <fills count="6">
    <fill>
      <patternFill patternType="none"/>
    </fill>
    <fill>
      <patternFill patternType="gray125"/>
    </fill>
    <fill>
      <patternFill patternType="solid">
        <fgColor theme="9"/>
        <bgColor theme="9"/>
      </patternFill>
    </fill>
    <fill>
      <patternFill patternType="solid">
        <fgColor theme="9" tint="-0.249977111117893"/>
        <bgColor theme="9"/>
      </patternFill>
    </fill>
    <fill>
      <patternFill patternType="solid">
        <fgColor theme="8" tint="-0.249977111117893"/>
        <bgColor indexed="64"/>
      </patternFill>
    </fill>
    <fill>
      <patternFill patternType="solid">
        <fgColor theme="2" tint="-9.9978637043366805E-2"/>
        <bgColor indexed="64"/>
      </patternFill>
    </fill>
  </fills>
  <borders count="5">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NumberFormat="1"/>
    <xf numFmtId="0" fontId="2" fillId="2" borderId="1" xfId="0" applyFont="1" applyFill="1" applyBorder="1"/>
    <xf numFmtId="0" fontId="2" fillId="2" borderId="2" xfId="0" applyFont="1" applyFill="1" applyBorder="1"/>
    <xf numFmtId="166" fontId="2" fillId="2" borderId="3" xfId="0" applyNumberFormat="1" applyFont="1" applyFill="1" applyBorder="1"/>
    <xf numFmtId="166" fontId="0" fillId="0" borderId="0" xfId="0" applyNumberFormat="1"/>
    <xf numFmtId="167" fontId="0" fillId="0" borderId="0" xfId="1" applyNumberFormat="1" applyFont="1"/>
    <xf numFmtId="166" fontId="2" fillId="3" borderId="0" xfId="0" applyNumberFormat="1" applyFont="1" applyFill="1" applyBorder="1"/>
    <xf numFmtId="0" fontId="2" fillId="3" borderId="0" xfId="0" applyNumberFormat="1" applyFont="1" applyFill="1" applyBorder="1"/>
    <xf numFmtId="0" fontId="2" fillId="4" borderId="4" xfId="0" applyFont="1" applyFill="1" applyBorder="1"/>
    <xf numFmtId="167" fontId="0" fillId="0" borderId="4" xfId="1" applyNumberFormat="1" applyFont="1" applyBorder="1"/>
    <xf numFmtId="0" fontId="0" fillId="0" borderId="4" xfId="0" applyBorder="1"/>
    <xf numFmtId="0" fontId="3" fillId="0" borderId="0" xfId="0" applyFont="1"/>
    <xf numFmtId="166" fontId="3" fillId="0" borderId="0" xfId="0" applyNumberFormat="1" applyFont="1"/>
    <xf numFmtId="0" fontId="3" fillId="0" borderId="0" xfId="0" applyNumberFormat="1" applyFont="1"/>
    <xf numFmtId="9" fontId="3" fillId="0" borderId="0" xfId="0" applyNumberFormat="1" applyFont="1"/>
    <xf numFmtId="0" fontId="4" fillId="5" borderId="4" xfId="0" applyFont="1" applyFill="1" applyBorder="1"/>
    <xf numFmtId="167" fontId="0" fillId="5" borderId="4" xfId="1" applyNumberFormat="1" applyFont="1" applyFill="1" applyBorder="1"/>
    <xf numFmtId="9" fontId="0" fillId="0" borderId="4" xfId="2" applyFont="1" applyBorder="1"/>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807720</xdr:colOff>
      <xdr:row>1</xdr:row>
      <xdr:rowOff>0</xdr:rowOff>
    </xdr:from>
    <xdr:to>
      <xdr:col>16</xdr:col>
      <xdr:colOff>419100</xdr:colOff>
      <xdr:row>27</xdr:row>
      <xdr:rowOff>38100</xdr:rowOff>
    </xdr:to>
    <xdr:sp macro="" textlink="">
      <xdr:nvSpPr>
        <xdr:cNvPr id="2" name="Rectangle: Rounded Corners 1">
          <a:extLst>
            <a:ext uri="{FF2B5EF4-FFF2-40B4-BE49-F238E27FC236}">
              <a16:creationId xmlns:a16="http://schemas.microsoft.com/office/drawing/2014/main" id="{5D461FD2-AA04-6966-0F91-C12BB9CA8247}"/>
            </a:ext>
          </a:extLst>
        </xdr:cNvPr>
        <xdr:cNvSpPr/>
      </xdr:nvSpPr>
      <xdr:spPr>
        <a:xfrm>
          <a:off x="10424160" y="198120"/>
          <a:ext cx="3992880" cy="4792980"/>
        </a:xfrm>
        <a:prstGeom prst="roundRect">
          <a:avLst>
            <a:gd name="adj" fmla="val 4196"/>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b="1"/>
            <a:t>Exercise</a:t>
          </a:r>
          <a:r>
            <a:rPr lang="en-US" sz="1100" b="1" baseline="0"/>
            <a:t> 1:</a:t>
          </a:r>
        </a:p>
        <a:p>
          <a:pPr algn="l"/>
          <a:r>
            <a:rPr lang="en-US" sz="1100"/>
            <a:t>- Calculate the commission</a:t>
          </a:r>
          <a:r>
            <a:rPr lang="en-US" sz="1100" baseline="0"/>
            <a:t> amount for each employee using the commission table on the right. Commission is calculated based on the sales generated by each employee. </a:t>
          </a:r>
        </a:p>
        <a:p>
          <a:pPr algn="l"/>
          <a:endParaRPr lang="en-US" sz="1100" baseline="0"/>
        </a:p>
        <a:p>
          <a:pPr algn="l"/>
          <a:r>
            <a:rPr lang="en-US" sz="1100" baseline="0"/>
            <a:t>- Edit the formula so the commission amount is based off the salary. E.g. if the commission is 0.2, display this as 20% of the salary amount. </a:t>
          </a:r>
        </a:p>
        <a:p>
          <a:pPr algn="l"/>
          <a:endParaRPr lang="en-US" sz="1100" baseline="0"/>
        </a:p>
        <a:p>
          <a:pPr algn="l"/>
          <a:r>
            <a:rPr lang="en-US" sz="1100" baseline="0"/>
            <a:t>- Add error handling to the formula so that any sales that fall below the minimum threshold in the commision table show as blank cells and not #NA. </a:t>
          </a:r>
        </a:p>
        <a:p>
          <a:pPr algn="l"/>
          <a:endParaRPr lang="en-US" sz="1100" baseline="0"/>
        </a:p>
        <a:p>
          <a:pPr algn="l"/>
          <a:r>
            <a:rPr lang="en-US" sz="1100" b="1" baseline="0"/>
            <a:t>Exercise 2:</a:t>
          </a:r>
        </a:p>
        <a:p>
          <a:pPr algn="l"/>
          <a:r>
            <a:rPr lang="en-US" sz="1100" b="1" baseline="0"/>
            <a:t>- </a:t>
          </a:r>
          <a:r>
            <a:rPr lang="en-US" sz="1100" b="0" baseline="0"/>
            <a:t>Calculate the total amount of commission given out to each sales team. </a:t>
          </a:r>
        </a:p>
        <a:p>
          <a:pPr algn="l"/>
          <a:endParaRPr lang="en-US" sz="1100" b="0" baseline="0"/>
        </a:p>
        <a:p>
          <a:pPr algn="l"/>
          <a:r>
            <a:rPr lang="en-US" sz="1100" b="0" baseline="0"/>
            <a:t>- Calculate the total amount of comission. </a:t>
          </a:r>
        </a:p>
        <a:p>
          <a:pPr algn="l"/>
          <a:endParaRPr lang="en-US" sz="1100" b="0" baseline="0"/>
        </a:p>
        <a:p>
          <a:pPr algn="l"/>
          <a:r>
            <a:rPr lang="en-US" sz="1100" b="1" baseline="0"/>
            <a:t>Exercise 3:</a:t>
          </a:r>
        </a:p>
        <a:p>
          <a:pPr algn="l"/>
          <a:r>
            <a:rPr lang="en-US" sz="1100" b="0" baseline="0"/>
            <a:t>Your manager has been given a budget of $700,000 for employee commission. If the total amount of commisstion given out falls below this figure, use WhatIf Analysis to modify the commission  amount for the top bracket in the commission table. </a:t>
          </a:r>
        </a:p>
        <a:p>
          <a:pPr algn="l"/>
          <a:endParaRPr lang="en-US" sz="1100" b="0" baseline="0"/>
        </a:p>
        <a:p>
          <a:pPr algn="l"/>
          <a:r>
            <a:rPr lang="en-US" sz="1100" b="0" baseline="0"/>
            <a:t>HINT: Use named ranges or tables to make these exercises easier. </a:t>
          </a: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B7E0-CA49-4760-874D-C27761D30379}">
  <dimension ref="A1:L48"/>
  <sheetViews>
    <sheetView tabSelected="1" workbookViewId="0">
      <selection activeCell="T15" sqref="T15"/>
    </sheetView>
  </sheetViews>
  <sheetFormatPr defaultRowHeight="15" x14ac:dyDescent="0.25"/>
  <cols>
    <col min="1" max="1" width="18" bestFit="1" customWidth="1"/>
    <col min="2" max="2" width="13.125" bestFit="1" customWidth="1"/>
    <col min="3" max="3" width="14" bestFit="1" customWidth="1"/>
    <col min="4" max="4" width="9.75" style="5" customWidth="1"/>
    <col min="5" max="5" width="7.375" style="5" bestFit="1" customWidth="1"/>
    <col min="6" max="6" width="11.875" style="1" bestFit="1" customWidth="1"/>
    <col min="8" max="8" width="13" customWidth="1"/>
    <col min="9" max="9" width="15.375" customWidth="1"/>
    <col min="10" max="10" width="11.25" bestFit="1" customWidth="1"/>
    <col min="11" max="11" width="12.5" customWidth="1"/>
    <col min="12" max="12" width="5.75" customWidth="1"/>
    <col min="13" max="13" width="12.25" customWidth="1"/>
    <col min="14" max="14" width="9.375" bestFit="1" customWidth="1"/>
  </cols>
  <sheetData>
    <row r="1" spans="1:12" s="12" customFormat="1" ht="15.75" x14ac:dyDescent="0.25">
      <c r="A1" s="12" t="s">
        <v>76</v>
      </c>
      <c r="D1" s="13"/>
      <c r="E1" s="13"/>
      <c r="F1" s="14"/>
      <c r="H1" s="12" t="s">
        <v>74</v>
      </c>
      <c r="L1" s="15"/>
    </row>
    <row r="3" spans="1:12" x14ac:dyDescent="0.25">
      <c r="A3" s="2" t="s">
        <v>7</v>
      </c>
      <c r="B3" s="3" t="s">
        <v>8</v>
      </c>
      <c r="C3" s="3" t="s">
        <v>9</v>
      </c>
      <c r="D3" s="4" t="s">
        <v>10</v>
      </c>
      <c r="E3" s="7" t="s">
        <v>1</v>
      </c>
      <c r="F3" s="8" t="s">
        <v>75</v>
      </c>
      <c r="H3" s="9" t="s">
        <v>4</v>
      </c>
      <c r="I3" s="9" t="s">
        <v>5</v>
      </c>
      <c r="J3" s="9" t="s">
        <v>75</v>
      </c>
    </row>
    <row r="4" spans="1:12" x14ac:dyDescent="0.25">
      <c r="A4" t="s">
        <v>11</v>
      </c>
      <c r="B4" t="s">
        <v>12</v>
      </c>
      <c r="C4" t="s">
        <v>3</v>
      </c>
      <c r="D4" s="6">
        <v>60000</v>
      </c>
      <c r="E4" s="6">
        <v>29626</v>
      </c>
      <c r="F4" s="6" cm="1">
        <f t="array" ref="F4">IF(ISERROR(_xlfn.IFS(E4&gt;=59999,E4*$J$8,E4&gt;=40000,E4*$J$7,E4&gt;=20000,E4*$J$6,E4&gt;=10000,E4*$J$5,E4&gt;=5000,E4*$J$4)),"",_xlfn.IFS(E4&gt;=59999,E4*$J$8,E4&gt;=40000,E4*$J$7,E4&gt;=20000,E4*$J$6,E4&gt;=10000,E4*$J$5,E4&gt;=5000,E4*$J$4))</f>
        <v>4443.8999999999996</v>
      </c>
      <c r="H4" s="10">
        <v>5000</v>
      </c>
      <c r="I4" s="10">
        <v>9999</v>
      </c>
      <c r="J4" s="18">
        <v>0.05</v>
      </c>
    </row>
    <row r="5" spans="1:12" x14ac:dyDescent="0.25">
      <c r="A5" t="s">
        <v>13</v>
      </c>
      <c r="B5" t="s">
        <v>14</v>
      </c>
      <c r="C5" t="s">
        <v>71</v>
      </c>
      <c r="D5" s="6">
        <v>55000</v>
      </c>
      <c r="E5" s="6">
        <v>59672</v>
      </c>
      <c r="F5" s="6" cm="1">
        <f t="array" ref="F5">IF(ISERROR(_xlfn.IFS(E5&gt;=59999,E5*$J$8,E5&gt;=40000,E5*$J$7,E5&gt;=20000,E5*$J$6,E5&gt;=10000,E5*$J$5,E5&gt;=5000,E5*$J$4)),"",_xlfn.IFS(E5&gt;=59999,E5*$J$8,E5&gt;=40000,E5*$J$7,E5&gt;=20000,E5*$J$6,E5&gt;=10000,E5*$J$5,E5&gt;=5000,E5*$J$4))</f>
        <v>11934.400000000001</v>
      </c>
      <c r="H5" s="10">
        <v>10000</v>
      </c>
      <c r="I5" s="10">
        <v>19999</v>
      </c>
      <c r="J5" s="18">
        <v>0.1</v>
      </c>
    </row>
    <row r="6" spans="1:12" x14ac:dyDescent="0.25">
      <c r="A6" t="s">
        <v>15</v>
      </c>
      <c r="B6" t="s">
        <v>16</v>
      </c>
      <c r="C6" t="s">
        <v>3</v>
      </c>
      <c r="D6" s="6">
        <v>70000</v>
      </c>
      <c r="E6" s="6">
        <v>75154</v>
      </c>
      <c r="F6" s="6" cm="1">
        <f t="array" ref="F6">IF(ISERROR(_xlfn.IFS(E6&gt;=59999,E6*$J$8,E6&gt;=40000,E6*$J$7,E6&gt;=20000,E6*$J$6,E6&gt;=10000,E6*$J$5,E6&gt;=5000,E6*$J$4)),"",_xlfn.IFS(E6&gt;=59999,E6*$J$8,E6&gt;=40000,E6*$J$7,E6&gt;=20000,E6*$J$6,E6&gt;=10000,E6*$J$5,E6&gt;=5000,E6*$J$4))</f>
        <v>23758.211308770748</v>
      </c>
      <c r="H6" s="10">
        <v>20000</v>
      </c>
      <c r="I6" s="10">
        <v>39999</v>
      </c>
      <c r="J6" s="18">
        <v>0.15</v>
      </c>
      <c r="K6" s="6"/>
    </row>
    <row r="7" spans="1:12" x14ac:dyDescent="0.25">
      <c r="A7" t="s">
        <v>17</v>
      </c>
      <c r="B7" t="s">
        <v>18</v>
      </c>
      <c r="C7" t="s">
        <v>2</v>
      </c>
      <c r="D7" s="6">
        <v>65000</v>
      </c>
      <c r="E7" s="6">
        <v>95252</v>
      </c>
      <c r="F7" s="6" cm="1">
        <f t="array" ref="F7">IF(ISERROR(_xlfn.IFS(E7&gt;=59999,E7*$J$8,E7&gt;=40000,E7*$J$7,E7&gt;=20000,E7*$J$6,E7&gt;=10000,E7*$J$5,E7&gt;=5000,E7*$J$4)),"",_xlfn.IFS(E7&gt;=59999,E7*$J$8,E7&gt;=40000,E7*$J$7,E7&gt;=20000,E7*$J$6,E7&gt;=10000,E7*$J$5,E7&gt;=5000,E7*$J$4))</f>
        <v>30111.732490393479</v>
      </c>
      <c r="H7" s="10">
        <v>40000</v>
      </c>
      <c r="I7" s="10">
        <v>59999</v>
      </c>
      <c r="J7" s="18">
        <v>0.2</v>
      </c>
      <c r="K7" s="6"/>
    </row>
    <row r="8" spans="1:12" x14ac:dyDescent="0.25">
      <c r="A8" t="s">
        <v>19</v>
      </c>
      <c r="B8" t="s">
        <v>20</v>
      </c>
      <c r="C8" t="s">
        <v>72</v>
      </c>
      <c r="D8" s="6">
        <v>62000</v>
      </c>
      <c r="E8" s="6">
        <v>26879</v>
      </c>
      <c r="F8" s="6" cm="1">
        <f t="array" ref="F8">IF(ISERROR(_xlfn.IFS(E8&gt;=59999,E8*$J$8,E8&gt;=40000,E8*$J$7,E8&gt;=20000,E8*$J$6,E8&gt;=10000,E8*$J$5,E8&gt;=5000,E8*$J$4)),"",_xlfn.IFS(E8&gt;=59999,E8*$J$8,E8&gt;=40000,E8*$J$7,E8&gt;=20000,E8*$J$6,E8&gt;=10000,E8*$J$5,E8&gt;=5000,E8*$J$4))</f>
        <v>4031.85</v>
      </c>
      <c r="H8" s="10">
        <v>59999</v>
      </c>
      <c r="I8" s="11"/>
      <c r="J8" s="18">
        <v>0.31612703660178765</v>
      </c>
    </row>
    <row r="9" spans="1:12" x14ac:dyDescent="0.25">
      <c r="A9" t="s">
        <v>21</v>
      </c>
      <c r="B9" t="s">
        <v>22</v>
      </c>
      <c r="C9" t="s">
        <v>71</v>
      </c>
      <c r="D9" s="6">
        <v>58000</v>
      </c>
      <c r="E9" s="6">
        <v>85848</v>
      </c>
      <c r="F9" s="6" cm="1">
        <f t="array" ref="F9">IF(ISERROR(_xlfn.IFS(E9&gt;=59999,E9*$J$8,E9&gt;=40000,E9*$J$7,E9&gt;=20000,E9*$J$6,E9&gt;=10000,E9*$J$5,E9&gt;=5000,E9*$J$4)),"",_xlfn.IFS(E9&gt;=59999,E9*$J$8,E9&gt;=40000,E9*$J$7,E9&gt;=20000,E9*$J$6,E9&gt;=10000,E9*$J$5,E9&gt;=5000,E9*$J$4))</f>
        <v>27138.873838190266</v>
      </c>
    </row>
    <row r="10" spans="1:12" x14ac:dyDescent="0.25">
      <c r="A10" t="s">
        <v>23</v>
      </c>
      <c r="B10" t="s">
        <v>24</v>
      </c>
      <c r="C10" t="s">
        <v>3</v>
      </c>
      <c r="D10" s="6">
        <v>72000</v>
      </c>
      <c r="E10" s="6">
        <v>65400</v>
      </c>
      <c r="F10" s="6" cm="1">
        <f t="array" ref="F10">IF(ISERROR(_xlfn.IFS(E10&gt;=59999,E10*$J$8,E10&gt;=40000,E10*$J$7,E10&gt;=20000,E10*$J$6,E10&gt;=10000,E10*$J$5,E10&gt;=5000,E10*$J$4)),"",_xlfn.IFS(E10&gt;=59999,E10*$J$8,E10&gt;=40000,E10*$J$7,E10&gt;=20000,E10*$J$6,E10&gt;=10000,E10*$J$5,E10&gt;=5000,E10*$J$4))</f>
        <v>20674.708193756913</v>
      </c>
    </row>
    <row r="11" spans="1:12" x14ac:dyDescent="0.25">
      <c r="A11" t="s">
        <v>25</v>
      </c>
      <c r="B11" t="s">
        <v>26</v>
      </c>
      <c r="C11" t="s">
        <v>72</v>
      </c>
      <c r="D11" s="6">
        <v>67000</v>
      </c>
      <c r="E11" s="6">
        <v>96971</v>
      </c>
      <c r="F11" s="6" cm="1">
        <f t="array" ref="F11">IF(ISERROR(_xlfn.IFS(E11&gt;=59999,E11*$J$8,E11&gt;=40000,E11*$J$7,E11&gt;=20000,E11*$J$6,E11&gt;=10000,E11*$J$5,E11&gt;=5000,E11*$J$4)),"",_xlfn.IFS(E11&gt;=59999,E11*$J$8,E11&gt;=40000,E11*$J$7,E11&gt;=20000,E11*$J$6,E11&gt;=10000,E11*$J$5,E11&gt;=5000,E11*$J$4))</f>
        <v>30655.15486631195</v>
      </c>
    </row>
    <row r="12" spans="1:12" x14ac:dyDescent="0.25">
      <c r="A12" t="s">
        <v>27</v>
      </c>
      <c r="B12" t="s">
        <v>28</v>
      </c>
      <c r="C12" t="s">
        <v>2</v>
      </c>
      <c r="D12" s="6">
        <v>60000</v>
      </c>
      <c r="E12" s="6">
        <v>4000</v>
      </c>
      <c r="F12" s="6" t="str" cm="1">
        <f t="array" ref="F12">IF(ISERROR(_xlfn.IFS(E12&gt;=59999,E12*$J$8,E12&gt;=40000,E12*$J$7,E12&gt;=20000,E12*$J$6,E12&gt;=10000,E12*$J$5,E12&gt;=5000,E12*$J$4)),"",_xlfn.IFS(E12&gt;=59999,E12*$J$8,E12&gt;=40000,E12*$J$7,E12&gt;=20000,E12*$J$6,E12&gt;=10000,E12*$J$5,E12&gt;=5000,E12*$J$4))</f>
        <v/>
      </c>
      <c r="H12" s="9" t="s">
        <v>0</v>
      </c>
      <c r="I12" s="9" t="s">
        <v>73</v>
      </c>
    </row>
    <row r="13" spans="1:12" x14ac:dyDescent="0.25">
      <c r="A13" t="s">
        <v>29</v>
      </c>
      <c r="B13" t="s">
        <v>30</v>
      </c>
      <c r="C13" t="s">
        <v>3</v>
      </c>
      <c r="D13" s="6">
        <v>53000</v>
      </c>
      <c r="E13" s="6">
        <v>91903</v>
      </c>
      <c r="F13" s="6" cm="1">
        <f t="array" ref="F13">IF(ISERROR(_xlfn.IFS(E13&gt;=59999,E13*$J$8,E13&gt;=40000,E13*$J$7,E13&gt;=20000,E13*$J$6,E13&gt;=10000,E13*$J$5,E13&gt;=5000,E13*$J$4)),"",_xlfn.IFS(E13&gt;=59999,E13*$J$8,E13&gt;=40000,E13*$J$7,E13&gt;=20000,E13*$J$6,E13&gt;=10000,E13*$J$5,E13&gt;=5000,E13*$J$4))</f>
        <v>29053.02304481409</v>
      </c>
      <c r="H13" s="11" t="s">
        <v>2</v>
      </c>
      <c r="I13" s="10">
        <f>SUMIF($C$4:$C$48,H13,$F$4:$F$48)</f>
        <v>188020.29452430111</v>
      </c>
    </row>
    <row r="14" spans="1:12" x14ac:dyDescent="0.25">
      <c r="A14" t="s">
        <v>31</v>
      </c>
      <c r="B14" t="s">
        <v>32</v>
      </c>
      <c r="C14" t="s">
        <v>2</v>
      </c>
      <c r="D14" s="6">
        <v>71000</v>
      </c>
      <c r="E14" s="6">
        <v>89733</v>
      </c>
      <c r="F14" s="6" cm="1">
        <f t="array" ref="F14">IF(ISERROR(_xlfn.IFS(E14&gt;=59999,E14*$J$8,E14&gt;=40000,E14*$J$7,E14&gt;=20000,E14*$J$6,E14&gt;=10000,E14*$J$5,E14&gt;=5000,E14*$J$4)),"",_xlfn.IFS(E14&gt;=59999,E14*$J$8,E14&gt;=40000,E14*$J$7,E14&gt;=20000,E14*$J$6,E14&gt;=10000,E14*$J$5,E14&gt;=5000,E14*$J$4))</f>
        <v>28367.02737538821</v>
      </c>
      <c r="H14" s="11" t="s">
        <v>3</v>
      </c>
      <c r="I14" s="10">
        <f t="shared" ref="I14:I16" si="0">SUMIF($C$4:$C$48,H14,$F$4:$F$48)</f>
        <v>243697.31160899185</v>
      </c>
    </row>
    <row r="15" spans="1:12" x14ac:dyDescent="0.25">
      <c r="A15" t="s">
        <v>33</v>
      </c>
      <c r="B15" t="s">
        <v>34</v>
      </c>
      <c r="C15" t="s">
        <v>72</v>
      </c>
      <c r="D15" s="6">
        <v>59000</v>
      </c>
      <c r="E15" s="6">
        <v>34023</v>
      </c>
      <c r="F15" s="6" cm="1">
        <f t="array" ref="F15">IF(ISERROR(_xlfn.IFS(E15&gt;=59999,E15*$J$8,E15&gt;=40000,E15*$J$7,E15&gt;=20000,E15*$J$6,E15&gt;=10000,E15*$J$5,E15&gt;=5000,E15*$J$4)),"",_xlfn.IFS(E15&gt;=59999,E15*$J$8,E15&gt;=40000,E15*$J$7,E15&gt;=20000,E15*$J$6,E15&gt;=10000,E15*$J$5,E15&gt;=5000,E15*$J$4))</f>
        <v>5103.45</v>
      </c>
      <c r="H15" s="11" t="s">
        <v>71</v>
      </c>
      <c r="I15" s="10">
        <f t="shared" si="0"/>
        <v>91967.515769074656</v>
      </c>
    </row>
    <row r="16" spans="1:12" x14ac:dyDescent="0.25">
      <c r="A16" t="s">
        <v>35</v>
      </c>
      <c r="B16" t="s">
        <v>36</v>
      </c>
      <c r="C16" t="s">
        <v>2</v>
      </c>
      <c r="D16" s="6">
        <v>68000</v>
      </c>
      <c r="E16" s="6">
        <v>85094</v>
      </c>
      <c r="F16" s="6" cm="1">
        <f t="array" ref="F16">IF(ISERROR(_xlfn.IFS(E16&gt;=59999,E16*$J$8,E16&gt;=40000,E16*$J$7,E16&gt;=20000,E16*$J$6,E16&gt;=10000,E16*$J$5,E16&gt;=5000,E16*$J$4)),"",_xlfn.IFS(E16&gt;=59999,E16*$J$8,E16&gt;=40000,E16*$J$7,E16&gt;=20000,E16*$J$6,E16&gt;=10000,E16*$J$5,E16&gt;=5000,E16*$J$4))</f>
        <v>26900.51405259252</v>
      </c>
      <c r="H16" s="11" t="s">
        <v>72</v>
      </c>
      <c r="I16" s="10">
        <f t="shared" si="0"/>
        <v>176314.87809763267</v>
      </c>
    </row>
    <row r="17" spans="1:9" x14ac:dyDescent="0.25">
      <c r="A17" t="s">
        <v>37</v>
      </c>
      <c r="B17" t="s">
        <v>38</v>
      </c>
      <c r="C17" t="s">
        <v>3</v>
      </c>
      <c r="D17" s="6">
        <v>63000</v>
      </c>
      <c r="E17" s="6">
        <v>71722</v>
      </c>
      <c r="F17" s="6" cm="1">
        <f t="array" ref="F17">IF(ISERROR(_xlfn.IFS(E17&gt;=59999,E17*$J$8,E17&gt;=40000,E17*$J$7,E17&gt;=20000,E17*$J$6,E17&gt;=10000,E17*$J$5,E17&gt;=5000,E17*$J$4)),"",_xlfn.IFS(E17&gt;=59999,E17*$J$8,E17&gt;=40000,E17*$J$7,E17&gt;=20000,E17*$J$6,E17&gt;=10000,E17*$J$5,E17&gt;=5000,E17*$J$4))</f>
        <v>22673.263319153415</v>
      </c>
      <c r="H17" s="16" t="s">
        <v>6</v>
      </c>
      <c r="I17" s="17">
        <f>SUM(I13:I16)</f>
        <v>700000.00000000023</v>
      </c>
    </row>
    <row r="18" spans="1:9" x14ac:dyDescent="0.25">
      <c r="A18" t="s">
        <v>39</v>
      </c>
      <c r="B18" t="s">
        <v>40</v>
      </c>
      <c r="C18" t="s">
        <v>2</v>
      </c>
      <c r="D18" s="6">
        <v>54000</v>
      </c>
      <c r="E18" s="6">
        <v>31342</v>
      </c>
      <c r="F18" s="6" cm="1">
        <f t="array" ref="F18">IF(ISERROR(_xlfn.IFS(E18&gt;=59999,E18*$J$8,E18&gt;=40000,E18*$J$7,E18&gt;=20000,E18*$J$6,E18&gt;=10000,E18*$J$5,E18&gt;=5000,E18*$J$4)),"",_xlfn.IFS(E18&gt;=59999,E18*$J$8,E18&gt;=40000,E18*$J$7,E18&gt;=20000,E18*$J$6,E18&gt;=10000,E18*$J$5,E18&gt;=5000,E18*$J$4))</f>
        <v>4701.3</v>
      </c>
    </row>
    <row r="19" spans="1:9" x14ac:dyDescent="0.25">
      <c r="A19" t="s">
        <v>41</v>
      </c>
      <c r="B19" t="s">
        <v>14</v>
      </c>
      <c r="C19" t="s">
        <v>72</v>
      </c>
      <c r="D19" s="6">
        <v>71000</v>
      </c>
      <c r="E19" s="6">
        <v>81966</v>
      </c>
      <c r="F19" s="6" cm="1">
        <f t="array" ref="F19">IF(ISERROR(_xlfn.IFS(E19&gt;=59999,E19*$J$8,E19&gt;=40000,E19*$J$7,E19&gt;=20000,E19*$J$6,E19&gt;=10000,E19*$J$5,E19&gt;=5000,E19*$J$4)),"",_xlfn.IFS(E19&gt;=59999,E19*$J$8,E19&gt;=40000,E19*$J$7,E19&gt;=20000,E19*$J$6,E19&gt;=10000,E19*$J$5,E19&gt;=5000,E19*$J$4))</f>
        <v>25911.668682102125</v>
      </c>
    </row>
    <row r="20" spans="1:9" x14ac:dyDescent="0.25">
      <c r="A20" t="s">
        <v>42</v>
      </c>
      <c r="B20" t="s">
        <v>12</v>
      </c>
      <c r="C20" t="s">
        <v>3</v>
      </c>
      <c r="D20" s="6">
        <v>62000</v>
      </c>
      <c r="E20" s="6">
        <v>46505</v>
      </c>
      <c r="F20" s="6" cm="1">
        <f t="array" ref="F20">IF(ISERROR(_xlfn.IFS(E20&gt;=59999,E20*$J$8,E20&gt;=40000,E20*$J$7,E20&gt;=20000,E20*$J$6,E20&gt;=10000,E20*$J$5,E20&gt;=5000,E20*$J$4)),"",_xlfn.IFS(E20&gt;=59999,E20*$J$8,E20&gt;=40000,E20*$J$7,E20&gt;=20000,E20*$J$6,E20&gt;=10000,E20*$J$5,E20&gt;=5000,E20*$J$4))</f>
        <v>9301</v>
      </c>
    </row>
    <row r="21" spans="1:9" x14ac:dyDescent="0.25">
      <c r="A21" t="s">
        <v>43</v>
      </c>
      <c r="B21" t="s">
        <v>16</v>
      </c>
      <c r="C21" t="s">
        <v>2</v>
      </c>
      <c r="D21" s="6">
        <v>68000</v>
      </c>
      <c r="E21" s="6">
        <v>19284</v>
      </c>
      <c r="F21" s="6" cm="1">
        <f t="array" ref="F21">IF(ISERROR(_xlfn.IFS(E21&gt;=59999,E21*$J$8,E21&gt;=40000,E21*$J$7,E21&gt;=20000,E21*$J$6,E21&gt;=10000,E21*$J$5,E21&gt;=5000,E21*$J$4)),"",_xlfn.IFS(E21&gt;=59999,E21*$J$8,E21&gt;=40000,E21*$J$7,E21&gt;=20000,E21*$J$6,E21&gt;=10000,E21*$J$5,E21&gt;=5000,E21*$J$4))</f>
        <v>1928.4</v>
      </c>
    </row>
    <row r="22" spans="1:9" x14ac:dyDescent="0.25">
      <c r="A22" t="s">
        <v>44</v>
      </c>
      <c r="B22" t="s">
        <v>24</v>
      </c>
      <c r="C22" t="s">
        <v>2</v>
      </c>
      <c r="D22" s="6">
        <v>59000</v>
      </c>
      <c r="E22" s="6">
        <v>4800</v>
      </c>
      <c r="F22" s="6" t="str" cm="1">
        <f t="array" ref="F22">IF(ISERROR(_xlfn.IFS(E22&gt;=59999,E22*$J$8,E22&gt;=40000,E22*$J$7,E22&gt;=20000,E22*$J$6,E22&gt;=10000,E22*$J$5,E22&gt;=5000,E22*$J$4)),"",_xlfn.IFS(E22&gt;=59999,E22*$J$8,E22&gt;=40000,E22*$J$7,E22&gt;=20000,E22*$J$6,E22&gt;=10000,E22*$J$5,E22&gt;=5000,E22*$J$4))</f>
        <v/>
      </c>
    </row>
    <row r="23" spans="1:9" x14ac:dyDescent="0.25">
      <c r="A23" t="s">
        <v>45</v>
      </c>
      <c r="B23" t="s">
        <v>22</v>
      </c>
      <c r="C23" t="s">
        <v>72</v>
      </c>
      <c r="D23" s="6">
        <v>55000</v>
      </c>
      <c r="E23" s="6">
        <v>10094</v>
      </c>
      <c r="F23" s="6" cm="1">
        <f t="array" ref="F23">IF(ISERROR(_xlfn.IFS(E23&gt;=59999,E23*$J$8,E23&gt;=40000,E23*$J$7,E23&gt;=20000,E23*$J$6,E23&gt;=10000,E23*$J$5,E23&gt;=5000,E23*$J$4)),"",_xlfn.IFS(E23&gt;=59999,E23*$J$8,E23&gt;=40000,E23*$J$7,E23&gt;=20000,E23*$J$6,E23&gt;=10000,E23*$J$5,E23&gt;=5000,E23*$J$4))</f>
        <v>1009.4000000000001</v>
      </c>
    </row>
    <row r="24" spans="1:9" x14ac:dyDescent="0.25">
      <c r="A24" t="s">
        <v>46</v>
      </c>
      <c r="B24" t="s">
        <v>26</v>
      </c>
      <c r="C24" t="s">
        <v>2</v>
      </c>
      <c r="D24" s="6">
        <v>61000</v>
      </c>
      <c r="E24" s="6">
        <v>32287</v>
      </c>
      <c r="F24" s="6" cm="1">
        <f t="array" ref="F24">IF(ISERROR(_xlfn.IFS(E24&gt;=59999,E24*$J$8,E24&gt;=40000,E24*$J$7,E24&gt;=20000,E24*$J$6,E24&gt;=10000,E24*$J$5,E24&gt;=5000,E24*$J$4)),"",_xlfn.IFS(E24&gt;=59999,E24*$J$8,E24&gt;=40000,E24*$J$7,E24&gt;=20000,E24*$J$6,E24&gt;=10000,E24*$J$5,E24&gt;=5000,E24*$J$4))</f>
        <v>4843.05</v>
      </c>
    </row>
    <row r="25" spans="1:9" x14ac:dyDescent="0.25">
      <c r="A25" t="s">
        <v>47</v>
      </c>
      <c r="B25" t="s">
        <v>28</v>
      </c>
      <c r="C25" t="s">
        <v>71</v>
      </c>
      <c r="D25" s="6">
        <v>73000</v>
      </c>
      <c r="E25" s="6">
        <v>77547</v>
      </c>
      <c r="F25" s="6" cm="1">
        <f t="array" ref="F25">IF(ISERROR(_xlfn.IFS(E25&gt;=59999,E25*$J$8,E25&gt;=40000,E25*$J$7,E25&gt;=20000,E25*$J$6,E25&gt;=10000,E25*$J$5,E25&gt;=5000,E25*$J$4)),"",_xlfn.IFS(E25&gt;=59999,E25*$J$8,E25&gt;=40000,E25*$J$7,E25&gt;=20000,E25*$J$6,E25&gt;=10000,E25*$J$5,E25&gt;=5000,E25*$J$4))</f>
        <v>24514.703307358828</v>
      </c>
    </row>
    <row r="26" spans="1:9" x14ac:dyDescent="0.25">
      <c r="A26" t="s">
        <v>48</v>
      </c>
      <c r="B26" t="s">
        <v>20</v>
      </c>
      <c r="C26" t="s">
        <v>72</v>
      </c>
      <c r="D26" s="6">
        <v>66000</v>
      </c>
      <c r="E26" s="6">
        <v>43518</v>
      </c>
      <c r="F26" s="6" cm="1">
        <f t="array" ref="F26">IF(ISERROR(_xlfn.IFS(E26&gt;=59999,E26*$J$8,E26&gt;=40000,E26*$J$7,E26&gt;=20000,E26*$J$6,E26&gt;=10000,E26*$J$5,E26&gt;=5000,E26*$J$4)),"",_xlfn.IFS(E26&gt;=59999,E26*$J$8,E26&gt;=40000,E26*$J$7,E26&gt;=20000,E26*$J$6,E26&gt;=10000,E26*$J$5,E26&gt;=5000,E26*$J$4))</f>
        <v>8703.6</v>
      </c>
    </row>
    <row r="27" spans="1:9" x14ac:dyDescent="0.25">
      <c r="A27" t="s">
        <v>49</v>
      </c>
      <c r="B27" t="s">
        <v>34</v>
      </c>
      <c r="C27" t="s">
        <v>72</v>
      </c>
      <c r="D27" s="6">
        <v>64000</v>
      </c>
      <c r="E27" s="6">
        <v>47886</v>
      </c>
      <c r="F27" s="6" cm="1">
        <f t="array" ref="F27">IF(ISERROR(_xlfn.IFS(E27&gt;=59999,E27*$J$8,E27&gt;=40000,E27*$J$7,E27&gt;=20000,E27*$J$6,E27&gt;=10000,E27*$J$5,E27&gt;=5000,E27*$J$4)),"",_xlfn.IFS(E27&gt;=59999,E27*$J$8,E27&gt;=40000,E27*$J$7,E27&gt;=20000,E27*$J$6,E27&gt;=10000,E27*$J$5,E27&gt;=5000,E27*$J$4))</f>
        <v>9577.2000000000007</v>
      </c>
    </row>
    <row r="28" spans="1:9" x14ac:dyDescent="0.25">
      <c r="A28" t="s">
        <v>50</v>
      </c>
      <c r="B28" t="s">
        <v>30</v>
      </c>
      <c r="C28" t="s">
        <v>72</v>
      </c>
      <c r="D28" s="6">
        <v>52000</v>
      </c>
      <c r="E28" s="6">
        <v>40779</v>
      </c>
      <c r="F28" s="6" cm="1">
        <f t="array" ref="F28">IF(ISERROR(_xlfn.IFS(E28&gt;=59999,E28*$J$8,E28&gt;=40000,E28*$J$7,E28&gt;=20000,E28*$J$6,E28&gt;=10000,E28*$J$5,E28&gt;=5000,E28*$J$4)),"",_xlfn.IFS(E28&gt;=59999,E28*$J$8,E28&gt;=40000,E28*$J$7,E28&gt;=20000,E28*$J$6,E28&gt;=10000,E28*$J$5,E28&gt;=5000,E28*$J$4))</f>
        <v>8155.8</v>
      </c>
    </row>
    <row r="29" spans="1:9" x14ac:dyDescent="0.25">
      <c r="A29" t="s">
        <v>51</v>
      </c>
      <c r="B29" t="s">
        <v>18</v>
      </c>
      <c r="C29" t="s">
        <v>72</v>
      </c>
      <c r="D29" s="6">
        <v>63000</v>
      </c>
      <c r="E29" s="6">
        <v>79916</v>
      </c>
      <c r="F29" s="6" cm="1">
        <f t="array" ref="F29">IF(ISERROR(_xlfn.IFS(E29&gt;=59999,E29*$J$8,E29&gt;=40000,E29*$J$7,E29&gt;=20000,E29*$J$6,E29&gt;=10000,E29*$J$5,E29&gt;=5000,E29*$J$4)),"",_xlfn.IFS(E29&gt;=59999,E29*$J$8,E29&gt;=40000,E29*$J$7,E29&gt;=20000,E29*$J$6,E29&gt;=10000,E29*$J$5,E29&gt;=5000,E29*$J$4))</f>
        <v>25263.608257068463</v>
      </c>
    </row>
    <row r="30" spans="1:9" x14ac:dyDescent="0.25">
      <c r="A30" t="s">
        <v>52</v>
      </c>
      <c r="B30" t="s">
        <v>32</v>
      </c>
      <c r="C30" t="s">
        <v>3</v>
      </c>
      <c r="D30" s="6">
        <v>70000</v>
      </c>
      <c r="E30" s="6">
        <v>79575</v>
      </c>
      <c r="F30" s="6" cm="1">
        <f t="array" ref="F30">IF(ISERROR(_xlfn.IFS(E30&gt;=59999,E30*$J$8,E30&gt;=40000,E30*$J$7,E30&gt;=20000,E30*$J$6,E30&gt;=10000,E30*$J$5,E30&gt;=5000,E30*$J$4)),"",_xlfn.IFS(E30&gt;=59999,E30*$J$8,E30&gt;=40000,E30*$J$7,E30&gt;=20000,E30*$J$6,E30&gt;=10000,E30*$J$5,E30&gt;=5000,E30*$J$4))</f>
        <v>25155.808937587251</v>
      </c>
    </row>
    <row r="31" spans="1:9" x14ac:dyDescent="0.25">
      <c r="A31" t="s">
        <v>53</v>
      </c>
      <c r="B31" t="s">
        <v>36</v>
      </c>
      <c r="C31" t="s">
        <v>3</v>
      </c>
      <c r="D31" s="6">
        <v>67000</v>
      </c>
      <c r="E31" s="6">
        <v>86984</v>
      </c>
      <c r="F31" s="6" cm="1">
        <f t="array" ref="F31">IF(ISERROR(_xlfn.IFS(E31&gt;=59999,E31*$J$8,E31&gt;=40000,E31*$J$7,E31&gt;=20000,E31*$J$6,E31&gt;=10000,E31*$J$5,E31&gt;=5000,E31*$J$4)),"",_xlfn.IFS(E31&gt;=59999,E31*$J$8,E31&gt;=40000,E31*$J$7,E31&gt;=20000,E31*$J$6,E31&gt;=10000,E31*$J$5,E31&gt;=5000,E31*$J$4))</f>
        <v>27497.994151769897</v>
      </c>
    </row>
    <row r="32" spans="1:9" x14ac:dyDescent="0.25">
      <c r="A32" t="s">
        <v>54</v>
      </c>
      <c r="B32" t="s">
        <v>38</v>
      </c>
      <c r="C32" t="s">
        <v>2</v>
      </c>
      <c r="D32" s="6">
        <v>61000</v>
      </c>
      <c r="E32" s="6">
        <v>40515</v>
      </c>
      <c r="F32" s="6" cm="1">
        <f t="array" ref="F32">IF(ISERROR(_xlfn.IFS(E32&gt;=59999,E32*$J$8,E32&gt;=40000,E32*$J$7,E32&gt;=20000,E32*$J$6,E32&gt;=10000,E32*$J$5,E32&gt;=5000,E32*$J$4)),"",_xlfn.IFS(E32&gt;=59999,E32*$J$8,E32&gt;=40000,E32*$J$7,E32&gt;=20000,E32*$J$6,E32&gt;=10000,E32*$J$5,E32&gt;=5000,E32*$J$4))</f>
        <v>8103</v>
      </c>
    </row>
    <row r="33" spans="1:6" x14ac:dyDescent="0.25">
      <c r="A33" t="s">
        <v>55</v>
      </c>
      <c r="B33" t="s">
        <v>40</v>
      </c>
      <c r="C33" t="s">
        <v>3</v>
      </c>
      <c r="D33" s="6">
        <v>56000</v>
      </c>
      <c r="E33" s="6">
        <v>66011</v>
      </c>
      <c r="F33" s="6" cm="1">
        <f t="array" ref="F33">IF(ISERROR(_xlfn.IFS(E33&gt;=59999,E33*$J$8,E33&gt;=40000,E33*$J$7,E33&gt;=20000,E33*$J$6,E33&gt;=10000,E33*$J$5,E33&gt;=5000,E33*$J$4)),"",_xlfn.IFS(E33&gt;=59999,E33*$J$8,E33&gt;=40000,E33*$J$7,E33&gt;=20000,E33*$J$6,E33&gt;=10000,E33*$J$5,E33&gt;=5000,E33*$J$4))</f>
        <v>20867.861813120606</v>
      </c>
    </row>
    <row r="34" spans="1:6" x14ac:dyDescent="0.25">
      <c r="A34" t="s">
        <v>56</v>
      </c>
      <c r="B34" t="s">
        <v>14</v>
      </c>
      <c r="C34" t="s">
        <v>72</v>
      </c>
      <c r="D34" s="6">
        <v>72000</v>
      </c>
      <c r="E34" s="6">
        <v>51918</v>
      </c>
      <c r="F34" s="6" cm="1">
        <f t="array" ref="F34">IF(ISERROR(_xlfn.IFS(E34&gt;=59999,E34*$J$8,E34&gt;=40000,E34*$J$7,E34&gt;=20000,E34*$J$6,E34&gt;=10000,E34*$J$5,E34&gt;=5000,E34*$J$4)),"",_xlfn.IFS(E34&gt;=59999,E34*$J$8,E34&gt;=40000,E34*$J$7,E34&gt;=20000,E34*$J$6,E34&gt;=10000,E34*$J$5,E34&gt;=5000,E34*$J$4))</f>
        <v>10383.6</v>
      </c>
    </row>
    <row r="35" spans="1:6" x14ac:dyDescent="0.25">
      <c r="A35" t="s">
        <v>57</v>
      </c>
      <c r="B35" t="s">
        <v>16</v>
      </c>
      <c r="C35" t="s">
        <v>3</v>
      </c>
      <c r="D35" s="6">
        <v>59000</v>
      </c>
      <c r="E35" s="6">
        <v>37849</v>
      </c>
      <c r="F35" s="6" cm="1">
        <f t="array" ref="F35">IF(ISERROR(_xlfn.IFS(E35&gt;=59999,E35*$J$8,E35&gt;=40000,E35*$J$7,E35&gt;=20000,E35*$J$6,E35&gt;=10000,E35*$J$5,E35&gt;=5000,E35*$J$4)),"",_xlfn.IFS(E35&gt;=59999,E35*$J$8,E35&gt;=40000,E35*$J$7,E35&gt;=20000,E35*$J$6,E35&gt;=10000,E35*$J$5,E35&gt;=5000,E35*$J$4))</f>
        <v>5677.3499999999995</v>
      </c>
    </row>
    <row r="36" spans="1:6" x14ac:dyDescent="0.25">
      <c r="A36" t="s">
        <v>58</v>
      </c>
      <c r="B36" t="s">
        <v>12</v>
      </c>
      <c r="C36" t="s">
        <v>72</v>
      </c>
      <c r="D36" s="6">
        <v>69000</v>
      </c>
      <c r="E36" s="6">
        <v>3000</v>
      </c>
      <c r="F36" s="6" t="str" cm="1">
        <f t="array" ref="F36">IF(ISERROR(_xlfn.IFS(E36&gt;=59999,E36*$J$8,E36&gt;=40000,E36*$J$7,E36&gt;=20000,E36*$J$6,E36&gt;=10000,E36*$J$5,E36&gt;=5000,E36*$J$4)),"",_xlfn.IFS(E36&gt;=59999,E36*$J$8,E36&gt;=40000,E36*$J$7,E36&gt;=20000,E36*$J$6,E36&gt;=10000,E36*$J$5,E36&gt;=5000,E36*$J$4))</f>
        <v/>
      </c>
    </row>
    <row r="37" spans="1:6" x14ac:dyDescent="0.25">
      <c r="A37" t="s">
        <v>59</v>
      </c>
      <c r="B37" t="s">
        <v>24</v>
      </c>
      <c r="C37" t="s">
        <v>72</v>
      </c>
      <c r="D37" s="6">
        <v>60000</v>
      </c>
      <c r="E37" s="6">
        <v>61921</v>
      </c>
      <c r="F37" s="6" cm="1">
        <f t="array" ref="F37">IF(ISERROR(_xlfn.IFS(E37&gt;=59999,E37*$J$8,E37&gt;=40000,E37*$J$7,E37&gt;=20000,E37*$J$6,E37&gt;=10000,E37*$J$5,E37&gt;=5000,E37*$J$4)),"",_xlfn.IFS(E37&gt;=59999,E37*$J$8,E37&gt;=40000,E37*$J$7,E37&gt;=20000,E37*$J$6,E37&gt;=10000,E37*$J$5,E37&gt;=5000,E37*$J$4))</f>
        <v>19574.902233419292</v>
      </c>
    </row>
    <row r="38" spans="1:6" x14ac:dyDescent="0.25">
      <c r="A38" t="s">
        <v>60</v>
      </c>
      <c r="B38" t="s">
        <v>26</v>
      </c>
      <c r="C38" t="s">
        <v>2</v>
      </c>
      <c r="D38" s="6">
        <v>54000</v>
      </c>
      <c r="E38" s="6">
        <v>84001</v>
      </c>
      <c r="F38" s="6" cm="1">
        <f t="array" ref="F38">IF(ISERROR(_xlfn.IFS(E38&gt;=59999,E38*$J$8,E38&gt;=40000,E38*$J$7,E38&gt;=20000,E38*$J$6,E38&gt;=10000,E38*$J$5,E38&gt;=5000,E38*$J$4)),"",_xlfn.IFS(E38&gt;=59999,E38*$J$8,E38&gt;=40000,E38*$J$7,E38&gt;=20000,E38*$J$6,E38&gt;=10000,E38*$J$5,E38&gt;=5000,E38*$J$4))</f>
        <v>26554.987201586766</v>
      </c>
    </row>
    <row r="39" spans="1:6" x14ac:dyDescent="0.25">
      <c r="A39" t="s">
        <v>61</v>
      </c>
      <c r="B39" t="s">
        <v>28</v>
      </c>
      <c r="C39" t="s">
        <v>2</v>
      </c>
      <c r="D39" s="6">
        <v>64000</v>
      </c>
      <c r="E39" s="6">
        <v>15101</v>
      </c>
      <c r="F39" s="6" cm="1">
        <f t="array" ref="F39">IF(ISERROR(_xlfn.IFS(E39&gt;=59999,E39*$J$8,E39&gt;=40000,E39*$J$7,E39&gt;=20000,E39*$J$6,E39&gt;=10000,E39*$J$5,E39&gt;=5000,E39*$J$4)),"",_xlfn.IFS(E39&gt;=59999,E39*$J$8,E39&gt;=40000,E39*$J$7,E39&gt;=20000,E39*$J$6,E39&gt;=10000,E39*$J$5,E39&gt;=5000,E39*$J$4))</f>
        <v>1510.1000000000001</v>
      </c>
    </row>
    <row r="40" spans="1:6" x14ac:dyDescent="0.25">
      <c r="A40" t="s">
        <v>62</v>
      </c>
      <c r="B40" t="s">
        <v>22</v>
      </c>
      <c r="C40" t="s">
        <v>3</v>
      </c>
      <c r="D40" s="6">
        <v>71000</v>
      </c>
      <c r="E40" s="6">
        <v>99657</v>
      </c>
      <c r="F40" s="6" cm="1">
        <f t="array" ref="F40">IF(ISERROR(_xlfn.IFS(E40&gt;=59999,E40*$J$8,E40&gt;=40000,E40*$J$7,E40&gt;=20000,E40*$J$6,E40&gt;=10000,E40*$J$5,E40&gt;=5000,E40*$J$4)),"",_xlfn.IFS(E40&gt;=59999,E40*$J$8,E40&gt;=40000,E40*$J$7,E40&gt;=20000,E40*$J$6,E40&gt;=10000,E40*$J$5,E40&gt;=5000,E40*$J$4))</f>
        <v>31504.272086624351</v>
      </c>
    </row>
    <row r="41" spans="1:6" x14ac:dyDescent="0.25">
      <c r="A41" t="s">
        <v>63</v>
      </c>
      <c r="B41" t="s">
        <v>34</v>
      </c>
      <c r="C41" t="s">
        <v>71</v>
      </c>
      <c r="D41" s="6">
        <v>67000</v>
      </c>
      <c r="E41" s="6">
        <v>34105</v>
      </c>
      <c r="F41" s="6" cm="1">
        <f t="array" ref="F41">IF(ISERROR(_xlfn.IFS(E41&gt;=59999,E41*$J$8,E41&gt;=40000,E41*$J$7,E41&gt;=20000,E41*$J$6,E41&gt;=10000,E41*$J$5,E41&gt;=5000,E41*$J$4)),"",_xlfn.IFS(E41&gt;=59999,E41*$J$8,E41&gt;=40000,E41*$J$7,E41&gt;=20000,E41*$J$6,E41&gt;=10000,E41*$J$5,E41&gt;=5000,E41*$J$4))</f>
        <v>5115.75</v>
      </c>
    </row>
    <row r="42" spans="1:6" x14ac:dyDescent="0.25">
      <c r="A42" t="s">
        <v>64</v>
      </c>
      <c r="B42" t="s">
        <v>36</v>
      </c>
      <c r="C42" t="s">
        <v>2</v>
      </c>
      <c r="D42" s="6">
        <v>62000</v>
      </c>
      <c r="E42" s="6">
        <v>27217</v>
      </c>
      <c r="F42" s="6" cm="1">
        <f t="array" ref="F42">IF(ISERROR(_xlfn.IFS(E42&gt;=59999,E42*$J$8,E42&gt;=40000,E42*$J$7,E42&gt;=20000,E42*$J$6,E42&gt;=10000,E42*$J$5,E42&gt;=5000,E42*$J$4)),"",_xlfn.IFS(E42&gt;=59999,E42*$J$8,E42&gt;=40000,E42*$J$7,E42&gt;=20000,E42*$J$6,E42&gt;=10000,E42*$J$5,E42&gt;=5000,E42*$J$4))</f>
        <v>4082.5499999999997</v>
      </c>
    </row>
    <row r="43" spans="1:6" x14ac:dyDescent="0.25">
      <c r="A43" t="s">
        <v>65</v>
      </c>
      <c r="B43" t="s">
        <v>38</v>
      </c>
      <c r="C43" t="s">
        <v>72</v>
      </c>
      <c r="D43" s="6">
        <v>55000</v>
      </c>
      <c r="E43" s="6">
        <v>11984</v>
      </c>
      <c r="F43" s="6" cm="1">
        <f t="array" ref="F43">IF(ISERROR(_xlfn.IFS(E43&gt;=59999,E43*$J$8,E43&gt;=40000,E43*$J$7,E43&gt;=20000,E43*$J$6,E43&gt;=10000,E43*$J$5,E43&gt;=5000,E43*$J$4)),"",_xlfn.IFS(E43&gt;=59999,E43*$J$8,E43&gt;=40000,E43*$J$7,E43&gt;=20000,E43*$J$6,E43&gt;=10000,E43*$J$5,E43&gt;=5000,E43*$J$4))</f>
        <v>1198.4000000000001</v>
      </c>
    </row>
    <row r="44" spans="1:6" x14ac:dyDescent="0.25">
      <c r="A44" t="s">
        <v>66</v>
      </c>
      <c r="B44" t="s">
        <v>30</v>
      </c>
      <c r="C44" t="s">
        <v>2</v>
      </c>
      <c r="D44" s="6">
        <v>60000</v>
      </c>
      <c r="E44" s="6">
        <v>69798</v>
      </c>
      <c r="F44" s="6" cm="1">
        <f t="array" ref="F44">IF(ISERROR(_xlfn.IFS(E44&gt;=59999,E44*$J$8,E44&gt;=40000,E44*$J$7,E44&gt;=20000,E44*$J$6,E44&gt;=10000,E44*$J$5,E44&gt;=5000,E44*$J$4)),"",_xlfn.IFS(E44&gt;=59999,E44*$J$8,E44&gt;=40000,E44*$J$7,E44&gt;=20000,E44*$J$6,E44&gt;=10000,E44*$J$5,E44&gt;=5000,E44*$J$4))</f>
        <v>22065.034900731574</v>
      </c>
    </row>
    <row r="45" spans="1:6" x14ac:dyDescent="0.25">
      <c r="A45" t="s">
        <v>67</v>
      </c>
      <c r="B45" t="s">
        <v>18</v>
      </c>
      <c r="C45" t="s">
        <v>71</v>
      </c>
      <c r="D45" s="6">
        <v>73000</v>
      </c>
      <c r="E45" s="6">
        <v>73590</v>
      </c>
      <c r="F45" s="6" cm="1">
        <f t="array" ref="F45">IF(ISERROR(_xlfn.IFS(E45&gt;=59999,E45*$J$8,E45&gt;=40000,E45*$J$7,E45&gt;=20000,E45*$J$6,E45&gt;=10000,E45*$J$5,E45&gt;=5000,E45*$J$4)),"",_xlfn.IFS(E45&gt;=59999,E45*$J$8,E45&gt;=40000,E45*$J$7,E45&gt;=20000,E45*$J$6,E45&gt;=10000,E45*$J$5,E45&gt;=5000,E45*$J$4))</f>
        <v>23263.788623525554</v>
      </c>
    </row>
    <row r="46" spans="1:6" x14ac:dyDescent="0.25">
      <c r="A46" t="s">
        <v>68</v>
      </c>
      <c r="B46" t="s">
        <v>20</v>
      </c>
      <c r="C46" t="s">
        <v>72</v>
      </c>
      <c r="D46" s="6">
        <v>68000</v>
      </c>
      <c r="E46" s="6">
        <v>84606</v>
      </c>
      <c r="F46" s="6" cm="1">
        <f t="array" ref="F46">IF(ISERROR(_xlfn.IFS(E46&gt;=59999,E46*$J$8,E46&gt;=40000,E46*$J$7,E46&gt;=20000,E46*$J$6,E46&gt;=10000,E46*$J$5,E46&gt;=5000,E46*$J$4)),"",_xlfn.IFS(E46&gt;=59999,E46*$J$8,E46&gt;=40000,E46*$J$7,E46&gt;=20000,E46*$J$6,E46&gt;=10000,E46*$J$5,E46&gt;=5000,E46*$J$4))</f>
        <v>26746.244058730845</v>
      </c>
    </row>
    <row r="47" spans="1:6" x14ac:dyDescent="0.25">
      <c r="A47" t="s">
        <v>69</v>
      </c>
      <c r="B47" t="s">
        <v>32</v>
      </c>
      <c r="C47" t="s">
        <v>3</v>
      </c>
      <c r="D47" s="6">
        <v>63000</v>
      </c>
      <c r="E47" s="6">
        <v>73040</v>
      </c>
      <c r="F47" s="6" cm="1">
        <f t="array" ref="F47">IF(ISERROR(_xlfn.IFS(E47&gt;=59999,E47*$J$8,E47&gt;=40000,E47*$J$7,E47&gt;=20000,E47*$J$6,E47&gt;=10000,E47*$J$5,E47&gt;=5000,E47*$J$4)),"",_xlfn.IFS(E47&gt;=59999,E47*$J$8,E47&gt;=40000,E47*$J$7,E47&gt;=20000,E47*$J$6,E47&gt;=10000,E47*$J$5,E47&gt;=5000,E47*$J$4))</f>
        <v>23089.91875339457</v>
      </c>
    </row>
    <row r="48" spans="1:6" x14ac:dyDescent="0.25">
      <c r="A48" t="s">
        <v>70</v>
      </c>
      <c r="B48" t="s">
        <v>40</v>
      </c>
      <c r="C48" t="s">
        <v>2</v>
      </c>
      <c r="D48" s="6">
        <v>56000</v>
      </c>
      <c r="E48" s="6">
        <v>91269</v>
      </c>
      <c r="F48" s="6" cm="1">
        <f t="array" ref="F48">IF(ISERROR(_xlfn.IFS(E48&gt;=59999,E48*$J$8,E48&gt;=40000,E48*$J$7,E48&gt;=20000,E48*$J$6,E48&gt;=10000,E48*$J$5,E48&gt;=5000,E48*$J$4)),"",_xlfn.IFS(E48&gt;=59999,E48*$J$8,E48&gt;=40000,E48*$J$7,E48&gt;=20000,E48*$J$6,E48&gt;=10000,E48*$J$5,E48&gt;=5000,E48*$J$4))</f>
        <v>28852.598503608559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4BB46D-F2F7-4FC5-A83F-7148E8B17F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EC-36</vt:lpstr>
      <vt:lpstr>Commission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Тарас Андрійович Осипчук</cp:lastModifiedBy>
  <dcterms:created xsi:type="dcterms:W3CDTF">2023-12-20T18:23:06Z</dcterms:created>
  <dcterms:modified xsi:type="dcterms:W3CDTF">2026-06-29T14:00:38Z</dcterms:modified>
</cp:coreProperties>
</file>