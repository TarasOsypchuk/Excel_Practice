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3-Challenge_HowToBreakTiesWhenRanking\"/>
    </mc:Choice>
  </mc:AlternateContent>
  <xr:revisionPtr revIDLastSave="0" documentId="13_ncr:1_{373A05ED-350E-4C91-81FF-D7A8F7AC2768}" xr6:coauthVersionLast="47" xr6:coauthVersionMax="47" xr10:uidLastSave="{00000000-0000-0000-0000-000000000000}"/>
  <bookViews>
    <workbookView xWindow="-120" yWindow="-120" windowWidth="29040" windowHeight="15720" xr2:uid="{026D6EA8-2B24-453E-80E3-E8675828F416}"/>
  </bookViews>
  <sheets>
    <sheet name="Challenge 23" sheetId="2" r:id="rId1"/>
  </sheets>
  <definedNames>
    <definedName name="_xlnm._FilterDatabase" localSheetId="0" hidden="1">'Challenge 23'!$A$1:$C$36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5" i="2"/>
  <c r="D7" i="2"/>
  <c r="D6" i="2"/>
  <c r="D8" i="2"/>
  <c r="D12" i="2"/>
  <c r="D10" i="2"/>
  <c r="D11" i="2"/>
  <c r="D9" i="2"/>
  <c r="D13" i="2"/>
  <c r="D14" i="2"/>
  <c r="D15" i="2"/>
  <c r="D16" i="2"/>
  <c r="D17" i="2"/>
  <c r="D18" i="2"/>
  <c r="D20" i="2"/>
  <c r="D19" i="2"/>
  <c r="D22" i="2"/>
  <c r="D21" i="2"/>
  <c r="D23" i="2"/>
  <c r="D24" i="2"/>
  <c r="D25" i="2"/>
  <c r="D26" i="2"/>
  <c r="D27" i="2"/>
  <c r="D28" i="2"/>
  <c r="D29" i="2"/>
  <c r="D30" i="2"/>
  <c r="D31" i="2"/>
  <c r="D4" i="2"/>
  <c r="D32" i="2"/>
  <c r="D33" i="2"/>
  <c r="D34" i="2"/>
  <c r="D35" i="2"/>
  <c r="D36" i="2"/>
  <c r="E3" i="2" l="1"/>
  <c r="F3" i="2" s="1"/>
  <c r="E4" i="2"/>
  <c r="F4" i="2" s="1"/>
  <c r="E24" i="2"/>
  <c r="F24" i="2" s="1"/>
  <c r="E16" i="2"/>
  <c r="F16" i="2" s="1"/>
  <c r="E8" i="2"/>
  <c r="F8" i="2" s="1"/>
  <c r="E23" i="2"/>
  <c r="F23" i="2" s="1"/>
  <c r="E15" i="2"/>
  <c r="F15" i="2" s="1"/>
  <c r="E6" i="2"/>
  <c r="F6" i="2" s="1"/>
  <c r="E7" i="2"/>
  <c r="F7" i="2" s="1"/>
  <c r="E5" i="2"/>
  <c r="F5" i="2" s="1"/>
  <c r="E9" i="2"/>
  <c r="F9" i="2" s="1"/>
  <c r="E20" i="2"/>
  <c r="F20" i="2" s="1"/>
  <c r="E2" i="2"/>
  <c r="F2" i="2" s="1"/>
  <c r="E36" i="2"/>
  <c r="F36" i="2" s="1"/>
  <c r="E29" i="2"/>
  <c r="F29" i="2" s="1"/>
  <c r="E22" i="2"/>
  <c r="F22" i="2" s="1"/>
  <c r="E13" i="2"/>
  <c r="F13" i="2" s="1"/>
  <c r="E31" i="2"/>
  <c r="F31" i="2" s="1"/>
  <c r="E14" i="2"/>
  <c r="F14" i="2" s="1"/>
  <c r="E21" i="2"/>
  <c r="F21" i="2" s="1"/>
  <c r="E33" i="2"/>
  <c r="F33" i="2" s="1"/>
  <c r="E26" i="2"/>
  <c r="F26" i="2" s="1"/>
  <c r="E18" i="2"/>
  <c r="F18" i="2" s="1"/>
  <c r="E10" i="2"/>
  <c r="F10" i="2" s="1"/>
  <c r="E30" i="2"/>
  <c r="F30" i="2" s="1"/>
  <c r="E32" i="2"/>
  <c r="F32" i="2" s="1"/>
  <c r="E25" i="2"/>
  <c r="F25" i="2" s="1"/>
  <c r="E17" i="2"/>
  <c r="F17" i="2" s="1"/>
  <c r="E35" i="2"/>
  <c r="F35" i="2" s="1"/>
  <c r="E28" i="2"/>
  <c r="F28" i="2" s="1"/>
  <c r="E19" i="2"/>
  <c r="F19" i="2" s="1"/>
  <c r="E11" i="2"/>
  <c r="F11" i="2" s="1"/>
  <c r="E12" i="2"/>
  <c r="F12" i="2" s="1"/>
  <c r="E34" i="2"/>
  <c r="F34" i="2" s="1"/>
  <c r="E27" i="2"/>
  <c r="F27" i="2" s="1"/>
</calcChain>
</file>

<file path=xl/sharedStrings.xml><?xml version="1.0" encoding="utf-8"?>
<sst xmlns="http://schemas.openxmlformats.org/spreadsheetml/2006/main" count="41" uniqueCount="41">
  <si>
    <t>Userid</t>
  </si>
  <si>
    <t>Agent Name</t>
  </si>
  <si>
    <t>Lisa Legg</t>
  </si>
  <si>
    <t>Bobby Brayn</t>
  </si>
  <si>
    <t>Nala Nekk</t>
  </si>
  <si>
    <t>Hansel Hande</t>
  </si>
  <si>
    <t>Francis Fayce</t>
  </si>
  <si>
    <t>Lawrence Lipps</t>
  </si>
  <si>
    <t>Trisha Towz</t>
  </si>
  <si>
    <t>Wally Waistlyin</t>
  </si>
  <si>
    <t>Julius Jawe</t>
  </si>
  <si>
    <t>Brandon Brau</t>
  </si>
  <si>
    <t>Miguel Mussel</t>
  </si>
  <si>
    <t>Henry Heal</t>
  </si>
  <si>
    <t>Arlene Arm-Strong</t>
  </si>
  <si>
    <t>Chandler Chiques</t>
  </si>
  <si>
    <t>Claudine Caff</t>
  </si>
  <si>
    <t>Brayden Bak</t>
  </si>
  <si>
    <t>Charles Chesst</t>
  </si>
  <si>
    <t>Cherrian Chyn</t>
  </si>
  <si>
    <t>Herbert Hedd</t>
  </si>
  <si>
    <t>Nancy Nayl</t>
  </si>
  <si>
    <t>Shermaine Shinn</t>
  </si>
  <si>
    <t>Salman Soul</t>
  </si>
  <si>
    <t>Randall Rist</t>
  </si>
  <si>
    <t>Lincoln Lashe</t>
  </si>
  <si>
    <t>Lamar Lowb</t>
  </si>
  <si>
    <t>Susan Strande</t>
  </si>
  <si>
    <t>Faraz Fut</t>
  </si>
  <si>
    <t>Anna Angkl</t>
  </si>
  <si>
    <t>Rachel Rutes</t>
  </si>
  <si>
    <t>Sarah Skynn</t>
  </si>
  <si>
    <t>Pamela Pawm</t>
  </si>
  <si>
    <t>Nellie Nee</t>
  </si>
  <si>
    <t>Leighton Lidd</t>
  </si>
  <si>
    <t>Quality Score</t>
  </si>
  <si>
    <t>Brittney Bowne</t>
  </si>
  <si>
    <t>Nigel Nockle</t>
  </si>
  <si>
    <t>Rank</t>
  </si>
  <si>
    <t>Rank ocuur</t>
  </si>
  <si>
    <t>Updatred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</si>
</sst>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/>
    <xf numFmtId="0" fontId="0" fillId="0" borderId="0" xfId="0" applyFill="1" applyAlignment="1"/>
    <xf numFmtId="0" fontId="3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9" fontId="3" fillId="0" borderId="0" xfId="1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9" fontId="3" fillId="0" borderId="1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9" fontId="2" fillId="0" borderId="3" xfId="1" applyNumberFormat="1" applyFont="1" applyFill="1" applyBorder="1" applyAlignment="1">
      <alignment horizontal="center"/>
    </xf>
    <xf numFmtId="0" fontId="4" fillId="0" borderId="0" xfId="0" applyFont="1" applyAlignment="1"/>
  </cellXfs>
  <cellStyles count="2">
    <cellStyle name="Normal" xfId="0" builtinId="0"/>
    <cellStyle name="Per cent" xfId="1" builtinId="5"/>
  </cellStyles>
  <dxfs count="9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rgb="FFCCCCCC"/>
        </top>
        <bottom/>
        <vertical/>
        <horizontal/>
      </border>
    </dxf>
    <dxf>
      <border outline="0">
        <left style="medium">
          <color rgb="FFCCCCCC"/>
        </left>
        <right style="thin">
          <color theme="4" tint="0.39997558519241921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3EDE73-53A6-4175-B57C-7873C68B80D3}" name="Performance" displayName="Performance" ref="A1:F36" totalsRowShown="0" headerRowDxfId="7" tableBorderDxfId="6">
  <sortState xmlns:xlrd2="http://schemas.microsoft.com/office/spreadsheetml/2017/richdata2" ref="A2:F36">
    <sortCondition ref="F3:F36"/>
  </sortState>
  <tableColumns count="6">
    <tableColumn id="1" xr3:uid="{95BF3AF6-C970-4299-BE2C-DA345D45CC5C}" name="Userid" dataDxfId="5"/>
    <tableColumn id="2" xr3:uid="{85F77725-4049-4B13-B1AB-7F011543E470}" name="Agent Name" dataDxfId="4"/>
    <tableColumn id="3" xr3:uid="{45C37713-32E0-4409-9BE9-8DB79F677EC0}" name="Quality Score" dataDxfId="3"/>
    <tableColumn id="4" xr3:uid="{7CFECC51-5530-46F7-B4B5-C9B3E677C9CC}" name="Rank" dataDxfId="2">
      <calculatedColumnFormula>_xlfn.RANK.EQ(Performance[[#This Row],[Quality Score]],Performance[Quality Score])</calculatedColumnFormula>
    </tableColumn>
    <tableColumn id="5" xr3:uid="{1C6C318D-1B17-45D9-B511-B6339EF2F5D7}" name="Rank ocuur" dataDxfId="1">
      <calculatedColumnFormula>COUNTIF($D$2:D2,Performance[[#This Row],[Rank]])</calculatedColumnFormula>
    </tableColumn>
    <tableColumn id="6" xr3:uid="{FD476596-875B-439C-9B63-41BA2C08E3F6}" name="Updatred rank" dataDxfId="0">
      <calculatedColumnFormula>(Performance[[#This Row],[Rank]]+Performance[[#This Row],[Rank ocuur]])-1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C342-BE0C-4F6F-9874-38BA541E556C}">
  <dimension ref="A1:F36"/>
  <sheetViews>
    <sheetView tabSelected="1" zoomScaleNormal="100" workbookViewId="0">
      <selection activeCell="F3" sqref="F3"/>
    </sheetView>
  </sheetViews>
  <sheetFormatPr defaultColWidth="8.85546875" defaultRowHeight="15" x14ac:dyDescent="0.25"/>
  <cols>
    <col min="1" max="1" width="11.5703125" style="4" customWidth="1"/>
    <col min="2" max="2" width="16" style="5" bestFit="1" customWidth="1"/>
    <col min="3" max="3" width="15.28515625" style="6" customWidth="1"/>
    <col min="4" max="16384" width="8.85546875" style="1"/>
  </cols>
  <sheetData>
    <row r="1" spans="1:6" ht="15.75" thickBot="1" x14ac:dyDescent="0.3">
      <c r="A1" s="9" t="s">
        <v>0</v>
      </c>
      <c r="B1" s="10" t="s">
        <v>1</v>
      </c>
      <c r="C1" s="11" t="s">
        <v>35</v>
      </c>
      <c r="D1" s="12" t="s">
        <v>38</v>
      </c>
      <c r="E1" s="12" t="s">
        <v>39</v>
      </c>
      <c r="F1" s="12" t="s">
        <v>40</v>
      </c>
    </row>
    <row r="2" spans="1:6" s="2" customFormat="1" ht="15.75" thickBot="1" x14ac:dyDescent="0.3">
      <c r="A2" s="7">
        <v>334440</v>
      </c>
      <c r="B2" s="3" t="s">
        <v>12</v>
      </c>
      <c r="C2" s="8">
        <v>1</v>
      </c>
      <c r="D2" s="2">
        <f>_xlfn.RANK.EQ(Performance[[#This Row],[Quality Score]],Performance[Quality Score])</f>
        <v>1</v>
      </c>
      <c r="E2" s="2">
        <f>COUNTIF($D$2:D2,Performance[[#This Row],[Rank]])</f>
        <v>1</v>
      </c>
      <c r="F2" s="2">
        <f>(Performance[[#This Row],[Rank]]+Performance[[#This Row],[Rank ocuur]])-1</f>
        <v>1</v>
      </c>
    </row>
    <row r="3" spans="1:6" s="2" customFormat="1" ht="15.75" thickBot="1" x14ac:dyDescent="0.3">
      <c r="A3" s="7">
        <v>717826</v>
      </c>
      <c r="B3" s="3" t="s">
        <v>27</v>
      </c>
      <c r="C3" s="8">
        <v>1</v>
      </c>
      <c r="D3" s="2">
        <f>_xlfn.RANK.EQ(Performance[[#This Row],[Quality Score]],Performance[Quality Score])</f>
        <v>1</v>
      </c>
      <c r="E3" s="2">
        <f>COUNTIF($D$2:D3,Performance[[#This Row],[Rank]])</f>
        <v>2</v>
      </c>
      <c r="F3" s="2">
        <f>(Performance[[#This Row],[Rank]]+Performance[[#This Row],[Rank ocuur]])-1</f>
        <v>2</v>
      </c>
    </row>
    <row r="4" spans="1:6" s="2" customFormat="1" ht="15.75" thickBot="1" x14ac:dyDescent="0.3">
      <c r="A4" s="7">
        <v>810641</v>
      </c>
      <c r="B4" s="3" t="s">
        <v>29</v>
      </c>
      <c r="C4" s="8">
        <v>1</v>
      </c>
      <c r="D4" s="2">
        <f>_xlfn.RANK.EQ(Performance[[#This Row],[Quality Score]],Performance[Quality Score])</f>
        <v>1</v>
      </c>
      <c r="E4" s="2">
        <f>COUNTIF($D$2:D4,Performance[[#This Row],[Rank]])</f>
        <v>3</v>
      </c>
      <c r="F4" s="2">
        <f>(Performance[[#This Row],[Rank]]+Performance[[#This Row],[Rank ocuur]])-1</f>
        <v>3</v>
      </c>
    </row>
    <row r="5" spans="1:6" s="2" customFormat="1" ht="15.75" thickBot="1" x14ac:dyDescent="0.3">
      <c r="A5" s="7">
        <v>410678</v>
      </c>
      <c r="B5" s="3" t="s">
        <v>16</v>
      </c>
      <c r="C5" s="8">
        <v>0.98</v>
      </c>
      <c r="D5" s="2">
        <f>_xlfn.RANK.EQ(Performance[[#This Row],[Quality Score]],Performance[Quality Score])</f>
        <v>4</v>
      </c>
      <c r="E5" s="2">
        <f>COUNTIF($D$2:D5,Performance[[#This Row],[Rank]])</f>
        <v>1</v>
      </c>
      <c r="F5" s="2">
        <f>(Performance[[#This Row],[Rank]]+Performance[[#This Row],[Rank ocuur]])-1</f>
        <v>4</v>
      </c>
    </row>
    <row r="6" spans="1:6" s="2" customFormat="1" ht="15.75" thickBot="1" x14ac:dyDescent="0.3">
      <c r="A6" s="7">
        <v>85962</v>
      </c>
      <c r="B6" s="3" t="s">
        <v>7</v>
      </c>
      <c r="C6" s="8">
        <v>0.97</v>
      </c>
      <c r="D6" s="2">
        <f>_xlfn.RANK.EQ(Performance[[#This Row],[Quality Score]],Performance[Quality Score])</f>
        <v>5</v>
      </c>
      <c r="E6" s="2">
        <f>COUNTIF($D$2:D6,Performance[[#This Row],[Rank]])</f>
        <v>1</v>
      </c>
      <c r="F6" s="2">
        <f>(Performance[[#This Row],[Rank]]+Performance[[#This Row],[Rank ocuur]])-1</f>
        <v>5</v>
      </c>
    </row>
    <row r="7" spans="1:6" s="2" customFormat="1" ht="15.75" thickBot="1" x14ac:dyDescent="0.3">
      <c r="A7" s="7">
        <v>410662</v>
      </c>
      <c r="B7" s="3" t="s">
        <v>6</v>
      </c>
      <c r="C7" s="8">
        <v>0.97</v>
      </c>
      <c r="D7" s="2">
        <f>_xlfn.RANK.EQ(Performance[[#This Row],[Quality Score]],Performance[Quality Score])</f>
        <v>5</v>
      </c>
      <c r="E7" s="2">
        <f>COUNTIF($D$2:D7,Performance[[#This Row],[Rank]])</f>
        <v>2</v>
      </c>
      <c r="F7" s="2">
        <f>(Performance[[#This Row],[Rank]]+Performance[[#This Row],[Rank ocuur]])-1</f>
        <v>6</v>
      </c>
    </row>
    <row r="8" spans="1:6" s="2" customFormat="1" ht="15.75" thickBot="1" x14ac:dyDescent="0.3">
      <c r="A8" s="7">
        <v>638187</v>
      </c>
      <c r="B8" s="3" t="s">
        <v>30</v>
      </c>
      <c r="C8" s="8">
        <v>0.97</v>
      </c>
      <c r="D8" s="2">
        <f>_xlfn.RANK.EQ(Performance[[#This Row],[Quality Score]],Performance[Quality Score])</f>
        <v>5</v>
      </c>
      <c r="E8" s="2">
        <f>COUNTIF($D$2:D8,Performance[[#This Row],[Rank]])</f>
        <v>3</v>
      </c>
      <c r="F8" s="2">
        <f>(Performance[[#This Row],[Rank]]+Performance[[#This Row],[Rank ocuur]])-1</f>
        <v>7</v>
      </c>
    </row>
    <row r="9" spans="1:6" s="2" customFormat="1" ht="15.75" thickBot="1" x14ac:dyDescent="0.3">
      <c r="A9" s="7">
        <v>312060</v>
      </c>
      <c r="B9" s="3" t="s">
        <v>31</v>
      </c>
      <c r="C9" s="8">
        <v>0.96</v>
      </c>
      <c r="D9" s="2">
        <f>_xlfn.RANK.EQ(Performance[[#This Row],[Quality Score]],Performance[Quality Score])</f>
        <v>8</v>
      </c>
      <c r="E9" s="2">
        <f>COUNTIF($D$2:D9,Performance[[#This Row],[Rank]])</f>
        <v>1</v>
      </c>
      <c r="F9" s="2">
        <f>(Performance[[#This Row],[Rank]]+Performance[[#This Row],[Rank ocuur]])-1</f>
        <v>8</v>
      </c>
    </row>
    <row r="10" spans="1:6" s="2" customFormat="1" ht="15.75" thickBot="1" x14ac:dyDescent="0.3">
      <c r="A10" s="7">
        <v>484339</v>
      </c>
      <c r="B10" s="3" t="s">
        <v>33</v>
      </c>
      <c r="C10" s="8">
        <v>0.96</v>
      </c>
      <c r="D10" s="2">
        <f>_xlfn.RANK.EQ(Performance[[#This Row],[Quality Score]],Performance[Quality Score])</f>
        <v>8</v>
      </c>
      <c r="E10" s="2">
        <f>COUNTIF($D$2:D10,Performance[[#This Row],[Rank]])</f>
        <v>2</v>
      </c>
      <c r="F10" s="2">
        <f>(Performance[[#This Row],[Rank]]+Performance[[#This Row],[Rank ocuur]])-1</f>
        <v>9</v>
      </c>
    </row>
    <row r="11" spans="1:6" s="2" customFormat="1" ht="15.75" thickBot="1" x14ac:dyDescent="0.3">
      <c r="A11" s="7">
        <v>785901</v>
      </c>
      <c r="B11" s="3" t="s">
        <v>23</v>
      </c>
      <c r="C11" s="8">
        <v>0.96</v>
      </c>
      <c r="D11" s="2">
        <f>_xlfn.RANK.EQ(Performance[[#This Row],[Quality Score]],Performance[Quality Score])</f>
        <v>8</v>
      </c>
      <c r="E11" s="2">
        <f>COUNTIF($D$2:D11,Performance[[#This Row],[Rank]])</f>
        <v>3</v>
      </c>
      <c r="F11" s="2">
        <f>(Performance[[#This Row],[Rank]]+Performance[[#This Row],[Rank ocuur]])-1</f>
        <v>10</v>
      </c>
    </row>
    <row r="12" spans="1:6" s="2" customFormat="1" ht="15.75" thickBot="1" x14ac:dyDescent="0.3">
      <c r="A12" s="7">
        <v>809823</v>
      </c>
      <c r="B12" s="3" t="s">
        <v>2</v>
      </c>
      <c r="C12" s="8">
        <v>0.96</v>
      </c>
      <c r="D12" s="2">
        <f>_xlfn.RANK.EQ(Performance[[#This Row],[Quality Score]],Performance[Quality Score])</f>
        <v>8</v>
      </c>
      <c r="E12" s="2">
        <f>COUNTIF($D$2:D12,Performance[[#This Row],[Rank]])</f>
        <v>4</v>
      </c>
      <c r="F12" s="2">
        <f>(Performance[[#This Row],[Rank]]+Performance[[#This Row],[Rank ocuur]])-1</f>
        <v>11</v>
      </c>
    </row>
    <row r="13" spans="1:6" s="2" customFormat="1" ht="15.75" thickBot="1" x14ac:dyDescent="0.3">
      <c r="A13" s="7">
        <v>774308</v>
      </c>
      <c r="B13" s="3" t="s">
        <v>36</v>
      </c>
      <c r="C13" s="8">
        <v>0.95</v>
      </c>
      <c r="D13" s="2">
        <f>_xlfn.RANK.EQ(Performance[[#This Row],[Quality Score]],Performance[Quality Score])</f>
        <v>12</v>
      </c>
      <c r="E13" s="2">
        <f>COUNTIF($D$2:D13,Performance[[#This Row],[Rank]])</f>
        <v>1</v>
      </c>
      <c r="F13" s="2">
        <f>(Performance[[#This Row],[Rank]]+Performance[[#This Row],[Rank ocuur]])-1</f>
        <v>12</v>
      </c>
    </row>
    <row r="14" spans="1:6" s="2" customFormat="1" ht="15.75" thickBot="1" x14ac:dyDescent="0.3">
      <c r="A14" s="7">
        <v>717772</v>
      </c>
      <c r="B14" s="3" t="s">
        <v>32</v>
      </c>
      <c r="C14" s="8">
        <v>0.94</v>
      </c>
      <c r="D14" s="2">
        <f>_xlfn.RANK.EQ(Performance[[#This Row],[Quality Score]],Performance[Quality Score])</f>
        <v>13</v>
      </c>
      <c r="E14" s="2">
        <f>COUNTIF($D$2:D14,Performance[[#This Row],[Rank]])</f>
        <v>1</v>
      </c>
      <c r="F14" s="2">
        <f>(Performance[[#This Row],[Rank]]+Performance[[#This Row],[Rank ocuur]])-1</f>
        <v>13</v>
      </c>
    </row>
    <row r="15" spans="1:6" s="2" customFormat="1" ht="15.75" thickBot="1" x14ac:dyDescent="0.3">
      <c r="A15" s="7">
        <v>782263</v>
      </c>
      <c r="B15" s="3" t="s">
        <v>28</v>
      </c>
      <c r="C15" s="8">
        <v>0.92</v>
      </c>
      <c r="D15" s="2">
        <f>_xlfn.RANK.EQ(Performance[[#This Row],[Quality Score]],Performance[Quality Score])</f>
        <v>14</v>
      </c>
      <c r="E15" s="2">
        <f>COUNTIF($D$2:D15,Performance[[#This Row],[Rank]])</f>
        <v>1</v>
      </c>
      <c r="F15" s="2">
        <f>(Performance[[#This Row],[Rank]]+Performance[[#This Row],[Rank ocuur]])-1</f>
        <v>14</v>
      </c>
    </row>
    <row r="16" spans="1:6" s="2" customFormat="1" ht="15.75" thickBot="1" x14ac:dyDescent="0.3">
      <c r="A16" s="7">
        <v>545771</v>
      </c>
      <c r="B16" s="3" t="s">
        <v>9</v>
      </c>
      <c r="C16" s="8">
        <v>0.91</v>
      </c>
      <c r="D16" s="2">
        <f>_xlfn.RANK.EQ(Performance[[#This Row],[Quality Score]],Performance[Quality Score])</f>
        <v>15</v>
      </c>
      <c r="E16" s="2">
        <f>COUNTIF($D$2:D16,Performance[[#This Row],[Rank]])</f>
        <v>1</v>
      </c>
      <c r="F16" s="2">
        <f>(Performance[[#This Row],[Rank]]+Performance[[#This Row],[Rank ocuur]])-1</f>
        <v>15</v>
      </c>
    </row>
    <row r="17" spans="1:6" s="2" customFormat="1" ht="15.75" thickBot="1" x14ac:dyDescent="0.3">
      <c r="A17" s="7">
        <v>785879</v>
      </c>
      <c r="B17" s="3" t="s">
        <v>3</v>
      </c>
      <c r="C17" s="8">
        <v>0.9</v>
      </c>
      <c r="D17" s="2">
        <f>_xlfn.RANK.EQ(Performance[[#This Row],[Quality Score]],Performance[Quality Score])</f>
        <v>16</v>
      </c>
      <c r="E17" s="2">
        <f>COUNTIF($D$2:D17,Performance[[#This Row],[Rank]])</f>
        <v>1</v>
      </c>
      <c r="F17" s="2">
        <f>(Performance[[#This Row],[Rank]]+Performance[[#This Row],[Rank ocuur]])-1</f>
        <v>16</v>
      </c>
    </row>
    <row r="18" spans="1:6" s="2" customFormat="1" ht="15.75" thickBot="1" x14ac:dyDescent="0.3">
      <c r="A18" s="7">
        <v>699985</v>
      </c>
      <c r="B18" s="3" t="s">
        <v>19</v>
      </c>
      <c r="C18" s="8">
        <v>0.88</v>
      </c>
      <c r="D18" s="2">
        <f>_xlfn.RANK.EQ(Performance[[#This Row],[Quality Score]],Performance[Quality Score])</f>
        <v>17</v>
      </c>
      <c r="E18" s="2">
        <f>COUNTIF($D$2:D18,Performance[[#This Row],[Rank]])</f>
        <v>1</v>
      </c>
      <c r="F18" s="2">
        <f>(Performance[[#This Row],[Rank]]+Performance[[#This Row],[Rank ocuur]])-1</f>
        <v>17</v>
      </c>
    </row>
    <row r="19" spans="1:6" s="2" customFormat="1" ht="15.75" thickBot="1" x14ac:dyDescent="0.3">
      <c r="A19" s="7">
        <v>799635</v>
      </c>
      <c r="B19" s="3" t="s">
        <v>8</v>
      </c>
      <c r="C19" s="8">
        <v>0.83</v>
      </c>
      <c r="D19" s="2">
        <f>_xlfn.RANK.EQ(Performance[[#This Row],[Quality Score]],Performance[Quality Score])</f>
        <v>18</v>
      </c>
      <c r="E19" s="2">
        <f>COUNTIF($D$2:D19,Performance[[#This Row],[Rank]])</f>
        <v>1</v>
      </c>
      <c r="F19" s="2">
        <f>(Performance[[#This Row],[Rank]]+Performance[[#This Row],[Rank ocuur]])-1</f>
        <v>18</v>
      </c>
    </row>
    <row r="20" spans="1:6" s="2" customFormat="1" ht="15.75" thickBot="1" x14ac:dyDescent="0.3">
      <c r="A20" s="7">
        <v>809254</v>
      </c>
      <c r="B20" s="3" t="s">
        <v>15</v>
      </c>
      <c r="C20" s="8">
        <v>0.83</v>
      </c>
      <c r="D20" s="2">
        <f>_xlfn.RANK.EQ(Performance[[#This Row],[Quality Score]],Performance[Quality Score])</f>
        <v>18</v>
      </c>
      <c r="E20" s="2">
        <f>COUNTIF($D$2:D20,Performance[[#This Row],[Rank]])</f>
        <v>2</v>
      </c>
      <c r="F20" s="2">
        <f>(Performance[[#This Row],[Rank]]+Performance[[#This Row],[Rank ocuur]])-1</f>
        <v>19</v>
      </c>
    </row>
    <row r="21" spans="1:6" s="2" customFormat="1" ht="15.75" thickBot="1" x14ac:dyDescent="0.3">
      <c r="A21" s="7">
        <v>799543</v>
      </c>
      <c r="B21" s="3" t="s">
        <v>26</v>
      </c>
      <c r="C21" s="8">
        <v>0.82</v>
      </c>
      <c r="D21" s="2">
        <f>_xlfn.RANK.EQ(Performance[[#This Row],[Quality Score]],Performance[Quality Score])</f>
        <v>20</v>
      </c>
      <c r="E21" s="2">
        <f>COUNTIF($D$2:D21,Performance[[#This Row],[Rank]])</f>
        <v>1</v>
      </c>
      <c r="F21" s="2">
        <f>(Performance[[#This Row],[Rank]]+Performance[[#This Row],[Rank ocuur]])-1</f>
        <v>20</v>
      </c>
    </row>
    <row r="22" spans="1:6" s="2" customFormat="1" ht="15.75" thickBot="1" x14ac:dyDescent="0.3">
      <c r="A22" s="7">
        <v>802694</v>
      </c>
      <c r="B22" s="3" t="s">
        <v>20</v>
      </c>
      <c r="C22" s="8">
        <v>0.82</v>
      </c>
      <c r="D22" s="2">
        <f>_xlfn.RANK.EQ(Performance[[#This Row],[Quality Score]],Performance[Quality Score])</f>
        <v>20</v>
      </c>
      <c r="E22" s="2">
        <f>COUNTIF($D$2:D22,Performance[[#This Row],[Rank]])</f>
        <v>2</v>
      </c>
      <c r="F22" s="2">
        <f>(Performance[[#This Row],[Rank]]+Performance[[#This Row],[Rank ocuur]])-1</f>
        <v>21</v>
      </c>
    </row>
    <row r="23" spans="1:6" s="2" customFormat="1" ht="15.75" thickBot="1" x14ac:dyDescent="0.3">
      <c r="A23" s="7">
        <v>809260</v>
      </c>
      <c r="B23" s="3" t="s">
        <v>4</v>
      </c>
      <c r="C23" s="8">
        <v>0.82</v>
      </c>
      <c r="D23" s="2">
        <f>_xlfn.RANK.EQ(Performance[[#This Row],[Quality Score]],Performance[Quality Score])</f>
        <v>20</v>
      </c>
      <c r="E23" s="2">
        <f>COUNTIF($D$2:D23,Performance[[#This Row],[Rank]])</f>
        <v>3</v>
      </c>
      <c r="F23" s="2">
        <f>(Performance[[#This Row],[Rank]]+Performance[[#This Row],[Rank ocuur]])-1</f>
        <v>22</v>
      </c>
    </row>
    <row r="24" spans="1:6" s="2" customFormat="1" ht="15.75" thickBot="1" x14ac:dyDescent="0.3">
      <c r="A24" s="7">
        <v>809807</v>
      </c>
      <c r="B24" s="3" t="s">
        <v>14</v>
      </c>
      <c r="C24" s="8">
        <v>0.81</v>
      </c>
      <c r="D24" s="2">
        <f>_xlfn.RANK.EQ(Performance[[#This Row],[Quality Score]],Performance[Quality Score])</f>
        <v>23</v>
      </c>
      <c r="E24" s="2">
        <f>COUNTIF($D$2:D24,Performance[[#This Row],[Rank]])</f>
        <v>1</v>
      </c>
      <c r="F24" s="2">
        <f>(Performance[[#This Row],[Rank]]+Performance[[#This Row],[Rank ocuur]])-1</f>
        <v>23</v>
      </c>
    </row>
    <row r="25" spans="1:6" s="2" customFormat="1" ht="15.75" thickBot="1" x14ac:dyDescent="0.3">
      <c r="A25" s="7">
        <v>810109</v>
      </c>
      <c r="B25" s="3" t="s">
        <v>21</v>
      </c>
      <c r="C25" s="8">
        <v>0.8</v>
      </c>
      <c r="D25" s="2">
        <f>_xlfn.RANK.EQ(Performance[[#This Row],[Quality Score]],Performance[Quality Score])</f>
        <v>24</v>
      </c>
      <c r="E25" s="2">
        <f>COUNTIF($D$2:D25,Performance[[#This Row],[Rank]])</f>
        <v>1</v>
      </c>
      <c r="F25" s="2">
        <f>(Performance[[#This Row],[Rank]]+Performance[[#This Row],[Rank ocuur]])-1</f>
        <v>24</v>
      </c>
    </row>
    <row r="26" spans="1:6" s="2" customFormat="1" ht="15.75" thickBot="1" x14ac:dyDescent="0.3">
      <c r="A26" s="7">
        <v>469821</v>
      </c>
      <c r="B26" s="3" t="s">
        <v>18</v>
      </c>
      <c r="C26" s="8">
        <v>0.79</v>
      </c>
      <c r="D26" s="2">
        <f>_xlfn.RANK.EQ(Performance[[#This Row],[Quality Score]],Performance[Quality Score])</f>
        <v>25</v>
      </c>
      <c r="E26" s="2">
        <f>COUNTIF($D$2:D26,Performance[[#This Row],[Rank]])</f>
        <v>1</v>
      </c>
      <c r="F26" s="2">
        <f>(Performance[[#This Row],[Rank]]+Performance[[#This Row],[Rank ocuur]])-1</f>
        <v>25</v>
      </c>
    </row>
    <row r="27" spans="1:6" s="2" customFormat="1" ht="15.75" thickBot="1" x14ac:dyDescent="0.3">
      <c r="A27" s="7">
        <v>809815</v>
      </c>
      <c r="B27" s="3" t="s">
        <v>37</v>
      </c>
      <c r="C27" s="8">
        <v>0.79</v>
      </c>
      <c r="D27" s="2">
        <f>_xlfn.RANK.EQ(Performance[[#This Row],[Quality Score]],Performance[Quality Score])</f>
        <v>25</v>
      </c>
      <c r="E27" s="2">
        <f>COUNTIF($D$2:D27,Performance[[#This Row],[Rank]])</f>
        <v>2</v>
      </c>
      <c r="F27" s="2">
        <f>(Performance[[#This Row],[Rank]]+Performance[[#This Row],[Rank ocuur]])-1</f>
        <v>26</v>
      </c>
    </row>
    <row r="28" spans="1:6" s="2" customFormat="1" ht="15.75" thickBot="1" x14ac:dyDescent="0.3">
      <c r="A28" s="7">
        <v>701618</v>
      </c>
      <c r="B28" s="3" t="s">
        <v>13</v>
      </c>
      <c r="C28" s="8">
        <v>0.77</v>
      </c>
      <c r="D28" s="2">
        <f>_xlfn.RANK.EQ(Performance[[#This Row],[Quality Score]],Performance[Quality Score])</f>
        <v>27</v>
      </c>
      <c r="E28" s="2">
        <f>COUNTIF($D$2:D28,Performance[[#This Row],[Rank]])</f>
        <v>1</v>
      </c>
      <c r="F28" s="2">
        <f>(Performance[[#This Row],[Rank]]+Performance[[#This Row],[Rank ocuur]])-1</f>
        <v>27</v>
      </c>
    </row>
    <row r="29" spans="1:6" s="2" customFormat="1" ht="15.75" thickBot="1" x14ac:dyDescent="0.3">
      <c r="A29" s="7">
        <v>809778</v>
      </c>
      <c r="B29" s="3" t="s">
        <v>11</v>
      </c>
      <c r="C29" s="8">
        <v>0.74</v>
      </c>
      <c r="D29" s="2">
        <f>_xlfn.RANK.EQ(Performance[[#This Row],[Quality Score]],Performance[Quality Score])</f>
        <v>28</v>
      </c>
      <c r="E29" s="2">
        <f>COUNTIF($D$2:D29,Performance[[#This Row],[Rank]])</f>
        <v>1</v>
      </c>
      <c r="F29" s="2">
        <f>(Performance[[#This Row],[Rank]]+Performance[[#This Row],[Rank ocuur]])-1</f>
        <v>28</v>
      </c>
    </row>
    <row r="30" spans="1:6" s="2" customFormat="1" ht="15.75" thickBot="1" x14ac:dyDescent="0.3">
      <c r="A30" s="7">
        <v>799631</v>
      </c>
      <c r="B30" s="3" t="s">
        <v>10</v>
      </c>
      <c r="C30" s="8">
        <v>0.7</v>
      </c>
      <c r="D30" s="2">
        <f>_xlfn.RANK.EQ(Performance[[#This Row],[Quality Score]],Performance[Quality Score])</f>
        <v>29</v>
      </c>
      <c r="E30" s="2">
        <f>COUNTIF($D$2:D30,Performance[[#This Row],[Rank]])</f>
        <v>1</v>
      </c>
      <c r="F30" s="2">
        <f>(Performance[[#This Row],[Rank]]+Performance[[#This Row],[Rank ocuur]])-1</f>
        <v>29</v>
      </c>
    </row>
    <row r="31" spans="1:6" s="2" customFormat="1" ht="15.75" thickBot="1" x14ac:dyDescent="0.3">
      <c r="A31" s="7">
        <v>804326</v>
      </c>
      <c r="B31" s="3" t="s">
        <v>22</v>
      </c>
      <c r="C31" s="8">
        <v>0.7</v>
      </c>
      <c r="D31" s="2">
        <f>_xlfn.RANK.EQ(Performance[[#This Row],[Quality Score]],Performance[Quality Score])</f>
        <v>29</v>
      </c>
      <c r="E31" s="2">
        <f>COUNTIF($D$2:D31,Performance[[#This Row],[Rank]])</f>
        <v>2</v>
      </c>
      <c r="F31" s="2">
        <f>(Performance[[#This Row],[Rank]]+Performance[[#This Row],[Rank ocuur]])-1</f>
        <v>30</v>
      </c>
    </row>
    <row r="32" spans="1:6" s="2" customFormat="1" ht="15.75" thickBot="1" x14ac:dyDescent="0.3">
      <c r="A32" s="7">
        <v>809805</v>
      </c>
      <c r="B32" s="3" t="s">
        <v>24</v>
      </c>
      <c r="C32" s="8">
        <v>0.66</v>
      </c>
      <c r="D32" s="2">
        <f>_xlfn.RANK.EQ(Performance[[#This Row],[Quality Score]],Performance[Quality Score])</f>
        <v>31</v>
      </c>
      <c r="E32" s="2">
        <f>COUNTIF($D$2:D32,Performance[[#This Row],[Rank]])</f>
        <v>1</v>
      </c>
      <c r="F32" s="2">
        <f>(Performance[[#This Row],[Rank]]+Performance[[#This Row],[Rank ocuur]])-1</f>
        <v>31</v>
      </c>
    </row>
    <row r="33" spans="1:6" s="2" customFormat="1" ht="15.75" thickBot="1" x14ac:dyDescent="0.3">
      <c r="A33" s="7">
        <v>809264</v>
      </c>
      <c r="B33" s="3" t="s">
        <v>17</v>
      </c>
      <c r="C33" s="8">
        <v>0.64</v>
      </c>
      <c r="D33" s="2">
        <f>_xlfn.RANK.EQ(Performance[[#This Row],[Quality Score]],Performance[Quality Score])</f>
        <v>32</v>
      </c>
      <c r="E33" s="2">
        <f>COUNTIF($D$2:D33,Performance[[#This Row],[Rank]])</f>
        <v>1</v>
      </c>
      <c r="F33" s="2">
        <f>(Performance[[#This Row],[Rank]]+Performance[[#This Row],[Rank ocuur]])-1</f>
        <v>32</v>
      </c>
    </row>
    <row r="34" spans="1:6" s="2" customFormat="1" ht="15.75" thickBot="1" x14ac:dyDescent="0.3">
      <c r="A34" s="7">
        <v>809268</v>
      </c>
      <c r="B34" s="3" t="s">
        <v>25</v>
      </c>
      <c r="C34" s="8">
        <v>0.42</v>
      </c>
      <c r="D34" s="2">
        <f>_xlfn.RANK.EQ(Performance[[#This Row],[Quality Score]],Performance[Quality Score])</f>
        <v>33</v>
      </c>
      <c r="E34" s="2">
        <f>COUNTIF($D$2:D34,Performance[[#This Row],[Rank]])</f>
        <v>1</v>
      </c>
      <c r="F34" s="2">
        <f>(Performance[[#This Row],[Rank]]+Performance[[#This Row],[Rank ocuur]])-1</f>
        <v>33</v>
      </c>
    </row>
    <row r="35" spans="1:6" s="2" customFormat="1" ht="15.75" thickBot="1" x14ac:dyDescent="0.3">
      <c r="A35" s="7">
        <v>809266</v>
      </c>
      <c r="B35" s="3" t="s">
        <v>5</v>
      </c>
      <c r="C35" s="8">
        <v>0.21</v>
      </c>
      <c r="D35" s="2">
        <f>_xlfn.RANK.EQ(Performance[[#This Row],[Quality Score]],Performance[Quality Score])</f>
        <v>34</v>
      </c>
      <c r="E35" s="2">
        <f>COUNTIF($D$2:D35,Performance[[#This Row],[Rank]])</f>
        <v>1</v>
      </c>
      <c r="F35" s="2">
        <f>(Performance[[#This Row],[Rank]]+Performance[[#This Row],[Rank ocuur]])-1</f>
        <v>34</v>
      </c>
    </row>
    <row r="36" spans="1:6" s="2" customFormat="1" x14ac:dyDescent="0.25">
      <c r="A36" s="7">
        <v>802677</v>
      </c>
      <c r="B36" s="3" t="s">
        <v>34</v>
      </c>
      <c r="C36" s="8">
        <v>0</v>
      </c>
      <c r="D36" s="2">
        <f>_xlfn.RANK.EQ(Performance[[#This Row],[Quality Score]],Performance[Quality Score])</f>
        <v>35</v>
      </c>
      <c r="E36" s="2">
        <f>COUNTIF($D$2:D36,Performance[[#This Row],[Rank]])</f>
        <v>1</v>
      </c>
      <c r="F36" s="2">
        <f>(Performance[[#This Row],[Rank]]+Performance[[#This Row],[Rank ocuur]])-1</f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2022-11-26T14:10:16Z</dcterms:created>
  <dcterms:modified xsi:type="dcterms:W3CDTF">2026-06-27T09:02:37Z</dcterms:modified>
</cp:coreProperties>
</file>