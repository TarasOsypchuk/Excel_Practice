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C43E4B3F-89A9-4162-8691-99B3FF4BAAE9}" xr6:coauthVersionLast="47" xr6:coauthVersionMax="47" xr10:uidLastSave="{00000000-0000-0000-0000-000000000000}"/>
  <workbookProtection lockStructure="1"/>
  <bookViews>
    <workbookView xWindow="-120" yWindow="-120" windowWidth="29040" windowHeight="15720" xr2:uid="{5C7D6F03-86AF-E34F-A5D8-EFC879E7414B}"/>
  </bookViews>
  <sheets>
    <sheet name="School List" sheetId="3" r:id="rId1"/>
    <sheet name="Sheet1" sheetId="4" state="hidden" r:id="rId2"/>
  </sheets>
  <definedNames>
    <definedName name="_xlnm._FilterDatabase" localSheetId="0" hidden="1">'School List'!$A$1:$E$43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3" l="1"/>
  <c r="L2" i="3"/>
  <c r="K2" i="3"/>
  <c r="H2" i="3"/>
  <c r="I2" i="3"/>
  <c r="N1" i="3"/>
  <c r="A87" i="3"/>
  <c r="A47" i="3"/>
  <c r="B47" i="3"/>
  <c r="C47" i="3"/>
  <c r="D47" i="3"/>
  <c r="E47" i="3"/>
  <c r="A48" i="3"/>
  <c r="B48" i="3"/>
  <c r="C48" i="3"/>
  <c r="D48" i="3"/>
  <c r="E48" i="3"/>
  <c r="A49" i="3"/>
  <c r="B49" i="3"/>
  <c r="C49" i="3"/>
  <c r="D49" i="3"/>
  <c r="E49" i="3"/>
  <c r="A50" i="3"/>
  <c r="B50" i="3"/>
  <c r="C50" i="3"/>
  <c r="D50" i="3"/>
  <c r="E50" i="3"/>
  <c r="A51" i="3"/>
  <c r="B51" i="3"/>
  <c r="C51" i="3"/>
  <c r="D51" i="3"/>
  <c r="E51" i="3"/>
  <c r="A52" i="3"/>
  <c r="B52" i="3"/>
  <c r="C52" i="3"/>
  <c r="D52" i="3"/>
  <c r="E52" i="3"/>
  <c r="A53" i="3"/>
  <c r="B53" i="3"/>
  <c r="C53" i="3"/>
  <c r="D53" i="3"/>
  <c r="E53" i="3"/>
  <c r="A54" i="3"/>
  <c r="B54" i="3"/>
  <c r="C54" i="3"/>
  <c r="D54" i="3"/>
  <c r="E54" i="3"/>
  <c r="A55" i="3"/>
  <c r="B55" i="3"/>
  <c r="C55" i="3"/>
  <c r="D55" i="3"/>
  <c r="E55" i="3"/>
  <c r="A56" i="3"/>
  <c r="B56" i="3"/>
  <c r="C56" i="3"/>
  <c r="D56" i="3"/>
  <c r="E56" i="3"/>
  <c r="A57" i="3"/>
  <c r="B57" i="3"/>
  <c r="C57" i="3"/>
  <c r="D57" i="3"/>
  <c r="E57" i="3"/>
  <c r="A58" i="3"/>
  <c r="B58" i="3"/>
  <c r="C58" i="3"/>
  <c r="D58" i="3"/>
  <c r="E58" i="3"/>
  <c r="A59" i="3"/>
  <c r="B59" i="3"/>
  <c r="C59" i="3"/>
  <c r="D59" i="3"/>
  <c r="E59" i="3"/>
  <c r="A60" i="3"/>
  <c r="B60" i="3"/>
  <c r="C60" i="3"/>
  <c r="D60" i="3"/>
  <c r="E60" i="3"/>
  <c r="A61" i="3"/>
  <c r="B61" i="3"/>
  <c r="C61" i="3"/>
  <c r="D61" i="3"/>
  <c r="E61" i="3"/>
  <c r="A62" i="3"/>
  <c r="B62" i="3"/>
  <c r="C62" i="3"/>
  <c r="D62" i="3"/>
  <c r="E62" i="3"/>
  <c r="A63" i="3"/>
  <c r="B63" i="3"/>
  <c r="C63" i="3"/>
  <c r="D63" i="3"/>
  <c r="E63" i="3"/>
  <c r="A64" i="3"/>
  <c r="B64" i="3"/>
  <c r="C64" i="3"/>
  <c r="D64" i="3"/>
  <c r="E64" i="3"/>
  <c r="A65" i="3"/>
  <c r="B65" i="3"/>
  <c r="C65" i="3"/>
  <c r="D65" i="3"/>
  <c r="E65" i="3"/>
  <c r="A66" i="3"/>
  <c r="B66" i="3"/>
  <c r="C66" i="3"/>
  <c r="D66" i="3"/>
  <c r="E66" i="3"/>
  <c r="A67" i="3"/>
  <c r="B67" i="3"/>
  <c r="C67" i="3"/>
  <c r="D67" i="3"/>
  <c r="E67" i="3"/>
  <c r="A68" i="3"/>
  <c r="B68" i="3"/>
  <c r="C68" i="3"/>
  <c r="D68" i="3"/>
  <c r="E68" i="3"/>
  <c r="A69" i="3"/>
  <c r="B69" i="3"/>
  <c r="C69" i="3"/>
  <c r="D69" i="3"/>
  <c r="E69" i="3"/>
  <c r="A70" i="3"/>
  <c r="B70" i="3"/>
  <c r="C70" i="3"/>
  <c r="D70" i="3"/>
  <c r="E70" i="3"/>
  <c r="A71" i="3"/>
  <c r="B71" i="3"/>
  <c r="C71" i="3"/>
  <c r="D71" i="3"/>
  <c r="E71" i="3"/>
  <c r="A72" i="3"/>
  <c r="B72" i="3"/>
  <c r="C72" i="3"/>
  <c r="D72" i="3"/>
  <c r="E72" i="3"/>
  <c r="A73" i="3"/>
  <c r="B73" i="3"/>
  <c r="C73" i="3"/>
  <c r="D73" i="3"/>
  <c r="E73" i="3"/>
  <c r="A74" i="3"/>
  <c r="B74" i="3"/>
  <c r="C74" i="3"/>
  <c r="D74" i="3"/>
  <c r="E74" i="3"/>
  <c r="A75" i="3"/>
  <c r="B75" i="3"/>
  <c r="C75" i="3"/>
  <c r="D75" i="3"/>
  <c r="E75" i="3"/>
  <c r="A76" i="3"/>
  <c r="B76" i="3"/>
  <c r="C76" i="3"/>
  <c r="D76" i="3"/>
  <c r="E76" i="3"/>
  <c r="A77" i="3"/>
  <c r="B77" i="3"/>
  <c r="C77" i="3"/>
  <c r="D77" i="3"/>
  <c r="E77" i="3"/>
  <c r="A78" i="3"/>
  <c r="B78" i="3"/>
  <c r="C78" i="3"/>
  <c r="D78" i="3"/>
  <c r="E78" i="3"/>
  <c r="A79" i="3"/>
  <c r="B79" i="3"/>
  <c r="C79" i="3"/>
  <c r="D79" i="3"/>
  <c r="E79" i="3"/>
  <c r="A80" i="3"/>
  <c r="B80" i="3"/>
  <c r="C80" i="3"/>
  <c r="D80" i="3"/>
  <c r="E80" i="3"/>
  <c r="A81" i="3"/>
  <c r="B81" i="3"/>
  <c r="C81" i="3"/>
  <c r="D81" i="3"/>
  <c r="E81" i="3"/>
  <c r="A82" i="3"/>
  <c r="B82" i="3"/>
  <c r="C82" i="3"/>
  <c r="D82" i="3"/>
  <c r="E82" i="3"/>
  <c r="A83" i="3"/>
  <c r="B83" i="3"/>
  <c r="C83" i="3"/>
  <c r="D83" i="3"/>
  <c r="E83" i="3"/>
  <c r="A84" i="3"/>
  <c r="B84" i="3"/>
  <c r="C84" i="3"/>
  <c r="D84" i="3"/>
  <c r="E84" i="3"/>
  <c r="A85" i="3"/>
  <c r="B85" i="3"/>
  <c r="C85" i="3"/>
  <c r="D85" i="3"/>
  <c r="E85" i="3"/>
  <c r="A86" i="3"/>
  <c r="B86" i="3"/>
  <c r="C86" i="3"/>
  <c r="D86" i="3"/>
  <c r="E86" i="3"/>
  <c r="B87" i="3"/>
  <c r="C87" i="3"/>
  <c r="D87" i="3"/>
  <c r="E87" i="3"/>
  <c r="B46" i="3"/>
  <c r="C46" i="3"/>
  <c r="D46" i="3"/>
  <c r="E46" i="3"/>
  <c r="A46" i="3"/>
  <c r="J3" i="3"/>
  <c r="L3" i="3"/>
  <c r="K3" i="3"/>
  <c r="I3" i="3"/>
  <c r="H3" i="3"/>
  <c r="A45" i="3" l="1" a="1"/>
  <c r="A45" i="3" s="1"/>
  <c r="I4" i="3"/>
  <c r="J4" i="3"/>
  <c r="K4" i="3"/>
  <c r="L4" i="3"/>
  <c r="H4" i="3"/>
</calcChain>
</file>

<file path=xl/sharedStrings.xml><?xml version="1.0" encoding="utf-8"?>
<sst xmlns="http://schemas.openxmlformats.org/spreadsheetml/2006/main" count="268" uniqueCount="67">
  <si>
    <t>Central Milton High</t>
  </si>
  <si>
    <t>Collingwood Public</t>
  </si>
  <si>
    <t>Homewood District High</t>
  </si>
  <si>
    <t>Carson High</t>
  </si>
  <si>
    <t>Saint Mary's Middle School</t>
  </si>
  <si>
    <t>Golden Valley Secondary School</t>
  </si>
  <si>
    <t>Sandalwood Elementary</t>
  </si>
  <si>
    <t>Fortuna High School</t>
  </si>
  <si>
    <t>Pioneer School of Fine Arts</t>
  </si>
  <si>
    <t>Bear Mountain Elementary</t>
  </si>
  <si>
    <t>Riverdale Elementary</t>
  </si>
  <si>
    <t>St Michaels High</t>
  </si>
  <si>
    <t>Acadia College</t>
  </si>
  <si>
    <t>Sunnyside Middle School</t>
  </si>
  <si>
    <t>Lincoln Memorial Public School</t>
  </si>
  <si>
    <t>Silver Valley Elementary School </t>
  </si>
  <si>
    <t>Riverdale University</t>
  </si>
  <si>
    <t>Desert Sands Elementary</t>
  </si>
  <si>
    <t>Wildwood Community College</t>
  </si>
  <si>
    <t>Green Valley Elementary School</t>
  </si>
  <si>
    <t>Alpha Community College</t>
  </si>
  <si>
    <t>West Shores Middle School</t>
  </si>
  <si>
    <t>Grandview Elementary</t>
  </si>
  <si>
    <t xml:space="preserve">Lone Oak Middle School </t>
  </si>
  <si>
    <t>Lakeside University</t>
  </si>
  <si>
    <t>Enterprise Public School</t>
  </si>
  <si>
    <t>Eastwood Elementary School</t>
  </si>
  <si>
    <t>Elementary</t>
  </si>
  <si>
    <t>University</t>
  </si>
  <si>
    <t>Blue Lake Elementary</t>
  </si>
  <si>
    <t>Rainbow Elementary School</t>
  </si>
  <si>
    <t>East Shores Elementary School</t>
  </si>
  <si>
    <t>Saint Helena Catholic Elementary</t>
  </si>
  <si>
    <t>Population</t>
  </si>
  <si>
    <t>Name</t>
  </si>
  <si>
    <t>Findlay</t>
  </si>
  <si>
    <t>Midland</t>
  </si>
  <si>
    <t>Collinsville</t>
  </si>
  <si>
    <t>Rockford</t>
  </si>
  <si>
    <t>Tiverton</t>
  </si>
  <si>
    <t>Fort Hope</t>
  </si>
  <si>
    <t>Stratley</t>
  </si>
  <si>
    <t>Oakland</t>
  </si>
  <si>
    <t>Bear Mountain</t>
  </si>
  <si>
    <t>Milton</t>
  </si>
  <si>
    <t>Eastwood</t>
  </si>
  <si>
    <t>Riverdale</t>
  </si>
  <si>
    <t>Bear Mountain Community College</t>
  </si>
  <si>
    <t>Stratley Secondary School</t>
  </si>
  <si>
    <t>Eastwood High School</t>
  </si>
  <si>
    <t>Milton Elementary School</t>
  </si>
  <si>
    <t>Casper High School</t>
  </si>
  <si>
    <t>Collinsville Middle School</t>
  </si>
  <si>
    <t>University of Oakland</t>
  </si>
  <si>
    <t>Sandalwood</t>
  </si>
  <si>
    <t>Westview Park</t>
  </si>
  <si>
    <t>Westview Park College</t>
  </si>
  <si>
    <t>Westview Preparatory School</t>
  </si>
  <si>
    <t>Middle</t>
  </si>
  <si>
    <t>High</t>
  </si>
  <si>
    <t>Type of School</t>
  </si>
  <si>
    <t>Town</t>
  </si>
  <si>
    <t>College</t>
  </si>
  <si>
    <t>Capacity</t>
  </si>
  <si>
    <t>Findlay Secondary School</t>
  </si>
  <si>
    <t>Occupancy</t>
  </si>
  <si>
    <t>Grand Ridge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</si>
</sst>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Var(--ff-mono)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Font="1" applyBorder="1"/>
    <xf numFmtId="0" fontId="2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3" fontId="0" fillId="0" borderId="1" xfId="1" applyNumberFormat="1" applyFont="1" applyBorder="1" applyAlignment="1">
      <alignment horizontal="center"/>
    </xf>
    <xf numFmtId="3" fontId="0" fillId="0" borderId="5" xfId="1" applyNumberFormat="1" applyFont="1" applyBorder="1" applyAlignment="1">
      <alignment horizontal="center"/>
    </xf>
    <xf numFmtId="3" fontId="2" fillId="2" borderId="1" xfId="1" applyNumberFormat="1" applyFont="1" applyFill="1" applyBorder="1" applyAlignment="1">
      <alignment horizontal="center"/>
    </xf>
    <xf numFmtId="0" fontId="5" fillId="0" borderId="0" xfId="0" applyFont="1" applyProtection="1">
      <protection hidden="1"/>
    </xf>
    <xf numFmtId="0" fontId="0" fillId="0" borderId="0" xfId="0" applyFont="1" applyProtection="1">
      <protection hidden="1"/>
    </xf>
    <xf numFmtId="0" fontId="2" fillId="2" borderId="2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3" fontId="2" fillId="2" borderId="1" xfId="1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Protection="1">
      <protection locked="0"/>
    </xf>
    <xf numFmtId="0" fontId="3" fillId="0" borderId="0" xfId="0" applyFont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0" fillId="0" borderId="2" xfId="0" applyFont="1" applyBorder="1" applyProtection="1">
      <protection locked="0"/>
    </xf>
    <xf numFmtId="0" fontId="0" fillId="0" borderId="1" xfId="0" applyFont="1" applyBorder="1" applyProtection="1">
      <protection locked="0"/>
    </xf>
    <xf numFmtId="3" fontId="0" fillId="0" borderId="1" xfId="1" applyNumberFormat="1" applyFont="1" applyBorder="1" applyAlignment="1" applyProtection="1">
      <alignment horizontal="center"/>
      <protection locked="0"/>
    </xf>
    <xf numFmtId="0" fontId="0" fillId="0" borderId="3" xfId="0" applyFont="1" applyBorder="1" applyProtection="1">
      <protection locked="0"/>
    </xf>
    <xf numFmtId="0" fontId="0" fillId="0" borderId="0" xfId="0" applyProtection="1">
      <protection locked="0"/>
    </xf>
    <xf numFmtId="0" fontId="3" fillId="0" borderId="0" xfId="0" applyFont="1" applyFill="1" applyProtection="1">
      <protection locked="0"/>
    </xf>
    <xf numFmtId="9" fontId="3" fillId="0" borderId="0" xfId="2" applyFont="1" applyAlignment="1" applyProtection="1">
      <alignment horizontal="center"/>
      <protection locked="0"/>
    </xf>
    <xf numFmtId="0" fontId="0" fillId="0" borderId="4" xfId="0" applyFont="1" applyBorder="1" applyProtection="1">
      <protection locked="0"/>
    </xf>
    <xf numFmtId="0" fontId="0" fillId="0" borderId="5" xfId="0" applyFont="1" applyBorder="1" applyProtection="1">
      <protection locked="0"/>
    </xf>
    <xf numFmtId="3" fontId="0" fillId="0" borderId="5" xfId="1" applyNumberFormat="1" applyFont="1" applyBorder="1" applyAlignment="1" applyProtection="1">
      <alignment horizontal="center"/>
      <protection locked="0"/>
    </xf>
    <xf numFmtId="0" fontId="0" fillId="0" borderId="6" xfId="0" applyFont="1" applyBorder="1" applyProtection="1">
      <protection locked="0"/>
    </xf>
    <xf numFmtId="0" fontId="0" fillId="0" borderId="0" xfId="0" applyFont="1" applyProtection="1">
      <protection locked="0"/>
    </xf>
    <xf numFmtId="3" fontId="0" fillId="0" borderId="0" xfId="1" applyNumberFormat="1" applyFont="1" applyAlignment="1" applyProtection="1">
      <alignment horizontal="center"/>
      <protection locked="0"/>
    </xf>
    <xf numFmtId="0" fontId="0" fillId="0" borderId="0" xfId="0" applyFont="1" applyProtection="1"/>
    <xf numFmtId="3" fontId="0" fillId="0" borderId="0" xfId="1" applyNumberFormat="1" applyFont="1" applyAlignment="1" applyProtection="1">
      <alignment horizontal="center"/>
    </xf>
    <xf numFmtId="0" fontId="0" fillId="0" borderId="0" xfId="0" applyProtection="1"/>
    <xf numFmtId="0" fontId="0" fillId="0" borderId="0" xfId="0" applyProtection="1">
      <protection hidden="1"/>
    </xf>
    <xf numFmtId="0" fontId="3" fillId="0" borderId="0" xfId="2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807F-D377-3E42-A86F-34E8E7714D1D}">
  <dimension ref="A1:N218"/>
  <sheetViews>
    <sheetView tabSelected="1" zoomScale="70" zoomScaleNormal="70" workbookViewId="0">
      <selection activeCell="N9" sqref="N9"/>
    </sheetView>
  </sheetViews>
  <sheetFormatPr defaultColWidth="11" defaultRowHeight="15.75"/>
  <cols>
    <col min="1" max="1" width="31.875" style="34" bestFit="1" customWidth="1"/>
    <col min="2" max="2" width="19.625" style="34" bestFit="1" customWidth="1"/>
    <col min="3" max="4" width="12.875" style="35" customWidth="1"/>
    <col min="5" max="5" width="13.375" style="27" bestFit="1" customWidth="1"/>
    <col min="6" max="6" width="11" style="27"/>
    <col min="7" max="7" width="11.625" style="27" bestFit="1" customWidth="1"/>
    <col min="8" max="16384" width="11" style="27"/>
  </cols>
  <sheetData>
    <row r="1" spans="1:14" s="19" customFormat="1">
      <c r="A1" s="15" t="s">
        <v>34</v>
      </c>
      <c r="B1" s="16" t="s">
        <v>60</v>
      </c>
      <c r="C1" s="17" t="s">
        <v>33</v>
      </c>
      <c r="D1" s="17" t="s">
        <v>63</v>
      </c>
      <c r="E1" s="18" t="s">
        <v>61</v>
      </c>
      <c r="G1" s="20"/>
      <c r="H1" s="21" t="s">
        <v>28</v>
      </c>
      <c r="I1" s="21" t="s">
        <v>27</v>
      </c>
      <c r="J1" s="21" t="s">
        <v>58</v>
      </c>
      <c r="K1" s="21" t="s">
        <v>62</v>
      </c>
      <c r="L1" s="22" t="s">
        <v>59</v>
      </c>
      <c r="M1" s="42"/>
      <c r="N1" s="42" t="str">
        <f>IF(AND(H1="university",I1="elementary",J1="middle",K1="college",L1="high"),"","Check sort order")</f>
        <v/>
      </c>
    </row>
    <row r="2" spans="1:14">
      <c r="A2" s="23" t="s">
        <v>9</v>
      </c>
      <c r="B2" s="24" t="s">
        <v>27</v>
      </c>
      <c r="C2" s="25">
        <v>348</v>
      </c>
      <c r="D2" s="25">
        <v>350</v>
      </c>
      <c r="E2" s="26" t="s">
        <v>43</v>
      </c>
      <c r="G2" s="28" t="s">
        <v>65</v>
      </c>
      <c r="H2" s="29">
        <f>SUMIF($B$2:$B$43,H1,$C$2:$C$43)/SUMIF($B$2:$B$43,H1,$D$2:$D$43)</f>
        <v>0.87132686084142397</v>
      </c>
      <c r="I2" s="29">
        <f>SUMIF($B$2:$B$43,I1,$C$2:$C$43)/SUMIF($B$2:$B$43,I1,$D$2:$D$43)</f>
        <v>0.94275466284074605</v>
      </c>
      <c r="J2" s="29">
        <f>SUMIF($B$2:$B$43,J1,$C$2:$C$43)/SUMIF($B$2:$B$43,J1,$D$2:$D$43)</f>
        <v>0.95025641025641028</v>
      </c>
      <c r="K2" s="29">
        <f>SUMIF($B$2:$B$43,K1,$C$2:$C$43)/SUMIF($B$2:$B$43,K1,$D$2:$D$43)</f>
        <v>0.9786973731558114</v>
      </c>
      <c r="L2" s="29">
        <f>SUMIF($B$2:$B$43,L1,$C$2:$C$43)/SUMIF($B$2:$B$43,L1,$D$2:$D$43)</f>
        <v>0.98539088439480838</v>
      </c>
    </row>
    <row r="3" spans="1:14">
      <c r="A3" s="23" t="s">
        <v>47</v>
      </c>
      <c r="B3" s="24" t="s">
        <v>62</v>
      </c>
      <c r="C3" s="25">
        <v>1604</v>
      </c>
      <c r="D3" s="25">
        <v>1620</v>
      </c>
      <c r="E3" s="26" t="s">
        <v>43</v>
      </c>
      <c r="H3" s="40">
        <f ca="1">IF(ISBLANK(H2),"",IF(_xlfn.ISFORMULA(H2),IF(_xlfn.FORMULATEXT(H2)="=SUMIF($B$2:$B$43,H1,$C$2:$C$43)/SUMIF($B$2:$B$43,H1,$D$2:$D$43)",1,2)))</f>
        <v>1</v>
      </c>
      <c r="I3" s="40">
        <f ca="1">IF(ISBLANK(I2),"",IF(_xlfn.ISFORMULA(I2),IF(_xlfn.FORMULATEXT(I2)="=SUMIF($B$2:$B$43,i1,$C$2:$C$43)/SUMIF($B$2:$B$43,i1,$D$2:$D$43)",1,2)))</f>
        <v>1</v>
      </c>
      <c r="J3" s="40">
        <f ca="1">IF(ISBLANK(J2),"",IF(_xlfn.ISFORMULA(J2),IF(_xlfn.FORMULATEXT(J2)="=SUMIF($B$2:$B$43,j1,$C$2:$C$43)/SUMIF($B$2:$B$43,j1,$D$2:$D$43)",1,2)))</f>
        <v>1</v>
      </c>
      <c r="K3" s="40">
        <f ca="1">IF(ISBLANK(K2),"",IF(_xlfn.ISFORMULA(K2),IF(_xlfn.FORMULATEXT(K2)="=SUMIF($B$2:$B$43,k1,$C$2:$C$43)/SUMIF($B$2:$B$43,k1,$D$2:$D$43)",1,2)))</f>
        <v>1</v>
      </c>
      <c r="L3" s="40">
        <f ca="1">IF(ISBLANK(L2),"",IF(_xlfn.ISFORMULA(L2),IF(_xlfn.FORMULATEXT(L2)="=SUMIF($B$2:$B$43,l1,$C$2:$C$43)/SUMIF($B$2:$B$43,l1,$D$2:$D$43)",1,2)))</f>
        <v>1</v>
      </c>
    </row>
    <row r="4" spans="1:14">
      <c r="A4" s="23" t="s">
        <v>30</v>
      </c>
      <c r="B4" s="24" t="s">
        <v>27</v>
      </c>
      <c r="C4" s="25">
        <v>625</v>
      </c>
      <c r="D4" s="25">
        <v>630</v>
      </c>
      <c r="E4" s="26" t="s">
        <v>37</v>
      </c>
      <c r="H4" s="41" t="str">
        <f ca="1">IF(H3="","",IF(H3=1,"Nice work!","Hmm…try again"))</f>
        <v>Nice work!</v>
      </c>
      <c r="I4" s="41" t="str">
        <f t="shared" ref="I4:L4" ca="1" si="0">IF(I3="","",IF(I3=1,"Nice work!","Hmm…try again"))</f>
        <v>Nice work!</v>
      </c>
      <c r="J4" s="41" t="str">
        <f t="shared" ca="1" si="0"/>
        <v>Nice work!</v>
      </c>
      <c r="K4" s="41" t="str">
        <f t="shared" ca="1" si="0"/>
        <v>Nice work!</v>
      </c>
      <c r="L4" s="41" t="str">
        <f t="shared" ca="1" si="0"/>
        <v>Nice work!</v>
      </c>
    </row>
    <row r="5" spans="1:14">
      <c r="A5" s="23" t="s">
        <v>52</v>
      </c>
      <c r="B5" s="24" t="s">
        <v>58</v>
      </c>
      <c r="C5" s="25">
        <v>449</v>
      </c>
      <c r="D5" s="25">
        <v>470</v>
      </c>
      <c r="E5" s="26" t="s">
        <v>37</v>
      </c>
    </row>
    <row r="6" spans="1:14">
      <c r="A6" s="23" t="s">
        <v>66</v>
      </c>
      <c r="B6" s="24" t="s">
        <v>59</v>
      </c>
      <c r="C6" s="25">
        <v>1748</v>
      </c>
      <c r="D6" s="25">
        <v>1790</v>
      </c>
      <c r="E6" s="26" t="s">
        <v>37</v>
      </c>
    </row>
    <row r="7" spans="1:14">
      <c r="A7" s="23" t="s">
        <v>26</v>
      </c>
      <c r="B7" s="24" t="s">
        <v>27</v>
      </c>
      <c r="C7" s="25">
        <v>521</v>
      </c>
      <c r="D7" s="25">
        <v>620</v>
      </c>
      <c r="E7" s="26" t="s">
        <v>45</v>
      </c>
    </row>
    <row r="8" spans="1:14">
      <c r="A8" s="23" t="s">
        <v>1</v>
      </c>
      <c r="B8" s="24" t="s">
        <v>58</v>
      </c>
      <c r="C8" s="25">
        <v>845</v>
      </c>
      <c r="D8" s="25">
        <v>960</v>
      </c>
      <c r="E8" s="26" t="s">
        <v>45</v>
      </c>
    </row>
    <row r="9" spans="1:14">
      <c r="A9" s="23" t="s">
        <v>4</v>
      </c>
      <c r="B9" s="24" t="s">
        <v>58</v>
      </c>
      <c r="C9" s="25">
        <v>510</v>
      </c>
      <c r="D9" s="25">
        <v>525</v>
      </c>
      <c r="E9" s="26" t="s">
        <v>45</v>
      </c>
    </row>
    <row r="10" spans="1:14">
      <c r="A10" s="23" t="s">
        <v>49</v>
      </c>
      <c r="B10" s="24" t="s">
        <v>59</v>
      </c>
      <c r="C10" s="25">
        <v>1025</v>
      </c>
      <c r="D10" s="25">
        <v>1100</v>
      </c>
      <c r="E10" s="26" t="s">
        <v>45</v>
      </c>
    </row>
    <row r="11" spans="1:14">
      <c r="A11" s="23" t="s">
        <v>51</v>
      </c>
      <c r="B11" s="24" t="s">
        <v>59</v>
      </c>
      <c r="C11" s="25">
        <v>845</v>
      </c>
      <c r="D11" s="25">
        <v>850</v>
      </c>
      <c r="E11" s="26" t="s">
        <v>45</v>
      </c>
    </row>
    <row r="12" spans="1:14">
      <c r="A12" s="23" t="s">
        <v>8</v>
      </c>
      <c r="B12" s="24" t="s">
        <v>62</v>
      </c>
      <c r="C12" s="25">
        <v>2587</v>
      </c>
      <c r="D12" s="25">
        <v>2595</v>
      </c>
      <c r="E12" s="26" t="s">
        <v>45</v>
      </c>
    </row>
    <row r="13" spans="1:14">
      <c r="A13" s="23" t="s">
        <v>15</v>
      </c>
      <c r="B13" s="24" t="s">
        <v>27</v>
      </c>
      <c r="C13" s="25">
        <v>541</v>
      </c>
      <c r="D13" s="25">
        <v>550</v>
      </c>
      <c r="E13" s="26" t="s">
        <v>35</v>
      </c>
    </row>
    <row r="14" spans="1:14">
      <c r="A14" s="23" t="s">
        <v>23</v>
      </c>
      <c r="B14" s="24" t="s">
        <v>58</v>
      </c>
      <c r="C14" s="25">
        <v>579</v>
      </c>
      <c r="D14" s="25">
        <v>595</v>
      </c>
      <c r="E14" s="26" t="s">
        <v>35</v>
      </c>
    </row>
    <row r="15" spans="1:14">
      <c r="A15" s="23" t="s">
        <v>7</v>
      </c>
      <c r="B15" s="24" t="s">
        <v>59</v>
      </c>
      <c r="C15" s="25">
        <v>2008</v>
      </c>
      <c r="D15" s="25">
        <v>2010</v>
      </c>
      <c r="E15" s="26" t="s">
        <v>35</v>
      </c>
    </row>
    <row r="16" spans="1:14">
      <c r="A16" s="23" t="s">
        <v>20</v>
      </c>
      <c r="B16" s="24" t="s">
        <v>62</v>
      </c>
      <c r="C16" s="25">
        <v>4512</v>
      </c>
      <c r="D16" s="25">
        <v>4600</v>
      </c>
      <c r="E16" s="26" t="s">
        <v>35</v>
      </c>
    </row>
    <row r="17" spans="1:5">
      <c r="A17" s="23" t="s">
        <v>11</v>
      </c>
      <c r="B17" s="24" t="s">
        <v>59</v>
      </c>
      <c r="C17" s="25">
        <v>1985</v>
      </c>
      <c r="D17" s="25">
        <v>1990</v>
      </c>
      <c r="E17" s="26" t="s">
        <v>40</v>
      </c>
    </row>
    <row r="18" spans="1:5">
      <c r="A18" s="23" t="s">
        <v>5</v>
      </c>
      <c r="B18" s="24" t="s">
        <v>59</v>
      </c>
      <c r="C18" s="25">
        <v>956</v>
      </c>
      <c r="D18" s="25">
        <v>960</v>
      </c>
      <c r="E18" s="26" t="s">
        <v>40</v>
      </c>
    </row>
    <row r="19" spans="1:5">
      <c r="A19" s="23" t="s">
        <v>29</v>
      </c>
      <c r="B19" s="24" t="s">
        <v>27</v>
      </c>
      <c r="C19" s="25">
        <v>774</v>
      </c>
      <c r="D19" s="25">
        <v>775</v>
      </c>
      <c r="E19" s="26" t="s">
        <v>36</v>
      </c>
    </row>
    <row r="20" spans="1:5">
      <c r="A20" s="23" t="s">
        <v>64</v>
      </c>
      <c r="B20" s="24" t="s">
        <v>59</v>
      </c>
      <c r="C20" s="25">
        <v>1546</v>
      </c>
      <c r="D20" s="25">
        <v>1550</v>
      </c>
      <c r="E20" s="26" t="s">
        <v>36</v>
      </c>
    </row>
    <row r="21" spans="1:5">
      <c r="A21" s="23" t="s">
        <v>12</v>
      </c>
      <c r="B21" s="24" t="s">
        <v>62</v>
      </c>
      <c r="C21" s="25">
        <v>1475</v>
      </c>
      <c r="D21" s="25">
        <v>1550</v>
      </c>
      <c r="E21" s="26" t="s">
        <v>36</v>
      </c>
    </row>
    <row r="22" spans="1:5">
      <c r="A22" s="23" t="s">
        <v>50</v>
      </c>
      <c r="B22" s="24" t="s">
        <v>27</v>
      </c>
      <c r="C22" s="25">
        <v>559</v>
      </c>
      <c r="D22" s="25">
        <v>660</v>
      </c>
      <c r="E22" s="26" t="s">
        <v>44</v>
      </c>
    </row>
    <row r="23" spans="1:5">
      <c r="A23" s="23" t="s">
        <v>17</v>
      </c>
      <c r="B23" s="24" t="s">
        <v>27</v>
      </c>
      <c r="C23" s="25">
        <v>441</v>
      </c>
      <c r="D23" s="25">
        <v>455</v>
      </c>
      <c r="E23" s="26" t="s">
        <v>44</v>
      </c>
    </row>
    <row r="24" spans="1:5">
      <c r="A24" s="23" t="s">
        <v>3</v>
      </c>
      <c r="B24" s="24" t="s">
        <v>59</v>
      </c>
      <c r="C24" s="25">
        <v>2479</v>
      </c>
      <c r="D24" s="25">
        <v>2500</v>
      </c>
      <c r="E24" s="26" t="s">
        <v>44</v>
      </c>
    </row>
    <row r="25" spans="1:5">
      <c r="A25" s="23" t="s">
        <v>0</v>
      </c>
      <c r="B25" s="24" t="s">
        <v>59</v>
      </c>
      <c r="C25" s="25">
        <v>1885</v>
      </c>
      <c r="D25" s="25">
        <v>1910</v>
      </c>
      <c r="E25" s="26" t="s">
        <v>44</v>
      </c>
    </row>
    <row r="26" spans="1:5">
      <c r="A26" s="23" t="s">
        <v>18</v>
      </c>
      <c r="B26" s="24" t="s">
        <v>62</v>
      </c>
      <c r="C26" s="25">
        <v>1196</v>
      </c>
      <c r="D26" s="25">
        <v>1300</v>
      </c>
      <c r="E26" s="26" t="s">
        <v>44</v>
      </c>
    </row>
    <row r="27" spans="1:5">
      <c r="A27" s="23" t="s">
        <v>19</v>
      </c>
      <c r="B27" s="24" t="s">
        <v>27</v>
      </c>
      <c r="C27" s="25">
        <v>647</v>
      </c>
      <c r="D27" s="25">
        <v>670</v>
      </c>
      <c r="E27" s="26" t="s">
        <v>42</v>
      </c>
    </row>
    <row r="28" spans="1:5">
      <c r="A28" s="23" t="s">
        <v>13</v>
      </c>
      <c r="B28" s="24" t="s">
        <v>58</v>
      </c>
      <c r="C28" s="25">
        <v>658</v>
      </c>
      <c r="D28" s="25">
        <v>720</v>
      </c>
      <c r="E28" s="26" t="s">
        <v>42</v>
      </c>
    </row>
    <row r="29" spans="1:5">
      <c r="A29" s="23" t="s">
        <v>2</v>
      </c>
      <c r="B29" s="24" t="s">
        <v>59</v>
      </c>
      <c r="C29" s="25">
        <v>698</v>
      </c>
      <c r="D29" s="25">
        <v>705</v>
      </c>
      <c r="E29" s="26" t="s">
        <v>42</v>
      </c>
    </row>
    <row r="30" spans="1:5">
      <c r="A30" s="23" t="s">
        <v>53</v>
      </c>
      <c r="B30" s="24" t="s">
        <v>28</v>
      </c>
      <c r="C30" s="25">
        <v>3157</v>
      </c>
      <c r="D30" s="25">
        <v>3290</v>
      </c>
      <c r="E30" s="26" t="s">
        <v>42</v>
      </c>
    </row>
    <row r="31" spans="1:5">
      <c r="A31" s="23" t="s">
        <v>10</v>
      </c>
      <c r="B31" s="24" t="s">
        <v>27</v>
      </c>
      <c r="C31" s="25">
        <v>406</v>
      </c>
      <c r="D31" s="25">
        <v>455</v>
      </c>
      <c r="E31" s="26" t="s">
        <v>46</v>
      </c>
    </row>
    <row r="32" spans="1:5">
      <c r="A32" s="23" t="s">
        <v>16</v>
      </c>
      <c r="B32" s="24" t="s">
        <v>28</v>
      </c>
      <c r="C32" s="25">
        <v>6745</v>
      </c>
      <c r="D32" s="25">
        <v>7500</v>
      </c>
      <c r="E32" s="26" t="s">
        <v>46</v>
      </c>
    </row>
    <row r="33" spans="1:6">
      <c r="A33" s="23" t="s">
        <v>22</v>
      </c>
      <c r="B33" s="24" t="s">
        <v>27</v>
      </c>
      <c r="C33" s="25">
        <v>309</v>
      </c>
      <c r="D33" s="25">
        <v>350</v>
      </c>
      <c r="E33" s="26" t="s">
        <v>38</v>
      </c>
    </row>
    <row r="34" spans="1:6">
      <c r="A34" s="23" t="s">
        <v>14</v>
      </c>
      <c r="B34" s="24" t="s">
        <v>58</v>
      </c>
      <c r="C34" s="25">
        <v>412</v>
      </c>
      <c r="D34" s="25">
        <v>430</v>
      </c>
      <c r="E34" s="26" t="s">
        <v>38</v>
      </c>
    </row>
    <row r="35" spans="1:6">
      <c r="A35" s="23" t="s">
        <v>6</v>
      </c>
      <c r="B35" s="24" t="s">
        <v>27</v>
      </c>
      <c r="C35" s="25">
        <v>227</v>
      </c>
      <c r="D35" s="25">
        <v>250</v>
      </c>
      <c r="E35" s="26" t="s">
        <v>54</v>
      </c>
    </row>
    <row r="36" spans="1:6">
      <c r="A36" s="23" t="s">
        <v>21</v>
      </c>
      <c r="B36" s="24" t="s">
        <v>58</v>
      </c>
      <c r="C36" s="25">
        <v>625</v>
      </c>
      <c r="D36" s="25">
        <v>650</v>
      </c>
      <c r="E36" s="26" t="s">
        <v>54</v>
      </c>
    </row>
    <row r="37" spans="1:6">
      <c r="A37" s="23" t="s">
        <v>32</v>
      </c>
      <c r="B37" s="24" t="s">
        <v>27</v>
      </c>
      <c r="C37" s="25">
        <v>328</v>
      </c>
      <c r="D37" s="25">
        <v>360</v>
      </c>
      <c r="E37" s="26" t="s">
        <v>41</v>
      </c>
    </row>
    <row r="38" spans="1:6">
      <c r="A38" s="23" t="s">
        <v>25</v>
      </c>
      <c r="B38" s="24" t="s">
        <v>58</v>
      </c>
      <c r="C38" s="25">
        <v>695</v>
      </c>
      <c r="D38" s="25">
        <v>710</v>
      </c>
      <c r="E38" s="26" t="s">
        <v>41</v>
      </c>
    </row>
    <row r="39" spans="1:6">
      <c r="A39" s="23" t="s">
        <v>48</v>
      </c>
      <c r="B39" s="24" t="s">
        <v>59</v>
      </c>
      <c r="C39" s="25">
        <v>1148</v>
      </c>
      <c r="D39" s="25">
        <v>1200</v>
      </c>
      <c r="E39" s="26" t="s">
        <v>41</v>
      </c>
    </row>
    <row r="40" spans="1:6">
      <c r="A40" s="23" t="s">
        <v>31</v>
      </c>
      <c r="B40" s="24" t="s">
        <v>27</v>
      </c>
      <c r="C40" s="25">
        <v>845</v>
      </c>
      <c r="D40" s="25">
        <v>845</v>
      </c>
      <c r="E40" s="26" t="s">
        <v>39</v>
      </c>
    </row>
    <row r="41" spans="1:6">
      <c r="A41" s="23" t="s">
        <v>24</v>
      </c>
      <c r="B41" s="24" t="s">
        <v>28</v>
      </c>
      <c r="C41" s="25">
        <v>3560</v>
      </c>
      <c r="D41" s="25">
        <v>4660</v>
      </c>
      <c r="E41" s="26" t="s">
        <v>39</v>
      </c>
    </row>
    <row r="42" spans="1:6">
      <c r="A42" s="23" t="s">
        <v>57</v>
      </c>
      <c r="B42" s="24" t="s">
        <v>58</v>
      </c>
      <c r="C42" s="25">
        <v>786</v>
      </c>
      <c r="D42" s="25">
        <v>790</v>
      </c>
      <c r="E42" s="26" t="s">
        <v>55</v>
      </c>
    </row>
    <row r="43" spans="1:6">
      <c r="A43" s="30" t="s">
        <v>56</v>
      </c>
      <c r="B43" s="31" t="s">
        <v>62</v>
      </c>
      <c r="C43" s="32">
        <v>2225</v>
      </c>
      <c r="D43" s="32">
        <v>2230</v>
      </c>
      <c r="E43" s="33" t="s">
        <v>55</v>
      </c>
    </row>
    <row r="45" spans="1:6">
      <c r="A45" s="43">
        <f t="array" ref="A45">IF(AND(EXACT(A46:E87,"TRUE")),1,"Check sort order")</f>
        <v>1</v>
      </c>
      <c r="B45" s="36"/>
      <c r="C45" s="37"/>
      <c r="D45" s="37"/>
      <c r="E45" s="38"/>
      <c r="F45" s="38"/>
    </row>
    <row r="46" spans="1:6">
      <c r="A46" s="13" t="b">
        <f>A2=Sheet1!A2</f>
        <v>1</v>
      </c>
      <c r="B46" s="13" t="b">
        <f>B2=Sheet1!B2</f>
        <v>1</v>
      </c>
      <c r="C46" s="13" t="b">
        <f>C2=Sheet1!C2</f>
        <v>1</v>
      </c>
      <c r="D46" s="13" t="b">
        <f>D2=Sheet1!D2</f>
        <v>1</v>
      </c>
      <c r="E46" s="13" t="b">
        <f>E2=Sheet1!E2</f>
        <v>1</v>
      </c>
      <c r="F46" s="39"/>
    </row>
    <row r="47" spans="1:6">
      <c r="A47" s="13" t="b">
        <f>A3=Sheet1!A3</f>
        <v>1</v>
      </c>
      <c r="B47" s="13" t="b">
        <f>B3=Sheet1!B3</f>
        <v>1</v>
      </c>
      <c r="C47" s="13" t="b">
        <f>C3=Sheet1!C3</f>
        <v>1</v>
      </c>
      <c r="D47" s="13" t="b">
        <f>D3=Sheet1!D3</f>
        <v>1</v>
      </c>
      <c r="E47" s="13" t="b">
        <f>E3=Sheet1!E3</f>
        <v>1</v>
      </c>
      <c r="F47" s="39"/>
    </row>
    <row r="48" spans="1:6">
      <c r="A48" s="13" t="b">
        <f>A4=Sheet1!A4</f>
        <v>1</v>
      </c>
      <c r="B48" s="13" t="b">
        <f>B4=Sheet1!B4</f>
        <v>1</v>
      </c>
      <c r="C48" s="13" t="b">
        <f>C4=Sheet1!C4</f>
        <v>1</v>
      </c>
      <c r="D48" s="13" t="b">
        <f>D4=Sheet1!D4</f>
        <v>1</v>
      </c>
      <c r="E48" s="13" t="b">
        <f>E4=Sheet1!E4</f>
        <v>1</v>
      </c>
      <c r="F48" s="39"/>
    </row>
    <row r="49" spans="1:6">
      <c r="A49" s="13" t="b">
        <f>A5=Sheet1!A5</f>
        <v>1</v>
      </c>
      <c r="B49" s="13" t="b">
        <f>B5=Sheet1!B5</f>
        <v>1</v>
      </c>
      <c r="C49" s="13" t="b">
        <f>C5=Sheet1!C5</f>
        <v>1</v>
      </c>
      <c r="D49" s="13" t="b">
        <f>D5=Sheet1!D5</f>
        <v>1</v>
      </c>
      <c r="E49" s="13" t="b">
        <f>E5=Sheet1!E5</f>
        <v>1</v>
      </c>
      <c r="F49" s="39"/>
    </row>
    <row r="50" spans="1:6">
      <c r="A50" s="13" t="b">
        <f>A6=Sheet1!A6</f>
        <v>1</v>
      </c>
      <c r="B50" s="13" t="b">
        <f>B6=Sheet1!B6</f>
        <v>1</v>
      </c>
      <c r="C50" s="13" t="b">
        <f>C6=Sheet1!C6</f>
        <v>1</v>
      </c>
      <c r="D50" s="13" t="b">
        <f>D6=Sheet1!D6</f>
        <v>1</v>
      </c>
      <c r="E50" s="13" t="b">
        <f>E6=Sheet1!E6</f>
        <v>1</v>
      </c>
      <c r="F50" s="39"/>
    </row>
    <row r="51" spans="1:6">
      <c r="A51" s="13" t="b">
        <f>A7=Sheet1!A7</f>
        <v>1</v>
      </c>
      <c r="B51" s="13" t="b">
        <f>B7=Sheet1!B7</f>
        <v>1</v>
      </c>
      <c r="C51" s="13" t="b">
        <f>C7=Sheet1!C7</f>
        <v>1</v>
      </c>
      <c r="D51" s="13" t="b">
        <f>D7=Sheet1!D7</f>
        <v>1</v>
      </c>
      <c r="E51" s="13" t="b">
        <f>E7=Sheet1!E7</f>
        <v>1</v>
      </c>
      <c r="F51" s="39"/>
    </row>
    <row r="52" spans="1:6">
      <c r="A52" s="13" t="b">
        <f>A8=Sheet1!A8</f>
        <v>1</v>
      </c>
      <c r="B52" s="13" t="b">
        <f>B8=Sheet1!B8</f>
        <v>1</v>
      </c>
      <c r="C52" s="13" t="b">
        <f>C8=Sheet1!C8</f>
        <v>1</v>
      </c>
      <c r="D52" s="13" t="b">
        <f>D8=Sheet1!D8</f>
        <v>1</v>
      </c>
      <c r="E52" s="13" t="b">
        <f>E8=Sheet1!E8</f>
        <v>1</v>
      </c>
      <c r="F52" s="39"/>
    </row>
    <row r="53" spans="1:6">
      <c r="A53" s="13" t="b">
        <f>A9=Sheet1!A9</f>
        <v>1</v>
      </c>
      <c r="B53" s="13" t="b">
        <f>B9=Sheet1!B9</f>
        <v>1</v>
      </c>
      <c r="C53" s="13" t="b">
        <f>C9=Sheet1!C9</f>
        <v>1</v>
      </c>
      <c r="D53" s="13" t="b">
        <f>D9=Sheet1!D9</f>
        <v>1</v>
      </c>
      <c r="E53" s="13" t="b">
        <f>E9=Sheet1!E9</f>
        <v>1</v>
      </c>
      <c r="F53" s="39"/>
    </row>
    <row r="54" spans="1:6">
      <c r="A54" s="13" t="b">
        <f>A10=Sheet1!A10</f>
        <v>1</v>
      </c>
      <c r="B54" s="13" t="b">
        <f>B10=Sheet1!B10</f>
        <v>1</v>
      </c>
      <c r="C54" s="13" t="b">
        <f>C10=Sheet1!C10</f>
        <v>1</v>
      </c>
      <c r="D54" s="13" t="b">
        <f>D10=Sheet1!D10</f>
        <v>1</v>
      </c>
      <c r="E54" s="13" t="b">
        <f>E10=Sheet1!E10</f>
        <v>1</v>
      </c>
      <c r="F54" s="39"/>
    </row>
    <row r="55" spans="1:6">
      <c r="A55" s="13" t="b">
        <f>A11=Sheet1!A11</f>
        <v>1</v>
      </c>
      <c r="B55" s="13" t="b">
        <f>B11=Sheet1!B11</f>
        <v>1</v>
      </c>
      <c r="C55" s="13" t="b">
        <f>C11=Sheet1!C11</f>
        <v>1</v>
      </c>
      <c r="D55" s="13" t="b">
        <f>D11=Sheet1!D11</f>
        <v>1</v>
      </c>
      <c r="E55" s="13" t="b">
        <f>E11=Sheet1!E11</f>
        <v>1</v>
      </c>
      <c r="F55" s="39"/>
    </row>
    <row r="56" spans="1:6">
      <c r="A56" s="13" t="b">
        <f>A12=Sheet1!A12</f>
        <v>1</v>
      </c>
      <c r="B56" s="13" t="b">
        <f>B12=Sheet1!B12</f>
        <v>1</v>
      </c>
      <c r="C56" s="13" t="b">
        <f>C12=Sheet1!C12</f>
        <v>1</v>
      </c>
      <c r="D56" s="13" t="b">
        <f>D12=Sheet1!D12</f>
        <v>1</v>
      </c>
      <c r="E56" s="13" t="b">
        <f>E12=Sheet1!E12</f>
        <v>1</v>
      </c>
      <c r="F56" s="39"/>
    </row>
    <row r="57" spans="1:6">
      <c r="A57" s="13" t="b">
        <f>A13=Sheet1!A13</f>
        <v>1</v>
      </c>
      <c r="B57" s="13" t="b">
        <f>B13=Sheet1!B13</f>
        <v>1</v>
      </c>
      <c r="C57" s="13" t="b">
        <f>C13=Sheet1!C13</f>
        <v>1</v>
      </c>
      <c r="D57" s="13" t="b">
        <f>D13=Sheet1!D13</f>
        <v>1</v>
      </c>
      <c r="E57" s="13" t="b">
        <f>E13=Sheet1!E13</f>
        <v>1</v>
      </c>
      <c r="F57" s="39"/>
    </row>
    <row r="58" spans="1:6">
      <c r="A58" s="13" t="b">
        <f>A14=Sheet1!A14</f>
        <v>1</v>
      </c>
      <c r="B58" s="13" t="b">
        <f>B14=Sheet1!B14</f>
        <v>1</v>
      </c>
      <c r="C58" s="13" t="b">
        <f>C14=Sheet1!C14</f>
        <v>1</v>
      </c>
      <c r="D58" s="13" t="b">
        <f>D14=Sheet1!D14</f>
        <v>1</v>
      </c>
      <c r="E58" s="13" t="b">
        <f>E14=Sheet1!E14</f>
        <v>1</v>
      </c>
      <c r="F58" s="39"/>
    </row>
    <row r="59" spans="1:6">
      <c r="A59" s="13" t="b">
        <f>A15=Sheet1!A15</f>
        <v>1</v>
      </c>
      <c r="B59" s="13" t="b">
        <f>B15=Sheet1!B15</f>
        <v>1</v>
      </c>
      <c r="C59" s="13" t="b">
        <f>C15=Sheet1!C15</f>
        <v>1</v>
      </c>
      <c r="D59" s="13" t="b">
        <f>D15=Sheet1!D15</f>
        <v>1</v>
      </c>
      <c r="E59" s="13" t="b">
        <f>E15=Sheet1!E15</f>
        <v>1</v>
      </c>
      <c r="F59" s="39"/>
    </row>
    <row r="60" spans="1:6">
      <c r="A60" s="13" t="b">
        <f>A16=Sheet1!A16</f>
        <v>1</v>
      </c>
      <c r="B60" s="13" t="b">
        <f>B16=Sheet1!B16</f>
        <v>1</v>
      </c>
      <c r="C60" s="13" t="b">
        <f>C16=Sheet1!C16</f>
        <v>1</v>
      </c>
      <c r="D60" s="13" t="b">
        <f>D16=Sheet1!D16</f>
        <v>1</v>
      </c>
      <c r="E60" s="13" t="b">
        <f>E16=Sheet1!E16</f>
        <v>1</v>
      </c>
      <c r="F60" s="39"/>
    </row>
    <row r="61" spans="1:6">
      <c r="A61" s="13" t="b">
        <f>A17=Sheet1!A17</f>
        <v>1</v>
      </c>
      <c r="B61" s="13" t="b">
        <f>B17=Sheet1!B17</f>
        <v>1</v>
      </c>
      <c r="C61" s="13" t="b">
        <f>C17=Sheet1!C17</f>
        <v>1</v>
      </c>
      <c r="D61" s="13" t="b">
        <f>D17=Sheet1!D17</f>
        <v>1</v>
      </c>
      <c r="E61" s="13" t="b">
        <f>E17=Sheet1!E17</f>
        <v>1</v>
      </c>
      <c r="F61" s="39"/>
    </row>
    <row r="62" spans="1:6">
      <c r="A62" s="13" t="b">
        <f>A18=Sheet1!A18</f>
        <v>1</v>
      </c>
      <c r="B62" s="13" t="b">
        <f>B18=Sheet1!B18</f>
        <v>1</v>
      </c>
      <c r="C62" s="13" t="b">
        <f>C18=Sheet1!C18</f>
        <v>1</v>
      </c>
      <c r="D62" s="13" t="b">
        <f>D18=Sheet1!D18</f>
        <v>1</v>
      </c>
      <c r="E62" s="13" t="b">
        <f>E18=Sheet1!E18</f>
        <v>1</v>
      </c>
      <c r="F62" s="39"/>
    </row>
    <row r="63" spans="1:6">
      <c r="A63" s="13" t="b">
        <f>A19=Sheet1!A19</f>
        <v>1</v>
      </c>
      <c r="B63" s="13" t="b">
        <f>B19=Sheet1!B19</f>
        <v>1</v>
      </c>
      <c r="C63" s="13" t="b">
        <f>C19=Sheet1!C19</f>
        <v>1</v>
      </c>
      <c r="D63" s="13" t="b">
        <f>D19=Sheet1!D19</f>
        <v>1</v>
      </c>
      <c r="E63" s="13" t="b">
        <f>E19=Sheet1!E19</f>
        <v>1</v>
      </c>
      <c r="F63" s="39"/>
    </row>
    <row r="64" spans="1:6">
      <c r="A64" s="13" t="b">
        <f>A20=Sheet1!A20</f>
        <v>1</v>
      </c>
      <c r="B64" s="13" t="b">
        <f>B20=Sheet1!B20</f>
        <v>1</v>
      </c>
      <c r="C64" s="13" t="b">
        <f>C20=Sheet1!C20</f>
        <v>1</v>
      </c>
      <c r="D64" s="13" t="b">
        <f>D20=Sheet1!D20</f>
        <v>1</v>
      </c>
      <c r="E64" s="13" t="b">
        <f>E20=Sheet1!E20</f>
        <v>1</v>
      </c>
      <c r="F64" s="39"/>
    </row>
    <row r="65" spans="1:6">
      <c r="A65" s="13" t="b">
        <f>A21=Sheet1!A21</f>
        <v>1</v>
      </c>
      <c r="B65" s="13" t="b">
        <f>B21=Sheet1!B21</f>
        <v>1</v>
      </c>
      <c r="C65" s="13" t="b">
        <f>C21=Sheet1!C21</f>
        <v>1</v>
      </c>
      <c r="D65" s="13" t="b">
        <f>D21=Sheet1!D21</f>
        <v>1</v>
      </c>
      <c r="E65" s="13" t="b">
        <f>E21=Sheet1!E21</f>
        <v>1</v>
      </c>
      <c r="F65" s="39"/>
    </row>
    <row r="66" spans="1:6">
      <c r="A66" s="13" t="b">
        <f>A22=Sheet1!A22</f>
        <v>1</v>
      </c>
      <c r="B66" s="13" t="b">
        <f>B22=Sheet1!B22</f>
        <v>1</v>
      </c>
      <c r="C66" s="13" t="b">
        <f>C22=Sheet1!C22</f>
        <v>1</v>
      </c>
      <c r="D66" s="13" t="b">
        <f>D22=Sheet1!D22</f>
        <v>1</v>
      </c>
      <c r="E66" s="13" t="b">
        <f>E22=Sheet1!E22</f>
        <v>1</v>
      </c>
      <c r="F66" s="39"/>
    </row>
    <row r="67" spans="1:6">
      <c r="A67" s="13" t="b">
        <f>A23=Sheet1!A23</f>
        <v>1</v>
      </c>
      <c r="B67" s="13" t="b">
        <f>B23=Sheet1!B23</f>
        <v>1</v>
      </c>
      <c r="C67" s="13" t="b">
        <f>C23=Sheet1!C23</f>
        <v>1</v>
      </c>
      <c r="D67" s="13" t="b">
        <f>D23=Sheet1!D23</f>
        <v>1</v>
      </c>
      <c r="E67" s="13" t="b">
        <f>E23=Sheet1!E23</f>
        <v>1</v>
      </c>
      <c r="F67" s="39"/>
    </row>
    <row r="68" spans="1:6">
      <c r="A68" s="13" t="b">
        <f>A24=Sheet1!A24</f>
        <v>1</v>
      </c>
      <c r="B68" s="13" t="b">
        <f>B24=Sheet1!B24</f>
        <v>1</v>
      </c>
      <c r="C68" s="13" t="b">
        <f>C24=Sheet1!C24</f>
        <v>1</v>
      </c>
      <c r="D68" s="13" t="b">
        <f>D24=Sheet1!D24</f>
        <v>1</v>
      </c>
      <c r="E68" s="13" t="b">
        <f>E24=Sheet1!E24</f>
        <v>1</v>
      </c>
      <c r="F68" s="39"/>
    </row>
    <row r="69" spans="1:6">
      <c r="A69" s="13" t="b">
        <f>A25=Sheet1!A25</f>
        <v>1</v>
      </c>
      <c r="B69" s="13" t="b">
        <f>B25=Sheet1!B25</f>
        <v>1</v>
      </c>
      <c r="C69" s="13" t="b">
        <f>C25=Sheet1!C25</f>
        <v>1</v>
      </c>
      <c r="D69" s="13" t="b">
        <f>D25=Sheet1!D25</f>
        <v>1</v>
      </c>
      <c r="E69" s="13" t="b">
        <f>E25=Sheet1!E25</f>
        <v>1</v>
      </c>
      <c r="F69" s="39"/>
    </row>
    <row r="70" spans="1:6">
      <c r="A70" s="13" t="b">
        <f>A26=Sheet1!A26</f>
        <v>1</v>
      </c>
      <c r="B70" s="13" t="b">
        <f>B26=Sheet1!B26</f>
        <v>1</v>
      </c>
      <c r="C70" s="13" t="b">
        <f>C26=Sheet1!C26</f>
        <v>1</v>
      </c>
      <c r="D70" s="13" t="b">
        <f>D26=Sheet1!D26</f>
        <v>1</v>
      </c>
      <c r="E70" s="13" t="b">
        <f>E26=Sheet1!E26</f>
        <v>1</v>
      </c>
      <c r="F70" s="39"/>
    </row>
    <row r="71" spans="1:6">
      <c r="A71" s="13" t="b">
        <f>A27=Sheet1!A27</f>
        <v>1</v>
      </c>
      <c r="B71" s="13" t="b">
        <f>B27=Sheet1!B27</f>
        <v>1</v>
      </c>
      <c r="C71" s="13" t="b">
        <f>C27=Sheet1!C27</f>
        <v>1</v>
      </c>
      <c r="D71" s="13" t="b">
        <f>D27=Sheet1!D27</f>
        <v>1</v>
      </c>
      <c r="E71" s="13" t="b">
        <f>E27=Sheet1!E27</f>
        <v>1</v>
      </c>
      <c r="F71" s="39"/>
    </row>
    <row r="72" spans="1:6">
      <c r="A72" s="13" t="b">
        <f>A28=Sheet1!A28</f>
        <v>1</v>
      </c>
      <c r="B72" s="13" t="b">
        <f>B28=Sheet1!B28</f>
        <v>1</v>
      </c>
      <c r="C72" s="13" t="b">
        <f>C28=Sheet1!C28</f>
        <v>1</v>
      </c>
      <c r="D72" s="13" t="b">
        <f>D28=Sheet1!D28</f>
        <v>1</v>
      </c>
      <c r="E72" s="13" t="b">
        <f>E28=Sheet1!E28</f>
        <v>1</v>
      </c>
      <c r="F72" s="39"/>
    </row>
    <row r="73" spans="1:6">
      <c r="A73" s="13" t="b">
        <f>A29=Sheet1!A29</f>
        <v>1</v>
      </c>
      <c r="B73" s="13" t="b">
        <f>B29=Sheet1!B29</f>
        <v>1</v>
      </c>
      <c r="C73" s="13" t="b">
        <f>C29=Sheet1!C29</f>
        <v>1</v>
      </c>
      <c r="D73" s="13" t="b">
        <f>D29=Sheet1!D29</f>
        <v>1</v>
      </c>
      <c r="E73" s="13" t="b">
        <f>E29=Sheet1!E29</f>
        <v>1</v>
      </c>
      <c r="F73" s="39"/>
    </row>
    <row r="74" spans="1:6">
      <c r="A74" s="13" t="b">
        <f>A30=Sheet1!A30</f>
        <v>1</v>
      </c>
      <c r="B74" s="13" t="b">
        <f>B30=Sheet1!B30</f>
        <v>1</v>
      </c>
      <c r="C74" s="13" t="b">
        <f>C30=Sheet1!C30</f>
        <v>1</v>
      </c>
      <c r="D74" s="13" t="b">
        <f>D30=Sheet1!D30</f>
        <v>1</v>
      </c>
      <c r="E74" s="13" t="b">
        <f>E30=Sheet1!E30</f>
        <v>1</v>
      </c>
      <c r="F74" s="39"/>
    </row>
    <row r="75" spans="1:6">
      <c r="A75" s="13" t="b">
        <f>A31=Sheet1!A31</f>
        <v>1</v>
      </c>
      <c r="B75" s="13" t="b">
        <f>B31=Sheet1!B31</f>
        <v>1</v>
      </c>
      <c r="C75" s="13" t="b">
        <f>C31=Sheet1!C31</f>
        <v>1</v>
      </c>
      <c r="D75" s="13" t="b">
        <f>D31=Sheet1!D31</f>
        <v>1</v>
      </c>
      <c r="E75" s="13" t="b">
        <f>E31=Sheet1!E31</f>
        <v>1</v>
      </c>
      <c r="F75" s="39"/>
    </row>
    <row r="76" spans="1:6">
      <c r="A76" s="13" t="b">
        <f>A32=Sheet1!A32</f>
        <v>1</v>
      </c>
      <c r="B76" s="13" t="b">
        <f>B32=Sheet1!B32</f>
        <v>1</v>
      </c>
      <c r="C76" s="13" t="b">
        <f>C32=Sheet1!C32</f>
        <v>1</v>
      </c>
      <c r="D76" s="13" t="b">
        <f>D32=Sheet1!D32</f>
        <v>1</v>
      </c>
      <c r="E76" s="13" t="b">
        <f>E32=Sheet1!E32</f>
        <v>1</v>
      </c>
      <c r="F76" s="39"/>
    </row>
    <row r="77" spans="1:6">
      <c r="A77" s="13" t="b">
        <f>A33=Sheet1!A33</f>
        <v>1</v>
      </c>
      <c r="B77" s="13" t="b">
        <f>B33=Sheet1!B33</f>
        <v>1</v>
      </c>
      <c r="C77" s="13" t="b">
        <f>C33=Sheet1!C33</f>
        <v>1</v>
      </c>
      <c r="D77" s="13" t="b">
        <f>D33=Sheet1!D33</f>
        <v>1</v>
      </c>
      <c r="E77" s="13" t="b">
        <f>E33=Sheet1!E33</f>
        <v>1</v>
      </c>
      <c r="F77" s="39"/>
    </row>
    <row r="78" spans="1:6">
      <c r="A78" s="13" t="b">
        <f>A34=Sheet1!A34</f>
        <v>1</v>
      </c>
      <c r="B78" s="13" t="b">
        <f>B34=Sheet1!B34</f>
        <v>1</v>
      </c>
      <c r="C78" s="13" t="b">
        <f>C34=Sheet1!C34</f>
        <v>1</v>
      </c>
      <c r="D78" s="13" t="b">
        <f>D34=Sheet1!D34</f>
        <v>1</v>
      </c>
      <c r="E78" s="13" t="b">
        <f>E34=Sheet1!E34</f>
        <v>1</v>
      </c>
      <c r="F78" s="39"/>
    </row>
    <row r="79" spans="1:6">
      <c r="A79" s="13" t="b">
        <f>A35=Sheet1!A35</f>
        <v>1</v>
      </c>
      <c r="B79" s="13" t="b">
        <f>B35=Sheet1!B35</f>
        <v>1</v>
      </c>
      <c r="C79" s="13" t="b">
        <f>C35=Sheet1!C35</f>
        <v>1</v>
      </c>
      <c r="D79" s="13" t="b">
        <f>D35=Sheet1!D35</f>
        <v>1</v>
      </c>
      <c r="E79" s="13" t="b">
        <f>E35=Sheet1!E35</f>
        <v>1</v>
      </c>
      <c r="F79" s="39"/>
    </row>
    <row r="80" spans="1:6">
      <c r="A80" s="13" t="b">
        <f>A36=Sheet1!A36</f>
        <v>1</v>
      </c>
      <c r="B80" s="13" t="b">
        <f>B36=Sheet1!B36</f>
        <v>1</v>
      </c>
      <c r="C80" s="13" t="b">
        <f>C36=Sheet1!C36</f>
        <v>1</v>
      </c>
      <c r="D80" s="13" t="b">
        <f>D36=Sheet1!D36</f>
        <v>1</v>
      </c>
      <c r="E80" s="13" t="b">
        <f>E36=Sheet1!E36</f>
        <v>1</v>
      </c>
      <c r="F80" s="39"/>
    </row>
    <row r="81" spans="1:6">
      <c r="A81" s="13" t="b">
        <f>A37=Sheet1!A37</f>
        <v>1</v>
      </c>
      <c r="B81" s="13" t="b">
        <f>B37=Sheet1!B37</f>
        <v>1</v>
      </c>
      <c r="C81" s="13" t="b">
        <f>C37=Sheet1!C37</f>
        <v>1</v>
      </c>
      <c r="D81" s="13" t="b">
        <f>D37=Sheet1!D37</f>
        <v>1</v>
      </c>
      <c r="E81" s="13" t="b">
        <f>E37=Sheet1!E37</f>
        <v>1</v>
      </c>
      <c r="F81" s="39"/>
    </row>
    <row r="82" spans="1:6">
      <c r="A82" s="13" t="b">
        <f>A38=Sheet1!A38</f>
        <v>1</v>
      </c>
      <c r="B82" s="13" t="b">
        <f>B38=Sheet1!B38</f>
        <v>1</v>
      </c>
      <c r="C82" s="13" t="b">
        <f>C38=Sheet1!C38</f>
        <v>1</v>
      </c>
      <c r="D82" s="13" t="b">
        <f>D38=Sheet1!D38</f>
        <v>1</v>
      </c>
      <c r="E82" s="13" t="b">
        <f>E38=Sheet1!E38</f>
        <v>1</v>
      </c>
      <c r="F82" s="39"/>
    </row>
    <row r="83" spans="1:6">
      <c r="A83" s="13" t="b">
        <f>A39=Sheet1!A39</f>
        <v>1</v>
      </c>
      <c r="B83" s="13" t="b">
        <f>B39=Sheet1!B39</f>
        <v>1</v>
      </c>
      <c r="C83" s="13" t="b">
        <f>C39=Sheet1!C39</f>
        <v>1</v>
      </c>
      <c r="D83" s="13" t="b">
        <f>D39=Sheet1!D39</f>
        <v>1</v>
      </c>
      <c r="E83" s="13" t="b">
        <f>E39=Sheet1!E39</f>
        <v>1</v>
      </c>
      <c r="F83" s="39"/>
    </row>
    <row r="84" spans="1:6">
      <c r="A84" s="13" t="b">
        <f>A40=Sheet1!A40</f>
        <v>1</v>
      </c>
      <c r="B84" s="13" t="b">
        <f>B40=Sheet1!B40</f>
        <v>1</v>
      </c>
      <c r="C84" s="13" t="b">
        <f>C40=Sheet1!C40</f>
        <v>1</v>
      </c>
      <c r="D84" s="13" t="b">
        <f>D40=Sheet1!D40</f>
        <v>1</v>
      </c>
      <c r="E84" s="13" t="b">
        <f>E40=Sheet1!E40</f>
        <v>1</v>
      </c>
      <c r="F84" s="39"/>
    </row>
    <row r="85" spans="1:6">
      <c r="A85" s="13" t="b">
        <f>A41=Sheet1!A41</f>
        <v>1</v>
      </c>
      <c r="B85" s="13" t="b">
        <f>B41=Sheet1!B41</f>
        <v>1</v>
      </c>
      <c r="C85" s="13" t="b">
        <f>C41=Sheet1!C41</f>
        <v>1</v>
      </c>
      <c r="D85" s="13" t="b">
        <f>D41=Sheet1!D41</f>
        <v>1</v>
      </c>
      <c r="E85" s="13" t="b">
        <f>E41=Sheet1!E41</f>
        <v>1</v>
      </c>
      <c r="F85" s="39"/>
    </row>
    <row r="86" spans="1:6">
      <c r="A86" s="13" t="b">
        <f>A42=Sheet1!A42</f>
        <v>1</v>
      </c>
      <c r="B86" s="13" t="b">
        <f>B42=Sheet1!B42</f>
        <v>1</v>
      </c>
      <c r="C86" s="13" t="b">
        <f>C42=Sheet1!C42</f>
        <v>1</v>
      </c>
      <c r="D86" s="13" t="b">
        <f>D42=Sheet1!D42</f>
        <v>1</v>
      </c>
      <c r="E86" s="13" t="b">
        <f>E42=Sheet1!E42</f>
        <v>1</v>
      </c>
      <c r="F86" s="39"/>
    </row>
    <row r="87" spans="1:6">
      <c r="A87" s="13" t="b">
        <f>A43=Sheet1!A43</f>
        <v>1</v>
      </c>
      <c r="B87" s="13" t="b">
        <f>B43=Sheet1!B43</f>
        <v>1</v>
      </c>
      <c r="C87" s="13" t="b">
        <f>C43=Sheet1!C43</f>
        <v>1</v>
      </c>
      <c r="D87" s="13" t="b">
        <f>D43=Sheet1!D43</f>
        <v>1</v>
      </c>
      <c r="E87" s="13" t="b">
        <f>E43=Sheet1!E43</f>
        <v>1</v>
      </c>
      <c r="F87" s="39"/>
    </row>
    <row r="88" spans="1:6">
      <c r="A88" s="14"/>
      <c r="B88" s="14"/>
      <c r="C88" s="14"/>
      <c r="D88" s="14"/>
      <c r="E88" s="14"/>
      <c r="F88" s="39"/>
    </row>
    <row r="89" spans="1:6">
      <c r="A89" s="14"/>
      <c r="B89" s="14"/>
      <c r="C89" s="14"/>
      <c r="D89" s="14"/>
      <c r="E89" s="14"/>
      <c r="F89" s="39"/>
    </row>
    <row r="90" spans="1:6">
      <c r="A90" s="14"/>
      <c r="B90" s="14"/>
      <c r="C90" s="14"/>
      <c r="D90" s="14"/>
      <c r="E90" s="14"/>
      <c r="F90" s="39"/>
    </row>
    <row r="91" spans="1:6">
      <c r="A91" s="14"/>
      <c r="B91" s="14"/>
      <c r="C91" s="14"/>
      <c r="D91" s="14"/>
      <c r="E91" s="14"/>
      <c r="F91" s="39"/>
    </row>
    <row r="92" spans="1:6">
      <c r="A92" s="14"/>
      <c r="B92" s="14"/>
      <c r="C92" s="14"/>
      <c r="D92" s="14"/>
      <c r="E92" s="14"/>
      <c r="F92" s="39"/>
    </row>
    <row r="93" spans="1:6">
      <c r="A93" s="14"/>
      <c r="B93" s="14"/>
      <c r="C93" s="14"/>
      <c r="D93" s="14"/>
      <c r="E93" s="14"/>
      <c r="F93" s="39"/>
    </row>
    <row r="94" spans="1:6">
      <c r="A94" s="14"/>
      <c r="B94" s="14"/>
      <c r="C94" s="14"/>
      <c r="D94" s="14"/>
      <c r="E94" s="14"/>
      <c r="F94" s="39"/>
    </row>
    <row r="95" spans="1:6">
      <c r="A95" s="14"/>
      <c r="B95" s="14"/>
      <c r="C95" s="14"/>
      <c r="D95" s="14"/>
      <c r="E95" s="14"/>
      <c r="F95" s="39"/>
    </row>
    <row r="96" spans="1:6">
      <c r="A96" s="14"/>
      <c r="B96" s="14"/>
      <c r="C96" s="14"/>
      <c r="D96" s="14"/>
      <c r="E96" s="14"/>
      <c r="F96" s="39"/>
    </row>
    <row r="97" spans="1:6">
      <c r="A97" s="14"/>
      <c r="B97" s="14"/>
      <c r="C97" s="14"/>
      <c r="D97" s="14"/>
      <c r="E97" s="14"/>
      <c r="F97" s="39"/>
    </row>
    <row r="98" spans="1:6">
      <c r="A98" s="14"/>
      <c r="B98" s="14"/>
      <c r="C98" s="14"/>
      <c r="D98" s="14"/>
      <c r="E98" s="14"/>
      <c r="F98" s="39"/>
    </row>
    <row r="99" spans="1:6">
      <c r="A99" s="14"/>
      <c r="B99" s="14"/>
      <c r="C99" s="14"/>
      <c r="D99" s="14"/>
      <c r="E99" s="14"/>
      <c r="F99" s="39"/>
    </row>
    <row r="100" spans="1:6">
      <c r="A100" s="14"/>
      <c r="B100" s="14"/>
      <c r="C100" s="14"/>
      <c r="D100" s="14"/>
      <c r="E100" s="14"/>
      <c r="F100" s="39"/>
    </row>
    <row r="101" spans="1:6">
      <c r="A101" s="14"/>
      <c r="B101" s="14"/>
      <c r="C101" s="14"/>
      <c r="D101" s="14"/>
      <c r="E101" s="14"/>
      <c r="F101" s="39"/>
    </row>
    <row r="102" spans="1:6">
      <c r="A102" s="14"/>
      <c r="B102" s="14"/>
      <c r="C102" s="14"/>
      <c r="D102" s="14"/>
      <c r="E102" s="14"/>
      <c r="F102" s="39"/>
    </row>
    <row r="103" spans="1:6">
      <c r="A103" s="14"/>
      <c r="B103" s="14"/>
      <c r="C103" s="14"/>
      <c r="D103" s="14"/>
      <c r="E103" s="14"/>
      <c r="F103" s="39"/>
    </row>
    <row r="104" spans="1:6">
      <c r="A104" s="14"/>
      <c r="B104" s="14"/>
      <c r="C104" s="14"/>
      <c r="D104" s="14"/>
      <c r="E104" s="14"/>
      <c r="F104" s="39"/>
    </row>
    <row r="105" spans="1:6">
      <c r="A105" s="14"/>
      <c r="B105" s="14"/>
      <c r="C105" s="14"/>
      <c r="D105" s="14"/>
      <c r="E105" s="14"/>
      <c r="F105" s="39"/>
    </row>
    <row r="106" spans="1:6">
      <c r="A106" s="14"/>
      <c r="B106" s="14"/>
      <c r="C106" s="14"/>
      <c r="D106" s="14"/>
      <c r="E106" s="14"/>
      <c r="F106" s="39"/>
    </row>
    <row r="107" spans="1:6">
      <c r="A107" s="14"/>
      <c r="B107" s="14"/>
      <c r="C107" s="14"/>
      <c r="D107" s="14"/>
      <c r="E107" s="14"/>
      <c r="F107" s="39"/>
    </row>
    <row r="108" spans="1:6">
      <c r="A108" s="14"/>
      <c r="B108" s="14"/>
      <c r="C108" s="14"/>
      <c r="D108" s="14"/>
      <c r="E108" s="14"/>
      <c r="F108" s="39"/>
    </row>
    <row r="109" spans="1:6">
      <c r="A109" s="14"/>
      <c r="B109" s="14"/>
      <c r="C109" s="14"/>
      <c r="D109" s="14"/>
      <c r="E109" s="14"/>
      <c r="F109" s="39"/>
    </row>
    <row r="110" spans="1:6">
      <c r="A110" s="14"/>
      <c r="B110" s="14"/>
      <c r="C110" s="14"/>
      <c r="D110" s="14"/>
      <c r="E110" s="14"/>
      <c r="F110" s="39"/>
    </row>
    <row r="111" spans="1:6">
      <c r="A111" s="14"/>
      <c r="B111" s="14"/>
      <c r="C111" s="14"/>
      <c r="D111" s="14"/>
      <c r="E111" s="14"/>
      <c r="F111" s="39"/>
    </row>
    <row r="112" spans="1:6">
      <c r="A112" s="14"/>
      <c r="B112" s="14"/>
      <c r="C112" s="14"/>
      <c r="D112" s="14"/>
      <c r="E112" s="14"/>
      <c r="F112" s="39"/>
    </row>
    <row r="113" spans="1:6">
      <c r="A113" s="14"/>
      <c r="B113" s="14"/>
      <c r="C113" s="14"/>
      <c r="D113" s="14"/>
      <c r="E113" s="14"/>
      <c r="F113" s="39"/>
    </row>
    <row r="114" spans="1:6">
      <c r="A114" s="14"/>
      <c r="B114" s="14"/>
      <c r="C114" s="14"/>
      <c r="D114" s="14"/>
      <c r="E114" s="14"/>
      <c r="F114" s="39"/>
    </row>
    <row r="115" spans="1:6">
      <c r="A115" s="14"/>
      <c r="B115" s="14"/>
      <c r="C115" s="14"/>
      <c r="D115" s="14"/>
      <c r="E115" s="14"/>
      <c r="F115" s="39"/>
    </row>
    <row r="116" spans="1:6">
      <c r="A116" s="14"/>
      <c r="B116" s="14"/>
      <c r="C116" s="14"/>
      <c r="D116" s="14"/>
      <c r="E116" s="14"/>
      <c r="F116" s="39"/>
    </row>
    <row r="117" spans="1:6">
      <c r="A117" s="14"/>
      <c r="B117" s="14"/>
      <c r="C117" s="14"/>
      <c r="D117" s="14"/>
      <c r="E117" s="14"/>
      <c r="F117" s="39"/>
    </row>
    <row r="118" spans="1:6">
      <c r="A118" s="14"/>
      <c r="B118" s="14"/>
      <c r="C118" s="14"/>
      <c r="D118" s="14"/>
      <c r="E118" s="14"/>
      <c r="F118" s="39"/>
    </row>
    <row r="119" spans="1:6">
      <c r="A119" s="14"/>
      <c r="B119" s="14"/>
      <c r="C119" s="14"/>
      <c r="D119" s="14"/>
      <c r="E119" s="14"/>
      <c r="F119" s="39"/>
    </row>
    <row r="120" spans="1:6">
      <c r="A120" s="14"/>
      <c r="B120" s="14"/>
      <c r="C120" s="14"/>
      <c r="D120" s="14"/>
      <c r="E120" s="14"/>
      <c r="F120" s="39"/>
    </row>
    <row r="121" spans="1:6">
      <c r="A121" s="14"/>
      <c r="B121" s="14"/>
      <c r="C121" s="14"/>
      <c r="D121" s="14"/>
      <c r="E121" s="14"/>
      <c r="F121" s="39"/>
    </row>
    <row r="122" spans="1:6">
      <c r="A122" s="14"/>
      <c r="B122" s="14"/>
      <c r="C122" s="14"/>
      <c r="D122" s="14"/>
      <c r="E122" s="14"/>
      <c r="F122" s="39"/>
    </row>
    <row r="123" spans="1:6">
      <c r="A123" s="14"/>
      <c r="B123" s="14"/>
      <c r="C123" s="14"/>
      <c r="D123" s="14"/>
      <c r="E123" s="14"/>
      <c r="F123" s="39"/>
    </row>
    <row r="124" spans="1:6">
      <c r="A124" s="14"/>
      <c r="B124" s="14"/>
      <c r="C124" s="14"/>
      <c r="D124" s="14"/>
      <c r="E124" s="14"/>
      <c r="F124" s="39"/>
    </row>
    <row r="125" spans="1:6">
      <c r="A125" s="14"/>
      <c r="B125" s="14"/>
      <c r="C125" s="14"/>
      <c r="D125" s="14"/>
      <c r="E125" s="14"/>
      <c r="F125" s="39"/>
    </row>
    <row r="126" spans="1:6">
      <c r="A126" s="14"/>
      <c r="B126" s="14"/>
      <c r="C126" s="14"/>
      <c r="D126" s="14"/>
      <c r="E126" s="14"/>
      <c r="F126" s="39"/>
    </row>
    <row r="127" spans="1:6">
      <c r="A127" s="14"/>
      <c r="B127" s="14"/>
      <c r="C127" s="14"/>
      <c r="D127" s="14"/>
      <c r="E127" s="14"/>
      <c r="F127" s="39"/>
    </row>
    <row r="128" spans="1:6">
      <c r="A128" s="14"/>
      <c r="B128" s="14"/>
      <c r="C128" s="14"/>
      <c r="D128" s="14"/>
      <c r="E128" s="14"/>
      <c r="F128" s="39"/>
    </row>
    <row r="129" spans="1:6">
      <c r="A129" s="14"/>
      <c r="B129" s="14"/>
      <c r="C129" s="14"/>
      <c r="D129" s="14"/>
      <c r="E129" s="14"/>
      <c r="F129" s="39"/>
    </row>
    <row r="130" spans="1:6">
      <c r="A130" s="14"/>
      <c r="B130" s="14"/>
      <c r="C130" s="14"/>
      <c r="D130" s="14"/>
      <c r="E130" s="14"/>
      <c r="F130" s="39"/>
    </row>
    <row r="131" spans="1:6">
      <c r="A131" s="14"/>
      <c r="B131" s="14"/>
      <c r="C131" s="14"/>
      <c r="D131" s="14"/>
      <c r="E131" s="14"/>
      <c r="F131" s="39"/>
    </row>
    <row r="132" spans="1:6">
      <c r="A132" s="14"/>
      <c r="B132" s="14"/>
      <c r="C132" s="14"/>
      <c r="D132" s="14"/>
      <c r="E132" s="14"/>
      <c r="F132" s="39"/>
    </row>
    <row r="133" spans="1:6">
      <c r="A133" s="14"/>
      <c r="B133" s="14"/>
      <c r="C133" s="14"/>
      <c r="D133" s="14"/>
      <c r="E133" s="14"/>
      <c r="F133" s="39"/>
    </row>
    <row r="134" spans="1:6">
      <c r="A134" s="14"/>
      <c r="B134" s="14"/>
      <c r="C134" s="14"/>
      <c r="D134" s="14"/>
      <c r="E134" s="14"/>
      <c r="F134" s="39"/>
    </row>
    <row r="135" spans="1:6">
      <c r="A135" s="14"/>
      <c r="B135" s="14"/>
      <c r="C135" s="14"/>
      <c r="D135" s="14"/>
      <c r="E135" s="14"/>
      <c r="F135" s="39"/>
    </row>
    <row r="136" spans="1:6">
      <c r="A136" s="14"/>
      <c r="B136" s="14"/>
      <c r="C136" s="14"/>
      <c r="D136" s="14"/>
      <c r="E136" s="14"/>
      <c r="F136" s="39"/>
    </row>
    <row r="137" spans="1:6">
      <c r="A137" s="14"/>
      <c r="B137" s="14"/>
      <c r="C137" s="14"/>
      <c r="D137" s="14"/>
      <c r="E137" s="14"/>
      <c r="F137" s="39"/>
    </row>
    <row r="138" spans="1:6">
      <c r="A138" s="14"/>
      <c r="B138" s="14"/>
      <c r="C138" s="14"/>
      <c r="D138" s="14"/>
      <c r="E138" s="14"/>
      <c r="F138" s="39"/>
    </row>
    <row r="139" spans="1:6">
      <c r="A139" s="14"/>
      <c r="B139" s="14"/>
      <c r="C139" s="14"/>
      <c r="D139" s="14"/>
      <c r="E139" s="14"/>
      <c r="F139" s="39"/>
    </row>
    <row r="140" spans="1:6">
      <c r="A140" s="14"/>
      <c r="B140" s="14"/>
      <c r="C140" s="14"/>
      <c r="D140" s="14"/>
      <c r="E140" s="14"/>
      <c r="F140" s="39"/>
    </row>
    <row r="141" spans="1:6">
      <c r="A141" s="14"/>
      <c r="B141" s="14"/>
      <c r="C141" s="14"/>
      <c r="D141" s="14"/>
      <c r="E141" s="14"/>
      <c r="F141" s="39"/>
    </row>
    <row r="142" spans="1:6">
      <c r="A142" s="14"/>
      <c r="B142" s="14"/>
      <c r="C142" s="14"/>
      <c r="D142" s="14"/>
      <c r="E142" s="14"/>
      <c r="F142" s="39"/>
    </row>
    <row r="143" spans="1:6">
      <c r="A143" s="14"/>
      <c r="B143" s="14"/>
      <c r="C143" s="14"/>
      <c r="D143" s="14"/>
      <c r="E143" s="14"/>
      <c r="F143" s="39"/>
    </row>
    <row r="144" spans="1:6">
      <c r="A144" s="14"/>
      <c r="B144" s="14"/>
      <c r="C144" s="14"/>
      <c r="D144" s="14"/>
      <c r="E144" s="14"/>
      <c r="F144" s="39"/>
    </row>
    <row r="145" spans="1:6">
      <c r="A145" s="14"/>
      <c r="B145" s="14"/>
      <c r="C145" s="14"/>
      <c r="D145" s="14"/>
      <c r="E145" s="14"/>
      <c r="F145" s="39"/>
    </row>
    <row r="146" spans="1:6">
      <c r="A146" s="14"/>
      <c r="B146" s="14"/>
      <c r="C146" s="14"/>
      <c r="D146" s="14"/>
      <c r="E146" s="14"/>
      <c r="F146" s="39"/>
    </row>
    <row r="147" spans="1:6">
      <c r="A147" s="14"/>
      <c r="B147" s="14"/>
      <c r="C147" s="14"/>
      <c r="D147" s="14"/>
      <c r="E147" s="14"/>
      <c r="F147" s="39"/>
    </row>
    <row r="148" spans="1:6">
      <c r="A148" s="14"/>
      <c r="B148" s="14"/>
      <c r="C148" s="14"/>
      <c r="D148" s="14"/>
      <c r="E148" s="14"/>
      <c r="F148" s="39"/>
    </row>
    <row r="149" spans="1:6">
      <c r="A149" s="14"/>
      <c r="B149" s="14"/>
      <c r="C149" s="14"/>
      <c r="D149" s="14"/>
      <c r="E149" s="14"/>
      <c r="F149" s="39"/>
    </row>
    <row r="150" spans="1:6">
      <c r="A150" s="14"/>
      <c r="B150" s="14"/>
      <c r="C150" s="14"/>
      <c r="D150" s="14"/>
      <c r="E150" s="14"/>
      <c r="F150" s="39"/>
    </row>
    <row r="151" spans="1:6">
      <c r="A151" s="14"/>
      <c r="B151" s="14"/>
      <c r="C151" s="14"/>
      <c r="D151" s="14"/>
      <c r="E151" s="14"/>
      <c r="F151" s="39"/>
    </row>
    <row r="152" spans="1:6">
      <c r="A152" s="14"/>
      <c r="B152" s="14"/>
      <c r="C152" s="14"/>
      <c r="D152" s="14"/>
      <c r="E152" s="14"/>
      <c r="F152" s="39"/>
    </row>
    <row r="153" spans="1:6">
      <c r="A153" s="14"/>
      <c r="B153" s="14"/>
      <c r="C153" s="14"/>
      <c r="D153" s="14"/>
      <c r="E153" s="14"/>
      <c r="F153" s="39"/>
    </row>
    <row r="154" spans="1:6">
      <c r="A154" s="14"/>
      <c r="B154" s="14"/>
      <c r="C154" s="14"/>
      <c r="D154" s="14"/>
      <c r="E154" s="14"/>
      <c r="F154" s="39"/>
    </row>
    <row r="155" spans="1:6">
      <c r="A155" s="14"/>
      <c r="B155" s="14"/>
      <c r="C155" s="14"/>
      <c r="D155" s="14"/>
      <c r="E155" s="14"/>
      <c r="F155" s="39"/>
    </row>
    <row r="156" spans="1:6">
      <c r="A156" s="14"/>
      <c r="B156" s="14"/>
      <c r="C156" s="14"/>
      <c r="D156" s="14"/>
      <c r="E156" s="14"/>
      <c r="F156" s="39"/>
    </row>
    <row r="157" spans="1:6">
      <c r="A157" s="14"/>
      <c r="B157" s="14"/>
      <c r="C157" s="14"/>
      <c r="D157" s="14"/>
      <c r="E157" s="14"/>
      <c r="F157" s="39"/>
    </row>
    <row r="158" spans="1:6">
      <c r="A158" s="14"/>
      <c r="B158" s="14"/>
      <c r="C158" s="14"/>
      <c r="D158" s="14"/>
      <c r="E158" s="14"/>
      <c r="F158" s="39"/>
    </row>
    <row r="159" spans="1:6">
      <c r="A159" s="14"/>
      <c r="B159" s="14"/>
      <c r="C159" s="14"/>
      <c r="D159" s="14"/>
      <c r="E159" s="14"/>
      <c r="F159" s="39"/>
    </row>
    <row r="160" spans="1:6">
      <c r="A160" s="14"/>
      <c r="B160" s="14"/>
      <c r="C160" s="14"/>
      <c r="D160" s="14"/>
      <c r="E160" s="14"/>
      <c r="F160" s="39"/>
    </row>
    <row r="161" spans="1:6">
      <c r="A161" s="14"/>
      <c r="B161" s="14"/>
      <c r="C161" s="14"/>
      <c r="D161" s="14"/>
      <c r="E161" s="14"/>
      <c r="F161" s="39"/>
    </row>
    <row r="162" spans="1:6">
      <c r="A162" s="14"/>
      <c r="B162" s="14"/>
      <c r="C162" s="14"/>
      <c r="D162" s="14"/>
      <c r="E162" s="14"/>
      <c r="F162" s="39"/>
    </row>
    <row r="163" spans="1:6">
      <c r="A163" s="14"/>
      <c r="B163" s="14"/>
      <c r="C163" s="14"/>
      <c r="D163" s="14"/>
      <c r="E163" s="14"/>
      <c r="F163" s="39"/>
    </row>
    <row r="164" spans="1:6">
      <c r="A164" s="14"/>
      <c r="B164" s="14"/>
      <c r="C164" s="14"/>
      <c r="D164" s="14"/>
      <c r="E164" s="14"/>
      <c r="F164" s="39"/>
    </row>
    <row r="165" spans="1:6">
      <c r="A165" s="14"/>
      <c r="B165" s="14"/>
      <c r="C165" s="14"/>
      <c r="D165" s="14"/>
      <c r="E165" s="14"/>
      <c r="F165" s="39"/>
    </row>
    <row r="166" spans="1:6">
      <c r="A166" s="14"/>
      <c r="B166" s="14"/>
      <c r="C166" s="14"/>
      <c r="D166" s="14"/>
      <c r="E166" s="14"/>
      <c r="F166" s="39"/>
    </row>
    <row r="167" spans="1:6">
      <c r="A167" s="14"/>
      <c r="B167" s="14"/>
      <c r="C167" s="14"/>
      <c r="D167" s="14"/>
      <c r="E167" s="14"/>
      <c r="F167" s="39"/>
    </row>
    <row r="168" spans="1:6">
      <c r="A168" s="14"/>
      <c r="B168" s="14"/>
      <c r="C168" s="14"/>
      <c r="D168" s="14"/>
      <c r="E168" s="14"/>
      <c r="F168" s="39"/>
    </row>
    <row r="169" spans="1:6">
      <c r="A169" s="14"/>
      <c r="B169" s="14"/>
      <c r="C169" s="14"/>
      <c r="D169" s="14"/>
      <c r="E169" s="14"/>
      <c r="F169" s="39"/>
    </row>
    <row r="170" spans="1:6">
      <c r="A170" s="14"/>
      <c r="B170" s="14"/>
      <c r="C170" s="14"/>
      <c r="D170" s="14"/>
      <c r="E170" s="14"/>
      <c r="F170" s="39"/>
    </row>
    <row r="171" spans="1:6">
      <c r="A171" s="14"/>
      <c r="B171" s="14"/>
      <c r="C171" s="14"/>
      <c r="D171" s="14"/>
      <c r="E171" s="14"/>
      <c r="F171" s="39"/>
    </row>
    <row r="172" spans="1:6">
      <c r="A172" s="14"/>
      <c r="B172" s="14"/>
      <c r="C172" s="14"/>
      <c r="D172" s="14"/>
      <c r="E172" s="14"/>
      <c r="F172" s="39"/>
    </row>
    <row r="173" spans="1:6">
      <c r="A173" s="14"/>
      <c r="B173" s="14"/>
      <c r="C173" s="14"/>
      <c r="D173" s="14"/>
      <c r="E173" s="14"/>
      <c r="F173" s="39"/>
    </row>
    <row r="174" spans="1:6">
      <c r="A174" s="14"/>
      <c r="B174" s="14"/>
      <c r="C174" s="14"/>
      <c r="D174" s="14"/>
      <c r="E174" s="14"/>
      <c r="F174" s="39"/>
    </row>
    <row r="175" spans="1:6">
      <c r="A175" s="14"/>
      <c r="B175" s="14"/>
      <c r="C175" s="14"/>
      <c r="D175" s="14"/>
      <c r="E175" s="14"/>
      <c r="F175" s="39"/>
    </row>
    <row r="176" spans="1:6">
      <c r="A176" s="14"/>
      <c r="B176" s="14"/>
      <c r="C176" s="14"/>
      <c r="D176" s="14"/>
      <c r="E176" s="14"/>
      <c r="F176" s="39"/>
    </row>
    <row r="177" spans="1:6">
      <c r="A177" s="14"/>
      <c r="B177" s="14"/>
      <c r="C177" s="14"/>
      <c r="D177" s="14"/>
      <c r="E177" s="14"/>
      <c r="F177" s="39"/>
    </row>
    <row r="178" spans="1:6">
      <c r="A178" s="14"/>
      <c r="B178" s="14"/>
      <c r="C178" s="14"/>
      <c r="D178" s="14"/>
      <c r="E178" s="14"/>
      <c r="F178" s="39"/>
    </row>
    <row r="179" spans="1:6">
      <c r="A179" s="14"/>
      <c r="B179" s="14"/>
      <c r="C179" s="14"/>
      <c r="D179" s="14"/>
      <c r="E179" s="14"/>
      <c r="F179" s="39"/>
    </row>
    <row r="180" spans="1:6">
      <c r="A180" s="14"/>
      <c r="B180" s="14"/>
      <c r="C180" s="14"/>
      <c r="D180" s="14"/>
      <c r="E180" s="14"/>
      <c r="F180" s="39"/>
    </row>
    <row r="181" spans="1:6">
      <c r="A181" s="14"/>
      <c r="B181" s="14"/>
      <c r="C181" s="14"/>
      <c r="D181" s="14"/>
      <c r="E181" s="14"/>
      <c r="F181" s="39"/>
    </row>
    <row r="182" spans="1:6">
      <c r="A182" s="14"/>
      <c r="B182" s="14"/>
      <c r="C182" s="14"/>
      <c r="D182" s="14"/>
      <c r="E182" s="14"/>
      <c r="F182" s="39"/>
    </row>
    <row r="183" spans="1:6">
      <c r="A183" s="14"/>
      <c r="B183" s="14"/>
      <c r="C183" s="14"/>
      <c r="D183" s="14"/>
      <c r="E183" s="14"/>
      <c r="F183" s="39"/>
    </row>
    <row r="184" spans="1:6">
      <c r="A184" s="14"/>
      <c r="B184" s="14"/>
      <c r="C184" s="14"/>
      <c r="D184" s="14"/>
      <c r="E184" s="14"/>
      <c r="F184" s="39"/>
    </row>
    <row r="185" spans="1:6">
      <c r="A185" s="14"/>
      <c r="B185" s="14"/>
      <c r="C185" s="14"/>
      <c r="D185" s="14"/>
      <c r="E185" s="14"/>
      <c r="F185" s="39"/>
    </row>
    <row r="186" spans="1:6">
      <c r="A186" s="14"/>
      <c r="B186" s="14"/>
      <c r="C186" s="14"/>
      <c r="D186" s="14"/>
      <c r="E186" s="14"/>
      <c r="F186" s="39"/>
    </row>
    <row r="187" spans="1:6">
      <c r="A187" s="14"/>
      <c r="B187" s="14"/>
      <c r="C187" s="14"/>
      <c r="D187" s="14"/>
      <c r="E187" s="14"/>
      <c r="F187" s="39"/>
    </row>
    <row r="188" spans="1:6">
      <c r="A188" s="14"/>
      <c r="B188" s="14"/>
      <c r="C188" s="14"/>
      <c r="D188" s="14"/>
      <c r="E188" s="14"/>
      <c r="F188" s="39"/>
    </row>
    <row r="189" spans="1:6">
      <c r="A189" s="14"/>
      <c r="B189" s="14"/>
      <c r="C189" s="14"/>
      <c r="D189" s="14"/>
      <c r="E189" s="14"/>
      <c r="F189" s="39"/>
    </row>
    <row r="190" spans="1:6">
      <c r="A190" s="14"/>
      <c r="B190" s="14"/>
      <c r="C190" s="14"/>
      <c r="D190" s="14"/>
      <c r="E190" s="14"/>
      <c r="F190" s="39"/>
    </row>
    <row r="191" spans="1:6">
      <c r="A191" s="14"/>
      <c r="B191" s="14"/>
      <c r="C191" s="14"/>
      <c r="D191" s="14"/>
      <c r="E191" s="14"/>
      <c r="F191" s="39"/>
    </row>
    <row r="192" spans="1:6">
      <c r="A192" s="14"/>
      <c r="B192" s="14"/>
      <c r="C192" s="14"/>
      <c r="D192" s="14"/>
      <c r="E192" s="14"/>
      <c r="F192" s="39"/>
    </row>
    <row r="193" spans="1:6">
      <c r="A193" s="14"/>
      <c r="B193" s="14"/>
      <c r="C193" s="14"/>
      <c r="D193" s="14"/>
      <c r="E193" s="14"/>
      <c r="F193" s="39"/>
    </row>
    <row r="194" spans="1:6">
      <c r="A194" s="14"/>
      <c r="B194" s="14"/>
      <c r="C194" s="14"/>
      <c r="D194" s="14"/>
      <c r="E194" s="14"/>
      <c r="F194" s="39"/>
    </row>
    <row r="195" spans="1:6">
      <c r="A195" s="14"/>
      <c r="B195" s="14"/>
      <c r="C195" s="14"/>
      <c r="D195" s="14"/>
      <c r="E195" s="14"/>
      <c r="F195" s="39"/>
    </row>
    <row r="196" spans="1:6">
      <c r="A196" s="14"/>
      <c r="B196" s="14"/>
      <c r="C196" s="14"/>
      <c r="D196" s="14"/>
      <c r="E196" s="14"/>
      <c r="F196" s="39"/>
    </row>
    <row r="197" spans="1:6">
      <c r="A197" s="14"/>
      <c r="B197" s="14"/>
      <c r="C197" s="14"/>
      <c r="D197" s="14"/>
      <c r="E197" s="14"/>
      <c r="F197" s="39"/>
    </row>
    <row r="198" spans="1:6">
      <c r="A198" s="14"/>
      <c r="B198" s="14"/>
      <c r="C198" s="14"/>
      <c r="D198" s="14"/>
      <c r="E198" s="14"/>
      <c r="F198" s="39"/>
    </row>
    <row r="199" spans="1:6">
      <c r="A199" s="14"/>
      <c r="B199" s="14"/>
      <c r="C199" s="14"/>
      <c r="D199" s="14"/>
      <c r="E199" s="14"/>
      <c r="F199" s="39"/>
    </row>
    <row r="200" spans="1:6">
      <c r="A200" s="14"/>
      <c r="B200" s="14"/>
      <c r="C200" s="14"/>
      <c r="D200" s="14"/>
      <c r="E200" s="14"/>
      <c r="F200" s="39"/>
    </row>
    <row r="201" spans="1:6">
      <c r="A201" s="14"/>
      <c r="B201" s="14"/>
      <c r="C201" s="14"/>
      <c r="D201" s="14"/>
      <c r="E201" s="14"/>
      <c r="F201" s="39"/>
    </row>
    <row r="202" spans="1:6">
      <c r="A202" s="14"/>
      <c r="B202" s="14"/>
      <c r="C202" s="14"/>
      <c r="D202" s="14"/>
      <c r="E202" s="14"/>
      <c r="F202" s="39"/>
    </row>
    <row r="203" spans="1:6">
      <c r="A203" s="14"/>
      <c r="B203" s="14"/>
      <c r="C203" s="14"/>
      <c r="D203" s="14"/>
      <c r="E203" s="14"/>
      <c r="F203" s="39"/>
    </row>
    <row r="204" spans="1:6">
      <c r="A204" s="14"/>
      <c r="B204" s="14"/>
      <c r="C204" s="14"/>
      <c r="D204" s="14"/>
      <c r="E204" s="14"/>
      <c r="F204" s="39"/>
    </row>
    <row r="205" spans="1:6">
      <c r="A205" s="14"/>
      <c r="B205" s="14"/>
      <c r="C205" s="14"/>
      <c r="D205" s="14"/>
      <c r="E205" s="14"/>
      <c r="F205" s="39"/>
    </row>
    <row r="206" spans="1:6">
      <c r="A206" s="14"/>
      <c r="B206" s="14"/>
      <c r="C206" s="14"/>
      <c r="D206" s="14"/>
      <c r="E206" s="14"/>
      <c r="F206" s="39"/>
    </row>
    <row r="207" spans="1:6">
      <c r="A207" s="14"/>
      <c r="B207" s="14"/>
      <c r="C207" s="14"/>
      <c r="D207" s="14"/>
      <c r="E207" s="14"/>
      <c r="F207" s="39"/>
    </row>
    <row r="208" spans="1:6">
      <c r="A208" s="14"/>
      <c r="B208" s="14"/>
      <c r="C208" s="14"/>
      <c r="D208" s="14"/>
      <c r="E208" s="14"/>
      <c r="F208" s="39"/>
    </row>
    <row r="209" spans="1:6">
      <c r="A209" s="14"/>
      <c r="B209" s="14"/>
      <c r="C209" s="14"/>
      <c r="D209" s="14"/>
      <c r="E209" s="14"/>
      <c r="F209" s="39"/>
    </row>
    <row r="210" spans="1:6">
      <c r="A210" s="14"/>
      <c r="B210" s="14"/>
      <c r="C210" s="14"/>
      <c r="D210" s="14"/>
      <c r="E210" s="14"/>
      <c r="F210" s="39"/>
    </row>
    <row r="211" spans="1:6">
      <c r="A211" s="14"/>
      <c r="B211" s="14"/>
      <c r="C211" s="14"/>
      <c r="D211" s="14"/>
      <c r="E211" s="14"/>
      <c r="F211" s="39"/>
    </row>
    <row r="212" spans="1:6">
      <c r="A212" s="14"/>
      <c r="B212" s="14"/>
      <c r="C212" s="14"/>
      <c r="D212" s="14"/>
      <c r="E212" s="14"/>
      <c r="F212" s="39"/>
    </row>
    <row r="213" spans="1:6">
      <c r="A213" s="14"/>
      <c r="B213" s="14"/>
      <c r="C213" s="14"/>
      <c r="D213" s="14"/>
      <c r="E213" s="14"/>
      <c r="F213" s="39"/>
    </row>
    <row r="214" spans="1:6">
      <c r="A214" s="14"/>
      <c r="B214" s="14"/>
      <c r="C214" s="14"/>
      <c r="D214" s="14"/>
      <c r="E214" s="14"/>
      <c r="F214" s="39"/>
    </row>
    <row r="215" spans="1:6">
      <c r="A215" s="14"/>
      <c r="B215" s="14"/>
      <c r="C215" s="14"/>
      <c r="D215" s="14"/>
      <c r="E215" s="14"/>
      <c r="F215" s="39"/>
    </row>
    <row r="216" spans="1:6">
      <c r="A216" s="14"/>
      <c r="B216" s="14"/>
      <c r="C216" s="14"/>
      <c r="D216" s="14"/>
      <c r="E216" s="14"/>
      <c r="F216" s="39"/>
    </row>
    <row r="217" spans="1:6">
      <c r="A217" s="14"/>
      <c r="B217" s="14"/>
      <c r="C217" s="14"/>
      <c r="D217" s="14"/>
      <c r="E217" s="14"/>
      <c r="F217" s="39"/>
    </row>
    <row r="218" spans="1:6">
      <c r="A218" s="14"/>
      <c r="B218" s="14"/>
      <c r="C218" s="14"/>
      <c r="D218" s="14"/>
      <c r="E218" s="14"/>
      <c r="F218" s="39"/>
    </row>
  </sheetData>
  <sheetProtection sheet="1" objects="1" scenarios="1" sort="0"/>
  <sortState xmlns:xlrd2="http://schemas.microsoft.com/office/spreadsheetml/2017/richdata2" columnSort="1" ref="H1:L2">
    <sortCondition ref="H2:L2"/>
  </sortState>
  <dataValidations count="2">
    <dataValidation type="custom" allowBlank="1" showInputMessage="1" showErrorMessage="1" error="Enter a formula in this cell" sqref="H2" xr:uid="{F826B4DA-B481-DB48-A9BE-2E26ED402EDA}">
      <formula1>_xlfn.ISFORMULA(H2)</formula1>
    </dataValidation>
    <dataValidation type="custom" allowBlank="1" showInputMessage="1" showErrorMessage="1" error="Enter a formula here" sqref="I2 K2:L2 J2" xr:uid="{D7969458-1C92-264C-878D-78B73F66B02D}">
      <formula1>_xlfn.ISFORMULA(I2)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762F453-A76A-422E-B0D7-8702AC5F2E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6" id="{F72BBA14-0A5A-4067-8E72-5D4CC7F7DF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2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H3:L3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0738-7EC3-4695-A90B-794EC749BD3D}">
  <dimension ref="A1:E43"/>
  <sheetViews>
    <sheetView topLeftCell="A22" workbookViewId="0">
      <selection activeCell="D27" sqref="D27"/>
    </sheetView>
  </sheetViews>
  <sheetFormatPr defaultColWidth="8.875" defaultRowHeight="15.75"/>
  <sheetData>
    <row r="1" spans="1:5">
      <c r="A1" s="2" t="s">
        <v>34</v>
      </c>
      <c r="B1" s="3" t="s">
        <v>60</v>
      </c>
      <c r="C1" s="12" t="s">
        <v>33</v>
      </c>
      <c r="D1" s="12" t="s">
        <v>63</v>
      </c>
      <c r="E1" s="4" t="s">
        <v>61</v>
      </c>
    </row>
    <row r="2" spans="1:5">
      <c r="A2" s="5" t="s">
        <v>9</v>
      </c>
      <c r="B2" s="1" t="s">
        <v>27</v>
      </c>
      <c r="C2" s="10">
        <v>348</v>
      </c>
      <c r="D2" s="10">
        <v>350</v>
      </c>
      <c r="E2" s="6" t="s">
        <v>43</v>
      </c>
    </row>
    <row r="3" spans="1:5">
      <c r="A3" s="5" t="s">
        <v>47</v>
      </c>
      <c r="B3" s="1" t="s">
        <v>62</v>
      </c>
      <c r="C3" s="10">
        <v>1604</v>
      </c>
      <c r="D3" s="10">
        <v>1620</v>
      </c>
      <c r="E3" s="6" t="s">
        <v>43</v>
      </c>
    </row>
    <row r="4" spans="1:5">
      <c r="A4" s="5" t="s">
        <v>30</v>
      </c>
      <c r="B4" s="1" t="s">
        <v>27</v>
      </c>
      <c r="C4" s="10">
        <v>625</v>
      </c>
      <c r="D4" s="10">
        <v>630</v>
      </c>
      <c r="E4" s="6" t="s">
        <v>37</v>
      </c>
    </row>
    <row r="5" spans="1:5">
      <c r="A5" s="5" t="s">
        <v>52</v>
      </c>
      <c r="B5" s="1" t="s">
        <v>58</v>
      </c>
      <c r="C5" s="10">
        <v>449</v>
      </c>
      <c r="D5" s="10">
        <v>470</v>
      </c>
      <c r="E5" s="6" t="s">
        <v>37</v>
      </c>
    </row>
    <row r="6" spans="1:5">
      <c r="A6" s="5" t="s">
        <v>66</v>
      </c>
      <c r="B6" s="1" t="s">
        <v>59</v>
      </c>
      <c r="C6" s="10">
        <v>1748</v>
      </c>
      <c r="D6" s="10">
        <v>1790</v>
      </c>
      <c r="E6" s="6" t="s">
        <v>37</v>
      </c>
    </row>
    <row r="7" spans="1:5">
      <c r="A7" s="5" t="s">
        <v>26</v>
      </c>
      <c r="B7" s="1" t="s">
        <v>27</v>
      </c>
      <c r="C7" s="10">
        <v>521</v>
      </c>
      <c r="D7" s="10">
        <v>620</v>
      </c>
      <c r="E7" s="6" t="s">
        <v>45</v>
      </c>
    </row>
    <row r="8" spans="1:5">
      <c r="A8" s="5" t="s">
        <v>1</v>
      </c>
      <c r="B8" s="1" t="s">
        <v>58</v>
      </c>
      <c r="C8" s="10">
        <v>845</v>
      </c>
      <c r="D8" s="10">
        <v>960</v>
      </c>
      <c r="E8" s="6" t="s">
        <v>45</v>
      </c>
    </row>
    <row r="9" spans="1:5">
      <c r="A9" s="5" t="s">
        <v>4</v>
      </c>
      <c r="B9" s="1" t="s">
        <v>58</v>
      </c>
      <c r="C9" s="10">
        <v>510</v>
      </c>
      <c r="D9" s="10">
        <v>525</v>
      </c>
      <c r="E9" s="6" t="s">
        <v>45</v>
      </c>
    </row>
    <row r="10" spans="1:5">
      <c r="A10" s="5" t="s">
        <v>49</v>
      </c>
      <c r="B10" s="1" t="s">
        <v>59</v>
      </c>
      <c r="C10" s="10">
        <v>1025</v>
      </c>
      <c r="D10" s="10">
        <v>1100</v>
      </c>
      <c r="E10" s="6" t="s">
        <v>45</v>
      </c>
    </row>
    <row r="11" spans="1:5">
      <c r="A11" s="5" t="s">
        <v>51</v>
      </c>
      <c r="B11" s="1" t="s">
        <v>59</v>
      </c>
      <c r="C11" s="10">
        <v>845</v>
      </c>
      <c r="D11" s="10">
        <v>850</v>
      </c>
      <c r="E11" s="6" t="s">
        <v>45</v>
      </c>
    </row>
    <row r="12" spans="1:5">
      <c r="A12" s="5" t="s">
        <v>8</v>
      </c>
      <c r="B12" s="1" t="s">
        <v>62</v>
      </c>
      <c r="C12" s="10">
        <v>2587</v>
      </c>
      <c r="D12" s="10">
        <v>2595</v>
      </c>
      <c r="E12" s="6" t="s">
        <v>45</v>
      </c>
    </row>
    <row r="13" spans="1:5">
      <c r="A13" s="5" t="s">
        <v>15</v>
      </c>
      <c r="B13" s="1" t="s">
        <v>27</v>
      </c>
      <c r="C13" s="10">
        <v>541</v>
      </c>
      <c r="D13" s="10">
        <v>550</v>
      </c>
      <c r="E13" s="6" t="s">
        <v>35</v>
      </c>
    </row>
    <row r="14" spans="1:5">
      <c r="A14" s="5" t="s">
        <v>23</v>
      </c>
      <c r="B14" s="1" t="s">
        <v>58</v>
      </c>
      <c r="C14" s="10">
        <v>579</v>
      </c>
      <c r="D14" s="10">
        <v>595</v>
      </c>
      <c r="E14" s="6" t="s">
        <v>35</v>
      </c>
    </row>
    <row r="15" spans="1:5">
      <c r="A15" s="5" t="s">
        <v>7</v>
      </c>
      <c r="B15" s="1" t="s">
        <v>59</v>
      </c>
      <c r="C15" s="10">
        <v>2008</v>
      </c>
      <c r="D15" s="10">
        <v>2010</v>
      </c>
      <c r="E15" s="6" t="s">
        <v>35</v>
      </c>
    </row>
    <row r="16" spans="1:5">
      <c r="A16" s="5" t="s">
        <v>20</v>
      </c>
      <c r="B16" s="1" t="s">
        <v>62</v>
      </c>
      <c r="C16" s="10">
        <v>4512</v>
      </c>
      <c r="D16" s="10">
        <v>4600</v>
      </c>
      <c r="E16" s="6" t="s">
        <v>35</v>
      </c>
    </row>
    <row r="17" spans="1:5">
      <c r="A17" s="5" t="s">
        <v>11</v>
      </c>
      <c r="B17" s="1" t="s">
        <v>59</v>
      </c>
      <c r="C17" s="10">
        <v>1985</v>
      </c>
      <c r="D17" s="10">
        <v>1990</v>
      </c>
      <c r="E17" s="6" t="s">
        <v>40</v>
      </c>
    </row>
    <row r="18" spans="1:5">
      <c r="A18" s="5" t="s">
        <v>5</v>
      </c>
      <c r="B18" s="1" t="s">
        <v>59</v>
      </c>
      <c r="C18" s="10">
        <v>956</v>
      </c>
      <c r="D18" s="10">
        <v>960</v>
      </c>
      <c r="E18" s="6" t="s">
        <v>40</v>
      </c>
    </row>
    <row r="19" spans="1:5">
      <c r="A19" s="5" t="s">
        <v>29</v>
      </c>
      <c r="B19" s="1" t="s">
        <v>27</v>
      </c>
      <c r="C19" s="10">
        <v>774</v>
      </c>
      <c r="D19" s="10">
        <v>775</v>
      </c>
      <c r="E19" s="6" t="s">
        <v>36</v>
      </c>
    </row>
    <row r="20" spans="1:5">
      <c r="A20" s="5" t="s">
        <v>64</v>
      </c>
      <c r="B20" s="1" t="s">
        <v>59</v>
      </c>
      <c r="C20" s="10">
        <v>1546</v>
      </c>
      <c r="D20" s="10">
        <v>1550</v>
      </c>
      <c r="E20" s="6" t="s">
        <v>36</v>
      </c>
    </row>
    <row r="21" spans="1:5">
      <c r="A21" s="5" t="s">
        <v>12</v>
      </c>
      <c r="B21" s="1" t="s">
        <v>62</v>
      </c>
      <c r="C21" s="10">
        <v>1475</v>
      </c>
      <c r="D21" s="10">
        <v>1550</v>
      </c>
      <c r="E21" s="6" t="s">
        <v>36</v>
      </c>
    </row>
    <row r="22" spans="1:5">
      <c r="A22" s="5" t="s">
        <v>50</v>
      </c>
      <c r="B22" s="1" t="s">
        <v>27</v>
      </c>
      <c r="C22" s="10">
        <v>559</v>
      </c>
      <c r="D22" s="10">
        <v>660</v>
      </c>
      <c r="E22" s="6" t="s">
        <v>44</v>
      </c>
    </row>
    <row r="23" spans="1:5">
      <c r="A23" s="5" t="s">
        <v>17</v>
      </c>
      <c r="B23" s="1" t="s">
        <v>27</v>
      </c>
      <c r="C23" s="10">
        <v>441</v>
      </c>
      <c r="D23" s="10">
        <v>455</v>
      </c>
      <c r="E23" s="6" t="s">
        <v>44</v>
      </c>
    </row>
    <row r="24" spans="1:5">
      <c r="A24" s="5" t="s">
        <v>3</v>
      </c>
      <c r="B24" s="1" t="s">
        <v>59</v>
      </c>
      <c r="C24" s="10">
        <v>2479</v>
      </c>
      <c r="D24" s="10">
        <v>2500</v>
      </c>
      <c r="E24" s="6" t="s">
        <v>44</v>
      </c>
    </row>
    <row r="25" spans="1:5">
      <c r="A25" s="5" t="s">
        <v>0</v>
      </c>
      <c r="B25" s="1" t="s">
        <v>59</v>
      </c>
      <c r="C25" s="10">
        <v>1885</v>
      </c>
      <c r="D25" s="10">
        <v>1910</v>
      </c>
      <c r="E25" s="6" t="s">
        <v>44</v>
      </c>
    </row>
    <row r="26" spans="1:5">
      <c r="A26" s="5" t="s">
        <v>18</v>
      </c>
      <c r="B26" s="1" t="s">
        <v>62</v>
      </c>
      <c r="C26" s="10">
        <v>1196</v>
      </c>
      <c r="D26" s="10">
        <v>1300</v>
      </c>
      <c r="E26" s="6" t="s">
        <v>44</v>
      </c>
    </row>
    <row r="27" spans="1:5">
      <c r="A27" s="5" t="s">
        <v>19</v>
      </c>
      <c r="B27" s="1" t="s">
        <v>27</v>
      </c>
      <c r="C27" s="10">
        <v>647</v>
      </c>
      <c r="D27" s="10">
        <v>670</v>
      </c>
      <c r="E27" s="6" t="s">
        <v>42</v>
      </c>
    </row>
    <row r="28" spans="1:5">
      <c r="A28" s="5" t="s">
        <v>13</v>
      </c>
      <c r="B28" s="1" t="s">
        <v>58</v>
      </c>
      <c r="C28" s="10">
        <v>658</v>
      </c>
      <c r="D28" s="10">
        <v>720</v>
      </c>
      <c r="E28" s="6" t="s">
        <v>42</v>
      </c>
    </row>
    <row r="29" spans="1:5">
      <c r="A29" s="5" t="s">
        <v>2</v>
      </c>
      <c r="B29" s="1" t="s">
        <v>59</v>
      </c>
      <c r="C29" s="10">
        <v>698</v>
      </c>
      <c r="D29" s="10">
        <v>705</v>
      </c>
      <c r="E29" s="6" t="s">
        <v>42</v>
      </c>
    </row>
    <row r="30" spans="1:5">
      <c r="A30" s="5" t="s">
        <v>53</v>
      </c>
      <c r="B30" s="1" t="s">
        <v>28</v>
      </c>
      <c r="C30" s="10">
        <v>3157</v>
      </c>
      <c r="D30" s="10">
        <v>3290</v>
      </c>
      <c r="E30" s="6" t="s">
        <v>42</v>
      </c>
    </row>
    <row r="31" spans="1:5">
      <c r="A31" s="5" t="s">
        <v>10</v>
      </c>
      <c r="B31" s="1" t="s">
        <v>27</v>
      </c>
      <c r="C31" s="10">
        <v>406</v>
      </c>
      <c r="D31" s="10">
        <v>455</v>
      </c>
      <c r="E31" s="6" t="s">
        <v>46</v>
      </c>
    </row>
    <row r="32" spans="1:5">
      <c r="A32" s="5" t="s">
        <v>16</v>
      </c>
      <c r="B32" s="1" t="s">
        <v>28</v>
      </c>
      <c r="C32" s="10">
        <v>6745</v>
      </c>
      <c r="D32" s="10">
        <v>7500</v>
      </c>
      <c r="E32" s="6" t="s">
        <v>46</v>
      </c>
    </row>
    <row r="33" spans="1:5">
      <c r="A33" s="5" t="s">
        <v>22</v>
      </c>
      <c r="B33" s="1" t="s">
        <v>27</v>
      </c>
      <c r="C33" s="10">
        <v>309</v>
      </c>
      <c r="D33" s="10">
        <v>350</v>
      </c>
      <c r="E33" s="6" t="s">
        <v>38</v>
      </c>
    </row>
    <row r="34" spans="1:5">
      <c r="A34" s="5" t="s">
        <v>14</v>
      </c>
      <c r="B34" s="1" t="s">
        <v>58</v>
      </c>
      <c r="C34" s="10">
        <v>412</v>
      </c>
      <c r="D34" s="10">
        <v>430</v>
      </c>
      <c r="E34" s="6" t="s">
        <v>38</v>
      </c>
    </row>
    <row r="35" spans="1:5">
      <c r="A35" s="5" t="s">
        <v>6</v>
      </c>
      <c r="B35" s="1" t="s">
        <v>27</v>
      </c>
      <c r="C35" s="10">
        <v>227</v>
      </c>
      <c r="D35" s="10">
        <v>250</v>
      </c>
      <c r="E35" s="6" t="s">
        <v>54</v>
      </c>
    </row>
    <row r="36" spans="1:5">
      <c r="A36" s="5" t="s">
        <v>21</v>
      </c>
      <c r="B36" s="1" t="s">
        <v>58</v>
      </c>
      <c r="C36" s="10">
        <v>625</v>
      </c>
      <c r="D36" s="10">
        <v>650</v>
      </c>
      <c r="E36" s="6" t="s">
        <v>54</v>
      </c>
    </row>
    <row r="37" spans="1:5">
      <c r="A37" s="5" t="s">
        <v>32</v>
      </c>
      <c r="B37" s="1" t="s">
        <v>27</v>
      </c>
      <c r="C37" s="10">
        <v>328</v>
      </c>
      <c r="D37" s="10">
        <v>360</v>
      </c>
      <c r="E37" s="6" t="s">
        <v>41</v>
      </c>
    </row>
    <row r="38" spans="1:5">
      <c r="A38" s="5" t="s">
        <v>25</v>
      </c>
      <c r="B38" s="1" t="s">
        <v>58</v>
      </c>
      <c r="C38" s="10">
        <v>695</v>
      </c>
      <c r="D38" s="10">
        <v>710</v>
      </c>
      <c r="E38" s="6" t="s">
        <v>41</v>
      </c>
    </row>
    <row r="39" spans="1:5">
      <c r="A39" s="5" t="s">
        <v>48</v>
      </c>
      <c r="B39" s="1" t="s">
        <v>59</v>
      </c>
      <c r="C39" s="10">
        <v>1148</v>
      </c>
      <c r="D39" s="10">
        <v>1200</v>
      </c>
      <c r="E39" s="6" t="s">
        <v>41</v>
      </c>
    </row>
    <row r="40" spans="1:5">
      <c r="A40" s="5" t="s">
        <v>31</v>
      </c>
      <c r="B40" s="1" t="s">
        <v>27</v>
      </c>
      <c r="C40" s="10">
        <v>845</v>
      </c>
      <c r="D40" s="10">
        <v>845</v>
      </c>
      <c r="E40" s="6" t="s">
        <v>39</v>
      </c>
    </row>
    <row r="41" spans="1:5">
      <c r="A41" s="5" t="s">
        <v>24</v>
      </c>
      <c r="B41" s="1" t="s">
        <v>28</v>
      </c>
      <c r="C41" s="10">
        <v>3560</v>
      </c>
      <c r="D41" s="10">
        <v>4660</v>
      </c>
      <c r="E41" s="6" t="s">
        <v>39</v>
      </c>
    </row>
    <row r="42" spans="1:5">
      <c r="A42" s="5" t="s">
        <v>57</v>
      </c>
      <c r="B42" s="1" t="s">
        <v>58</v>
      </c>
      <c r="C42" s="10">
        <v>786</v>
      </c>
      <c r="D42" s="10">
        <v>790</v>
      </c>
      <c r="E42" s="6" t="s">
        <v>55</v>
      </c>
    </row>
    <row r="43" spans="1:5">
      <c r="A43" s="7" t="s">
        <v>56</v>
      </c>
      <c r="B43" s="8" t="s">
        <v>62</v>
      </c>
      <c r="C43" s="11">
        <v>2225</v>
      </c>
      <c r="D43" s="11">
        <v>2230</v>
      </c>
      <c r="E43" s="9" t="s">
        <v>55</v>
      </c>
    </row>
  </sheetData>
  <sortState xmlns:xlrd2="http://schemas.microsoft.com/office/spreadsheetml/2017/richdata2" ref="A2:E43">
    <sortCondition ref="E2:E43"/>
    <sortCondition ref="B2:B43" customList="Elementary,Middle,High,College,University"/>
    <sortCondition descending="1" ref="C2:C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Тарас Андрійович Осипчук</cp:lastModifiedBy>
  <dcterms:created xsi:type="dcterms:W3CDTF">2021-07-14T17:05:16Z</dcterms:created>
  <dcterms:modified xsi:type="dcterms:W3CDTF">2026-06-24T06:34:10Z</dcterms:modified>
</cp:coreProperties>
</file>