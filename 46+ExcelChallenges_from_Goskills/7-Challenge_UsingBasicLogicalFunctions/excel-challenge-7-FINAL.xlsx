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D1281FE8-FD9F-45BB-94B9-8A42495D705F}" xr6:coauthVersionLast="47" xr6:coauthVersionMax="47" xr10:uidLastSave="{00000000-0000-0000-0000-000000000000}"/>
  <bookViews>
    <workbookView xWindow="7335" yWindow="0" windowWidth="21600" windowHeight="11235" xr2:uid="{00000000-000D-0000-FFFF-FFFF00000000}"/>
  </bookViews>
  <sheets>
    <sheet name="Database" sheetId="1" r:id="rId1"/>
    <sheet name="Query Solution" sheetId="4" r:id="rId2"/>
    <sheet name="Query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5" l="1" a="1"/>
  <c r="A5" i="5" s="1"/>
  <c r="A5" i="4" a="1"/>
  <c r="A5" i="4" s="1"/>
  <c r="I5" i="4"/>
  <c r="J5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<sst xmlns="http://schemas.openxmlformats.org/spreadsheetml/2006/main" count="193" uniqueCount="122">
  <si>
    <t>Author</t>
  </si>
  <si>
    <t>Title</t>
  </si>
  <si>
    <t>Book ID</t>
  </si>
  <si>
    <t>Year</t>
  </si>
  <si>
    <t>Classification</t>
  </si>
  <si>
    <t>Genre</t>
  </si>
  <si>
    <t>Price</t>
  </si>
  <si>
    <t>In Stock</t>
  </si>
  <si>
    <t>Austen, Jane</t>
  </si>
  <si>
    <t>Pride and Prejudice</t>
  </si>
  <si>
    <t>FA45236</t>
  </si>
  <si>
    <t>Fiction</t>
  </si>
  <si>
    <t>Period Romance</t>
  </si>
  <si>
    <t>Emma</t>
  </si>
  <si>
    <t>FA52498</t>
  </si>
  <si>
    <t>Victorian Drama</t>
  </si>
  <si>
    <t>Bronte, Charlotte</t>
  </si>
  <si>
    <t>Jane Eyre</t>
  </si>
  <si>
    <t>FB78236</t>
  </si>
  <si>
    <t>Dickens, Charles</t>
  </si>
  <si>
    <t>A Tale of Two Cities</t>
  </si>
  <si>
    <t>FD10268</t>
  </si>
  <si>
    <t>Historical Drama</t>
  </si>
  <si>
    <t>Oliver Twist</t>
  </si>
  <si>
    <t>FD12896</t>
  </si>
  <si>
    <t>Great Expectations</t>
  </si>
  <si>
    <t>FD12309</t>
  </si>
  <si>
    <t>Doyle, Arthur Conan</t>
  </si>
  <si>
    <t>The Adventures of Sherlock Holmes</t>
  </si>
  <si>
    <t>FD03284</t>
  </si>
  <si>
    <t>Mystery</t>
  </si>
  <si>
    <t>Johnston, Lisa</t>
  </si>
  <si>
    <t>The Best of Times</t>
  </si>
  <si>
    <t>FJ65230</t>
  </si>
  <si>
    <t>Romance</t>
  </si>
  <si>
    <t>McGregor, Karen</t>
  </si>
  <si>
    <t>Tell Me Something I Don't Know</t>
  </si>
  <si>
    <t>FM13205</t>
  </si>
  <si>
    <t>Self-Help</t>
  </si>
  <si>
    <t>Melville, Herman</t>
  </si>
  <si>
    <t>Moby Dick</t>
  </si>
  <si>
    <t>FM87596</t>
  </si>
  <si>
    <t>Adventure</t>
  </si>
  <si>
    <t>Orwell, George</t>
  </si>
  <si>
    <t>Animal Farm</t>
  </si>
  <si>
    <t>FO78515</t>
  </si>
  <si>
    <t>Political Satire</t>
  </si>
  <si>
    <t>Scott-Fitzgerald, F.</t>
  </si>
  <si>
    <t>The Great Gatsby</t>
  </si>
  <si>
    <t>FS14796</t>
  </si>
  <si>
    <t>Zhang, Zoey</t>
  </si>
  <si>
    <t>Art Imitates Life</t>
  </si>
  <si>
    <t>FZ87496</t>
  </si>
  <si>
    <t>Art</t>
  </si>
  <si>
    <t>Bennett, George</t>
  </si>
  <si>
    <t>The Year of Our Lord</t>
  </si>
  <si>
    <t>NB48630</t>
  </si>
  <si>
    <t>Non-Fiction</t>
  </si>
  <si>
    <t>Business</t>
  </si>
  <si>
    <t>Blagdanovich, Joshua</t>
  </si>
  <si>
    <t>The Life and Times of Henry Keiser</t>
  </si>
  <si>
    <t>NB89632</t>
  </si>
  <si>
    <t>Autobiography</t>
  </si>
  <si>
    <t>Brown, Evelyn</t>
  </si>
  <si>
    <t>Managing Human Resources</t>
  </si>
  <si>
    <t>NB45536</t>
  </si>
  <si>
    <t>Clarthy, Marlene</t>
  </si>
  <si>
    <t>This is It</t>
  </si>
  <si>
    <t>NC47963</t>
  </si>
  <si>
    <t>Cominsky, Aaron</t>
  </si>
  <si>
    <t>Effective Leadership</t>
  </si>
  <si>
    <t>NC74696</t>
  </si>
  <si>
    <t>Frank, Anne</t>
  </si>
  <si>
    <t>Anne Frank - The Diary of a Young Girl</t>
  </si>
  <si>
    <t>NF45223</t>
  </si>
  <si>
    <t>Henry, Leonard</t>
  </si>
  <si>
    <t>WillPower</t>
  </si>
  <si>
    <t>NH12039</t>
  </si>
  <si>
    <t>Motivational</t>
  </si>
  <si>
    <t>Khan, Amir</t>
  </si>
  <si>
    <t>Making Millions</t>
  </si>
  <si>
    <t>NK85634</t>
  </si>
  <si>
    <t>Mayers, Jonathon</t>
  </si>
  <si>
    <t>Wake Me When It's Over</t>
  </si>
  <si>
    <t>NM52369</t>
  </si>
  <si>
    <t>McFarland, Emily</t>
  </si>
  <si>
    <t>A Brief History of the French Revolution</t>
  </si>
  <si>
    <t>NM59668</t>
  </si>
  <si>
    <t>History</t>
  </si>
  <si>
    <t>Mohammed, Farrah</t>
  </si>
  <si>
    <t>I Can Play the Piano!</t>
  </si>
  <si>
    <t>NM56368</t>
  </si>
  <si>
    <t>Sevels, Tara</t>
  </si>
  <si>
    <t>How Do You Know?</t>
  </si>
  <si>
    <t>NS65203</t>
  </si>
  <si>
    <t>Poetry</t>
  </si>
  <si>
    <t>Tzu, Sun</t>
  </si>
  <si>
    <t>The Art of War</t>
  </si>
  <si>
    <t>NT65203</t>
  </si>
  <si>
    <t>Military</t>
  </si>
  <si>
    <t>Zalinsky, Marco</t>
  </si>
  <si>
    <t>Frightened Warriors</t>
  </si>
  <si>
    <t>NZ98560</t>
  </si>
  <si>
    <t>Defoe, Daniel</t>
  </si>
  <si>
    <t>Robinson Crusoe</t>
  </si>
  <si>
    <t>YD10398</t>
  </si>
  <si>
    <t>Youth Fiction</t>
  </si>
  <si>
    <t>Grimm, Jacob &amp; Grimm, Wilhelm</t>
  </si>
  <si>
    <t>Grimm's Fairy Tales</t>
  </si>
  <si>
    <t>YG98562</t>
  </si>
  <si>
    <t>Fantasy</t>
  </si>
  <si>
    <t>Irving, Washington</t>
  </si>
  <si>
    <t>Rip Van Winkle</t>
  </si>
  <si>
    <t>YI56059</t>
  </si>
  <si>
    <t>Perrault, Charles</t>
  </si>
  <si>
    <t>Tales of Mother Goose</t>
  </si>
  <si>
    <t>YP32598</t>
  </si>
  <si>
    <t>Swift, Jonathan</t>
  </si>
  <si>
    <t>Gulliver's Travels</t>
  </si>
  <si>
    <t>YS75980</t>
  </si>
  <si>
    <t>Select Book ID Below</t>
  </si>
  <si>
    <t>NH77777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</si>
</sst>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quotePrefix="1" applyProtection="1">
      <protection hidden="1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0" fillId="3" borderId="0" xfId="0" applyFill="1" applyProtection="1">
      <protection locked="0"/>
    </xf>
    <xf numFmtId="0" fontId="2" fillId="2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Protection="1">
      <protection locked="0"/>
    </xf>
    <xf numFmtId="164" fontId="0" fillId="0" borderId="0" xfId="0" applyNumberFormat="1" applyProtection="1">
      <protection locked="0"/>
    </xf>
    <xf numFmtId="0" fontId="0" fillId="0" borderId="0" xfId="0" quotePrefix="1" applyProtection="1">
      <protection locked="0"/>
    </xf>
    <xf numFmtId="0" fontId="3" fillId="0" borderId="0" xfId="0" quotePrefix="1" applyFont="1" applyAlignment="1" applyProtection="1">
      <alignment wrapText="1"/>
      <protection locked="0"/>
    </xf>
    <xf numFmtId="0" fontId="4" fillId="0" borderId="0" xfId="0" quotePrefix="1" applyFont="1" applyAlignment="1" applyProtection="1">
      <alignment horizontal="center"/>
      <protection hidden="1"/>
    </xf>
    <xf numFmtId="164" fontId="1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2" fillId="2" borderId="2" xfId="0" applyFont="1" applyFill="1" applyBorder="1" applyAlignment="1" applyProtection="1">
      <protection locked="0"/>
    </xf>
    <xf numFmtId="0" fontId="0" fillId="0" borderId="0" xfId="0" applyProtection="1"/>
    <xf numFmtId="0" fontId="0" fillId="0" borderId="0" xfId="0" applyAlignment="1" applyProtection="1">
      <alignment horizontal="center" vertical="center"/>
    </xf>
    <xf numFmtId="164" fontId="0" fillId="0" borderId="0" xfId="0" applyNumberFormat="1" applyAlignment="1" applyProtection="1"/>
  </cellXfs>
  <cellStyles count="1">
    <cellStyle name="Normal" xfId="0" builtinId="0"/>
  </cellStyles>
  <dxfs count="7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164" formatCode="_([$$-409]* #,##0.00_);_([$$-409]* \(#,##0.00\);_([$$-409]* &quot;-&quot;??_);_(@_)"/>
      <alignment horizontal="left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61FC8A-C238-46CA-8A35-FDD6DC5E38BA}" name="Database" displayName="Database" ref="A1:H34" totalsRowShown="0" headerRowDxfId="6">
  <autoFilter ref="A1:H34" xr:uid="{5334CE4A-72C7-483E-9D9C-D09DA96104A3}"/>
  <sortState xmlns:xlrd2="http://schemas.microsoft.com/office/spreadsheetml/2017/richdata2" ref="A2:H34">
    <sortCondition ref="E1:E34"/>
  </sortState>
  <tableColumns count="8">
    <tableColumn id="1" xr3:uid="{1549EDC8-974A-4034-906A-B9011708A073}" name="Author"/>
    <tableColumn id="2" xr3:uid="{53CBD111-8AF8-4A36-B36C-5EE392F7A862}" name="Title"/>
    <tableColumn id="3" xr3:uid="{A32100A6-8D8F-47A4-8018-D0E73E08C562}" name="Book ID"/>
    <tableColumn id="4" xr3:uid="{A919C420-CE41-4968-93C7-C37FF5167C06}" name="Year" dataDxfId="5"/>
    <tableColumn id="5" xr3:uid="{3B81E2E3-4CAC-418C-B84D-7278EF7CFA6E}" name="Classification"/>
    <tableColumn id="6" xr3:uid="{46C244C0-E6CF-4330-97B1-DE035DB91670}" name="Genre"/>
    <tableColumn id="7" xr3:uid="{B3AF385A-9F57-491F-90ED-CB17ADD991B9}" name="Price" dataDxfId="4"/>
    <tableColumn id="8" xr3:uid="{C4AAED6C-1D96-4A58-BE94-16958558F8DB}" name="In Stock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DC433C1-FC27-4DFA-89EC-8E3C33938276}">
  <we:reference id="wa104197352" version="1.0.0.9" store="en-US" storeType="OMEX"/>
  <we:alternateReferences>
    <we:reference id="WA104197352" version="1.0.0.9" store="WA10419735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B2" sqref="B2:B34"/>
    </sheetView>
  </sheetViews>
  <sheetFormatPr defaultColWidth="8.85546875" defaultRowHeight="15" x14ac:dyDescent="0.25"/>
  <cols>
    <col min="1" max="1" width="30.42578125" bestFit="1" customWidth="1"/>
    <col min="2" max="2" width="37" bestFit="1" customWidth="1"/>
    <col min="3" max="3" width="11.7109375" customWidth="1"/>
    <col min="4" max="4" width="7.42578125" style="5" bestFit="1" customWidth="1"/>
    <col min="5" max="5" width="18.7109375" bestFit="1" customWidth="1"/>
    <col min="6" max="6" width="18.42578125" bestFit="1" customWidth="1"/>
    <col min="7" max="7" width="9.140625" style="20"/>
    <col min="8" max="8" width="10.2851562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19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10</v>
      </c>
      <c r="D2" s="5">
        <v>1967</v>
      </c>
      <c r="E2" t="s">
        <v>11</v>
      </c>
      <c r="F2" t="s">
        <v>12</v>
      </c>
      <c r="G2" s="20">
        <v>19.989999999999998</v>
      </c>
      <c r="H2">
        <v>18</v>
      </c>
    </row>
    <row r="3" spans="1:8" x14ac:dyDescent="0.25">
      <c r="A3" t="s">
        <v>8</v>
      </c>
      <c r="B3" t="s">
        <v>13</v>
      </c>
      <c r="C3" t="s">
        <v>14</v>
      </c>
      <c r="D3" s="5">
        <v>1957</v>
      </c>
      <c r="E3" t="s">
        <v>11</v>
      </c>
      <c r="F3" t="s">
        <v>15</v>
      </c>
      <c r="G3" s="20">
        <v>22.79</v>
      </c>
      <c r="H3">
        <v>7</v>
      </c>
    </row>
    <row r="4" spans="1:8" x14ac:dyDescent="0.25">
      <c r="A4" t="s">
        <v>16</v>
      </c>
      <c r="B4" t="s">
        <v>17</v>
      </c>
      <c r="C4" t="s">
        <v>18</v>
      </c>
      <c r="D4" s="5">
        <v>1847</v>
      </c>
      <c r="E4" t="s">
        <v>11</v>
      </c>
      <c r="F4" t="s">
        <v>15</v>
      </c>
      <c r="G4" s="20">
        <v>21.69</v>
      </c>
      <c r="H4">
        <v>11</v>
      </c>
    </row>
    <row r="5" spans="1:8" x14ac:dyDescent="0.25">
      <c r="A5" t="s">
        <v>19</v>
      </c>
      <c r="B5" t="s">
        <v>20</v>
      </c>
      <c r="C5" t="s">
        <v>21</v>
      </c>
      <c r="D5" s="5">
        <v>1975</v>
      </c>
      <c r="E5" t="s">
        <v>11</v>
      </c>
      <c r="F5" t="s">
        <v>22</v>
      </c>
      <c r="G5" s="20">
        <v>27.99</v>
      </c>
      <c r="H5">
        <v>11</v>
      </c>
    </row>
    <row r="6" spans="1:8" x14ac:dyDescent="0.25">
      <c r="A6" t="s">
        <v>19</v>
      </c>
      <c r="B6" t="s">
        <v>23</v>
      </c>
      <c r="C6" t="s">
        <v>24</v>
      </c>
      <c r="D6" s="5">
        <v>1985</v>
      </c>
      <c r="E6" t="s">
        <v>11</v>
      </c>
      <c r="F6" t="s">
        <v>22</v>
      </c>
      <c r="G6" s="20">
        <v>11.99</v>
      </c>
      <c r="H6">
        <v>0</v>
      </c>
    </row>
    <row r="7" spans="1:8" x14ac:dyDescent="0.25">
      <c r="A7" t="s">
        <v>19</v>
      </c>
      <c r="B7" t="s">
        <v>25</v>
      </c>
      <c r="C7" t="s">
        <v>26</v>
      </c>
      <c r="D7" s="5">
        <v>1959</v>
      </c>
      <c r="E7" t="s">
        <v>11</v>
      </c>
      <c r="F7" t="s">
        <v>15</v>
      </c>
      <c r="G7" s="20">
        <v>22.99</v>
      </c>
      <c r="H7">
        <v>8</v>
      </c>
    </row>
    <row r="8" spans="1:8" x14ac:dyDescent="0.25">
      <c r="A8" t="s">
        <v>27</v>
      </c>
      <c r="B8" t="s">
        <v>28</v>
      </c>
      <c r="C8" t="s">
        <v>29</v>
      </c>
      <c r="D8" s="5">
        <v>1892</v>
      </c>
      <c r="E8" t="s">
        <v>11</v>
      </c>
      <c r="F8" t="s">
        <v>30</v>
      </c>
      <c r="G8" s="20">
        <v>27.99</v>
      </c>
      <c r="H8">
        <v>0</v>
      </c>
    </row>
    <row r="9" spans="1:8" x14ac:dyDescent="0.25">
      <c r="A9" t="s">
        <v>31</v>
      </c>
      <c r="B9" t="s">
        <v>32</v>
      </c>
      <c r="C9" t="s">
        <v>33</v>
      </c>
      <c r="D9" s="5">
        <v>2016</v>
      </c>
      <c r="E9" t="s">
        <v>11</v>
      </c>
      <c r="F9" t="s">
        <v>34</v>
      </c>
      <c r="G9" s="20">
        <v>22.99</v>
      </c>
      <c r="H9">
        <v>5</v>
      </c>
    </row>
    <row r="10" spans="1:8" x14ac:dyDescent="0.25">
      <c r="A10" t="s">
        <v>35</v>
      </c>
      <c r="B10" t="s">
        <v>36</v>
      </c>
      <c r="C10" t="s">
        <v>37</v>
      </c>
      <c r="D10" s="5">
        <v>2000</v>
      </c>
      <c r="E10" t="s">
        <v>11</v>
      </c>
      <c r="F10" t="s">
        <v>38</v>
      </c>
      <c r="G10" s="20">
        <v>10.59</v>
      </c>
      <c r="H10">
        <v>9</v>
      </c>
    </row>
    <row r="11" spans="1:8" x14ac:dyDescent="0.25">
      <c r="A11" t="s">
        <v>39</v>
      </c>
      <c r="B11" t="s">
        <v>40</v>
      </c>
      <c r="C11" t="s">
        <v>41</v>
      </c>
      <c r="D11" s="5">
        <v>1982</v>
      </c>
      <c r="E11" t="s">
        <v>11</v>
      </c>
      <c r="F11" t="s">
        <v>42</v>
      </c>
      <c r="G11" s="20">
        <v>8.99</v>
      </c>
      <c r="H11">
        <v>5</v>
      </c>
    </row>
    <row r="12" spans="1:8" x14ac:dyDescent="0.25">
      <c r="A12" t="s">
        <v>43</v>
      </c>
      <c r="B12" t="s">
        <v>44</v>
      </c>
      <c r="C12" t="s">
        <v>45</v>
      </c>
      <c r="D12" s="5">
        <v>1945</v>
      </c>
      <c r="E12" t="s">
        <v>11</v>
      </c>
      <c r="F12" t="s">
        <v>46</v>
      </c>
      <c r="G12" s="20">
        <v>25.69</v>
      </c>
      <c r="H12">
        <v>12</v>
      </c>
    </row>
    <row r="13" spans="1:8" x14ac:dyDescent="0.25">
      <c r="A13" t="s">
        <v>47</v>
      </c>
      <c r="B13" t="s">
        <v>48</v>
      </c>
      <c r="C13" t="s">
        <v>49</v>
      </c>
      <c r="D13" s="5">
        <v>2012</v>
      </c>
      <c r="E13" t="s">
        <v>11</v>
      </c>
      <c r="F13" t="s">
        <v>34</v>
      </c>
      <c r="G13" s="20">
        <v>17.690000000000001</v>
      </c>
      <c r="H13">
        <v>9</v>
      </c>
    </row>
    <row r="14" spans="1:8" x14ac:dyDescent="0.25">
      <c r="A14" t="s">
        <v>50</v>
      </c>
      <c r="B14" t="s">
        <v>51</v>
      </c>
      <c r="C14" t="s">
        <v>52</v>
      </c>
      <c r="D14" s="5">
        <v>2014</v>
      </c>
      <c r="E14" t="s">
        <v>11</v>
      </c>
      <c r="F14" t="s">
        <v>53</v>
      </c>
      <c r="G14" s="20">
        <v>9.99</v>
      </c>
      <c r="H14">
        <v>10</v>
      </c>
    </row>
    <row r="15" spans="1:8" x14ac:dyDescent="0.25">
      <c r="A15" t="s">
        <v>54</v>
      </c>
      <c r="B15" t="s">
        <v>55</v>
      </c>
      <c r="C15" t="s">
        <v>56</v>
      </c>
      <c r="D15" s="5">
        <v>1999</v>
      </c>
      <c r="E15" t="s">
        <v>57</v>
      </c>
      <c r="F15" t="s">
        <v>58</v>
      </c>
      <c r="G15" s="20">
        <v>35.99</v>
      </c>
      <c r="H15">
        <v>6</v>
      </c>
    </row>
    <row r="16" spans="1:8" x14ac:dyDescent="0.25">
      <c r="A16" t="s">
        <v>59</v>
      </c>
      <c r="B16" t="s">
        <v>60</v>
      </c>
      <c r="C16" t="s">
        <v>61</v>
      </c>
      <c r="D16" s="5">
        <v>1993</v>
      </c>
      <c r="E16" t="s">
        <v>57</v>
      </c>
      <c r="F16" t="s">
        <v>62</v>
      </c>
      <c r="G16" s="20">
        <v>33.590000000000003</v>
      </c>
      <c r="H16">
        <v>14</v>
      </c>
    </row>
    <row r="17" spans="1:8" x14ac:dyDescent="0.25">
      <c r="A17" t="s">
        <v>63</v>
      </c>
      <c r="B17" t="s">
        <v>64</v>
      </c>
      <c r="C17" t="s">
        <v>65</v>
      </c>
      <c r="D17" s="5">
        <v>2019</v>
      </c>
      <c r="E17" t="s">
        <v>57</v>
      </c>
      <c r="F17" t="s">
        <v>58</v>
      </c>
      <c r="G17" s="20">
        <v>22.16</v>
      </c>
      <c r="H17">
        <v>1</v>
      </c>
    </row>
    <row r="18" spans="1:8" x14ac:dyDescent="0.25">
      <c r="A18" t="s">
        <v>75</v>
      </c>
      <c r="B18" t="s">
        <v>76</v>
      </c>
      <c r="C18" t="s">
        <v>121</v>
      </c>
      <c r="D18" s="5">
        <v>1998</v>
      </c>
      <c r="E18" t="s">
        <v>57</v>
      </c>
      <c r="F18" t="s">
        <v>78</v>
      </c>
      <c r="G18" s="20">
        <v>15.49</v>
      </c>
      <c r="H18">
        <v>4</v>
      </c>
    </row>
    <row r="19" spans="1:8" x14ac:dyDescent="0.25">
      <c r="A19" t="s">
        <v>66</v>
      </c>
      <c r="B19" t="s">
        <v>67</v>
      </c>
      <c r="C19" t="s">
        <v>68</v>
      </c>
      <c r="D19" s="5">
        <v>1996</v>
      </c>
      <c r="E19" t="s">
        <v>57</v>
      </c>
      <c r="F19" t="s">
        <v>38</v>
      </c>
      <c r="G19" s="20">
        <v>11.69</v>
      </c>
      <c r="H19">
        <v>4</v>
      </c>
    </row>
    <row r="20" spans="1:8" x14ac:dyDescent="0.25">
      <c r="A20" t="s">
        <v>69</v>
      </c>
      <c r="B20" t="s">
        <v>70</v>
      </c>
      <c r="C20" t="s">
        <v>71</v>
      </c>
      <c r="D20" s="5">
        <v>2019</v>
      </c>
      <c r="E20" t="s">
        <v>57</v>
      </c>
      <c r="F20" t="s">
        <v>58</v>
      </c>
      <c r="G20" s="20">
        <v>12.69</v>
      </c>
      <c r="H20">
        <v>10</v>
      </c>
    </row>
    <row r="21" spans="1:8" x14ac:dyDescent="0.25">
      <c r="A21" t="s">
        <v>72</v>
      </c>
      <c r="B21" t="s">
        <v>73</v>
      </c>
      <c r="C21" t="s">
        <v>74</v>
      </c>
      <c r="D21" s="5">
        <v>1967</v>
      </c>
      <c r="E21" t="s">
        <v>57</v>
      </c>
      <c r="F21" t="s">
        <v>62</v>
      </c>
      <c r="G21" s="20">
        <v>22.59</v>
      </c>
      <c r="H21">
        <v>2</v>
      </c>
    </row>
    <row r="22" spans="1:8" x14ac:dyDescent="0.25">
      <c r="A22" t="s">
        <v>75</v>
      </c>
      <c r="B22" t="s">
        <v>76</v>
      </c>
      <c r="C22" t="s">
        <v>77</v>
      </c>
      <c r="D22" s="5">
        <v>1998</v>
      </c>
      <c r="E22" t="s">
        <v>57</v>
      </c>
      <c r="F22" t="s">
        <v>78</v>
      </c>
      <c r="G22" s="20">
        <v>15.49</v>
      </c>
      <c r="H22">
        <v>4</v>
      </c>
    </row>
    <row r="23" spans="1:8" x14ac:dyDescent="0.25">
      <c r="A23" t="s">
        <v>79</v>
      </c>
      <c r="B23" t="s">
        <v>80</v>
      </c>
      <c r="C23" t="s">
        <v>81</v>
      </c>
      <c r="D23" s="5">
        <v>2020</v>
      </c>
      <c r="E23" t="s">
        <v>57</v>
      </c>
      <c r="F23" t="s">
        <v>78</v>
      </c>
      <c r="G23" s="20">
        <v>27.99</v>
      </c>
      <c r="H23">
        <v>8</v>
      </c>
    </row>
    <row r="24" spans="1:8" x14ac:dyDescent="0.25">
      <c r="A24" t="s">
        <v>82</v>
      </c>
      <c r="B24" t="s">
        <v>83</v>
      </c>
      <c r="C24" t="s">
        <v>84</v>
      </c>
      <c r="D24" s="5">
        <v>2001</v>
      </c>
      <c r="E24" t="s">
        <v>57</v>
      </c>
      <c r="F24" t="s">
        <v>62</v>
      </c>
      <c r="G24" s="20">
        <v>29.99</v>
      </c>
      <c r="H24">
        <v>9</v>
      </c>
    </row>
    <row r="25" spans="1:8" x14ac:dyDescent="0.25">
      <c r="A25" t="s">
        <v>85</v>
      </c>
      <c r="B25" t="s">
        <v>86</v>
      </c>
      <c r="C25" t="s">
        <v>87</v>
      </c>
      <c r="D25" s="5">
        <v>2016</v>
      </c>
      <c r="E25" t="s">
        <v>57</v>
      </c>
      <c r="F25" t="s">
        <v>88</v>
      </c>
      <c r="G25" s="20">
        <v>32.25</v>
      </c>
      <c r="H25">
        <v>4</v>
      </c>
    </row>
    <row r="26" spans="1:8" x14ac:dyDescent="0.25">
      <c r="A26" t="s">
        <v>89</v>
      </c>
      <c r="B26" t="s">
        <v>90</v>
      </c>
      <c r="C26" t="s">
        <v>91</v>
      </c>
      <c r="D26" s="5">
        <v>1997</v>
      </c>
      <c r="E26" t="s">
        <v>57</v>
      </c>
      <c r="F26" t="s">
        <v>53</v>
      </c>
      <c r="G26" s="20">
        <v>11.29</v>
      </c>
      <c r="H26">
        <v>4</v>
      </c>
    </row>
    <row r="27" spans="1:8" x14ac:dyDescent="0.25">
      <c r="A27" t="s">
        <v>92</v>
      </c>
      <c r="B27" t="s">
        <v>93</v>
      </c>
      <c r="C27" t="s">
        <v>94</v>
      </c>
      <c r="D27" s="5">
        <v>2001</v>
      </c>
      <c r="E27" t="s">
        <v>57</v>
      </c>
      <c r="F27" t="s">
        <v>95</v>
      </c>
      <c r="G27" s="20">
        <v>16.690000000000001</v>
      </c>
      <c r="H27">
        <v>11</v>
      </c>
    </row>
    <row r="28" spans="1:8" x14ac:dyDescent="0.25">
      <c r="A28" t="s">
        <v>96</v>
      </c>
      <c r="B28" t="s">
        <v>97</v>
      </c>
      <c r="C28" t="s">
        <v>98</v>
      </c>
      <c r="D28" s="5">
        <v>2001</v>
      </c>
      <c r="E28" t="s">
        <v>57</v>
      </c>
      <c r="F28" t="s">
        <v>99</v>
      </c>
      <c r="G28" s="20">
        <v>11.49</v>
      </c>
      <c r="H28">
        <v>8</v>
      </c>
    </row>
    <row r="29" spans="1:8" x14ac:dyDescent="0.25">
      <c r="A29" t="s">
        <v>100</v>
      </c>
      <c r="B29" t="s">
        <v>101</v>
      </c>
      <c r="C29" t="s">
        <v>102</v>
      </c>
      <c r="D29" s="5">
        <v>1992</v>
      </c>
      <c r="E29" t="s">
        <v>57</v>
      </c>
      <c r="F29" t="s">
        <v>88</v>
      </c>
      <c r="G29" s="20">
        <v>12.49</v>
      </c>
      <c r="H29">
        <v>5</v>
      </c>
    </row>
    <row r="30" spans="1:8" x14ac:dyDescent="0.25">
      <c r="A30" s="2" t="s">
        <v>103</v>
      </c>
      <c r="B30" s="2" t="s">
        <v>104</v>
      </c>
      <c r="C30" s="2" t="s">
        <v>105</v>
      </c>
      <c r="D30" s="6">
        <v>1946</v>
      </c>
      <c r="E30" t="s">
        <v>106</v>
      </c>
      <c r="F30" t="s">
        <v>42</v>
      </c>
      <c r="G30" s="20">
        <v>8.99</v>
      </c>
      <c r="H30">
        <v>8</v>
      </c>
    </row>
    <row r="31" spans="1:8" x14ac:dyDescent="0.25">
      <c r="A31" t="s">
        <v>107</v>
      </c>
      <c r="B31" t="s">
        <v>108</v>
      </c>
      <c r="C31" t="s">
        <v>109</v>
      </c>
      <c r="D31" s="5">
        <v>1967</v>
      </c>
      <c r="E31" t="s">
        <v>106</v>
      </c>
      <c r="F31" t="s">
        <v>110</v>
      </c>
      <c r="G31" s="20">
        <v>10.99</v>
      </c>
      <c r="H31">
        <v>8</v>
      </c>
    </row>
    <row r="32" spans="1:8" x14ac:dyDescent="0.25">
      <c r="A32" t="s">
        <v>111</v>
      </c>
      <c r="B32" t="s">
        <v>112</v>
      </c>
      <c r="C32" t="s">
        <v>113</v>
      </c>
      <c r="D32" s="5">
        <v>1977</v>
      </c>
      <c r="E32" t="s">
        <v>106</v>
      </c>
      <c r="F32" t="s">
        <v>110</v>
      </c>
      <c r="G32" s="20">
        <v>10.99</v>
      </c>
      <c r="H32">
        <v>8</v>
      </c>
    </row>
    <row r="33" spans="1:8" x14ac:dyDescent="0.25">
      <c r="A33" t="s">
        <v>114</v>
      </c>
      <c r="B33" s="2" t="s">
        <v>115</v>
      </c>
      <c r="C33" s="2" t="s">
        <v>116</v>
      </c>
      <c r="D33" s="6">
        <v>1989</v>
      </c>
      <c r="E33" t="s">
        <v>106</v>
      </c>
      <c r="F33" s="1" t="s">
        <v>110</v>
      </c>
      <c r="G33" s="20">
        <v>8.99</v>
      </c>
      <c r="H33">
        <v>7</v>
      </c>
    </row>
    <row r="34" spans="1:8" x14ac:dyDescent="0.25">
      <c r="A34" s="2" t="s">
        <v>117</v>
      </c>
      <c r="B34" s="2" t="s">
        <v>118</v>
      </c>
      <c r="C34" s="2" t="s">
        <v>119</v>
      </c>
      <c r="D34" s="6">
        <v>1985</v>
      </c>
      <c r="E34" t="s">
        <v>106</v>
      </c>
      <c r="F34" t="s">
        <v>42</v>
      </c>
      <c r="G34" s="20">
        <v>8.99</v>
      </c>
      <c r="H34">
        <v>1</v>
      </c>
    </row>
  </sheetData>
  <sortState xmlns:xlrd2="http://schemas.microsoft.com/office/spreadsheetml/2017/richdata2" ref="A2:H33">
    <sortCondition ref="A2:A3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60708-742E-4D3D-9360-B685E169301D}">
  <dimension ref="A1:J13"/>
  <sheetViews>
    <sheetView workbookViewId="0">
      <selection activeCell="J5" sqref="J5"/>
    </sheetView>
  </sheetViews>
  <sheetFormatPr defaultColWidth="8.85546875" defaultRowHeight="15" x14ac:dyDescent="0.25"/>
  <cols>
    <col min="1" max="1" width="19.28515625" style="9" customWidth="1"/>
    <col min="2" max="2" width="33.42578125" style="9" customWidth="1"/>
    <col min="3" max="4" width="8.85546875" style="9"/>
    <col min="5" max="5" width="14.42578125" style="9" customWidth="1"/>
    <col min="6" max="6" width="16" style="9" customWidth="1"/>
    <col min="7" max="16384" width="8.85546875" style="9"/>
  </cols>
  <sheetData>
    <row r="1" spans="1:10" x14ac:dyDescent="0.25">
      <c r="A1" s="8" t="s">
        <v>120</v>
      </c>
    </row>
    <row r="2" spans="1:10" x14ac:dyDescent="0.25">
      <c r="A2" s="10" t="s">
        <v>18</v>
      </c>
    </row>
    <row r="4" spans="1:10" x14ac:dyDescent="0.25">
      <c r="A4" s="11" t="s">
        <v>0</v>
      </c>
      <c r="B4" s="12" t="s">
        <v>1</v>
      </c>
      <c r="C4" s="12" t="s">
        <v>2</v>
      </c>
      <c r="D4" s="13" t="s">
        <v>3</v>
      </c>
      <c r="E4" s="12" t="s">
        <v>4</v>
      </c>
      <c r="F4" s="12" t="s">
        <v>5</v>
      </c>
      <c r="G4" s="12" t="s">
        <v>6</v>
      </c>
      <c r="H4" s="14" t="s">
        <v>7</v>
      </c>
    </row>
    <row r="5" spans="1:10" x14ac:dyDescent="0.25">
      <c r="A5" s="9" t="str" cm="1">
        <f t="array" ref="A5:H5">_xlfn.XLOOKUP(A2,Database[Book ID],Database[])</f>
        <v>Bronte, Charlotte</v>
      </c>
      <c r="B5" s="9" t="str">
        <v>Jane Eyre</v>
      </c>
      <c r="C5" s="9" t="str">
        <v>FB78236</v>
      </c>
      <c r="D5" s="9">
        <v>1847</v>
      </c>
      <c r="E5" s="9" t="str">
        <v>Fiction</v>
      </c>
      <c r="F5" s="9" t="str">
        <v>Victorian Drama</v>
      </c>
      <c r="G5" s="15">
        <v>21.69</v>
      </c>
      <c r="H5" s="9">
        <v>11</v>
      </c>
      <c r="I5" s="18">
        <f ca="1">IF(ISBLANK(A5),"",IF(_xlfn.ISFORMULA(A5),IF(_xlfn.FORMULATEXT(A5)="=xlookup(a2,Database[Book ID],Database)",1,2)))</f>
        <v>1</v>
      </c>
      <c r="J5" s="7" t="str">
        <f ca="1">IF(I5="","",IF(I5=1,"Perfect!","Hmm…that's not quite what we're looking for."))</f>
        <v>Perfect!</v>
      </c>
    </row>
    <row r="11" spans="1:10" x14ac:dyDescent="0.25">
      <c r="I11" s="16"/>
    </row>
    <row r="13" spans="1:10" x14ac:dyDescent="0.25">
      <c r="A13" s="17"/>
    </row>
  </sheetData>
  <sheetProtection sheet="1" objects="1" scenarios="1" formatCells="0" formatColumns="0" formatRows="0" insertColumns="0" insertRows="0"/>
  <conditionalFormatting sqref="I5">
    <cfRule type="containsBlanks" dxfId="3" priority="1">
      <formula>LEN(TRIM(I5))=0</formula>
    </cfRule>
  </conditionalFormatting>
  <dataValidations count="2">
    <dataValidation type="list" allowBlank="1" showInputMessage="1" showErrorMessage="1" sqref="J2" xr:uid="{EBBAF6E1-D433-4443-B2E0-09E8F1463568}">
      <formula1>INDIRECT("Database[Book ID]")</formula1>
    </dataValidation>
    <dataValidation type="custom" allowBlank="1" showInputMessage="1" showErrorMessage="1" error="Enter a formula here. Formulas begin with an equal sign (=)." sqref="A5" xr:uid="{277B9F37-56CA-402F-9B2C-FF877D3045DD}">
      <formula1>_xlfn.ISFORMULA($A5)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A111CC4-E4F0-854D-98F7-AB799CBCA013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="Select Book ID from dropdown list" xr:uid="{22E24412-60C0-4BCD-BBE5-704A2410AB35}">
          <x14:formula1>
            <xm:f>OFFSET(Database!$C$2,0,0,COUNTA(Database!$C:$C),1)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BEC9-65A6-4EEF-BCA8-19E7A1DE22BA}">
  <dimension ref="A1:J13"/>
  <sheetViews>
    <sheetView workbookViewId="0">
      <selection activeCell="F16" sqref="F16"/>
    </sheetView>
  </sheetViews>
  <sheetFormatPr defaultColWidth="8.85546875" defaultRowHeight="15" x14ac:dyDescent="0.25"/>
  <cols>
    <col min="1" max="1" width="19.28515625" style="9" customWidth="1"/>
    <col min="2" max="2" width="33.42578125" style="9" customWidth="1"/>
    <col min="3" max="3" width="9.140625" style="9"/>
    <col min="4" max="4" width="9.140625" style="22"/>
    <col min="5" max="5" width="14.42578125" style="9" customWidth="1"/>
    <col min="6" max="6" width="16" style="9" customWidth="1"/>
    <col min="7" max="7" width="8.85546875" style="23"/>
    <col min="8" max="16384" width="8.85546875" style="9"/>
  </cols>
  <sheetData>
    <row r="1" spans="1:10" x14ac:dyDescent="0.25">
      <c r="A1" s="8" t="s">
        <v>120</v>
      </c>
    </row>
    <row r="2" spans="1:10" x14ac:dyDescent="0.25">
      <c r="A2" s="10" t="s">
        <v>61</v>
      </c>
    </row>
    <row r="4" spans="1:10" x14ac:dyDescent="0.25">
      <c r="A4" s="11" t="s">
        <v>0</v>
      </c>
      <c r="B4" s="12" t="s">
        <v>1</v>
      </c>
      <c r="C4" s="12" t="s">
        <v>2</v>
      </c>
      <c r="D4" s="21" t="s">
        <v>3</v>
      </c>
      <c r="E4" s="12" t="s">
        <v>4</v>
      </c>
      <c r="F4" s="12" t="s">
        <v>5</v>
      </c>
      <c r="G4" s="24" t="s">
        <v>6</v>
      </c>
      <c r="H4" s="14" t="s">
        <v>7</v>
      </c>
    </row>
    <row r="5" spans="1:10" x14ac:dyDescent="0.25">
      <c r="A5" s="25" t="str" cm="1">
        <f t="array" ref="A5:H5">_xlfn.XLOOKUP(A2,Database[Book ID],Database[])</f>
        <v>Blagdanovich, Joshua</v>
      </c>
      <c r="B5" s="25" t="str">
        <v>The Life and Times of Henry Keiser</v>
      </c>
      <c r="C5" s="25" t="str">
        <v>NB89632</v>
      </c>
      <c r="D5" s="26">
        <v>1993</v>
      </c>
      <c r="E5" s="25" t="str">
        <v>Non-Fiction</v>
      </c>
      <c r="F5" s="25" t="str">
        <v>Autobiography</v>
      </c>
      <c r="G5" s="27">
        <v>33.590000000000003</v>
      </c>
      <c r="H5" s="25">
        <v>14</v>
      </c>
      <c r="I5" s="18"/>
      <c r="J5" s="7"/>
    </row>
    <row r="11" spans="1:10" x14ac:dyDescent="0.25">
      <c r="I11" s="16"/>
    </row>
    <row r="13" spans="1:10" x14ac:dyDescent="0.25">
      <c r="A13" s="17"/>
    </row>
  </sheetData>
  <conditionalFormatting sqref="I5">
    <cfRule type="containsBlanks" dxfId="2" priority="1">
      <formula>LEN(TRIM(I5))=0</formula>
    </cfRule>
  </conditionalFormatting>
  <dataValidations count="3">
    <dataValidation type="list" allowBlank="1" showInputMessage="1" showErrorMessage="1" sqref="J2" xr:uid="{752018C7-99FB-420B-86E7-401714400D59}">
      <formula1>INDIRECT("Database[Book ID]")</formula1>
    </dataValidation>
    <dataValidation type="custom" allowBlank="1" showInputMessage="1" showErrorMessage="1" error="Enter a formula here. Formulas begin with an equal sign (=)." sqref="B10" xr:uid="{AB2B92FC-D804-4B9A-917C-C3B5C1B89F6B}">
      <formula1>_xlfn.ISFORMULA($B10)</formula1>
    </dataValidation>
    <dataValidation allowBlank="1" showInputMessage="1" sqref="A5" xr:uid="{E93A9D10-2A4D-4EFB-9C31-30AA0A88356A}"/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002812AC-8CFD-4DDF-8C9B-38085F2104A1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Symbols2" iconId="2"/>
              <x14:cfIcon iconSet="3Symbols2" iconId="0"/>
            </x14:iconSet>
          </x14:cfRule>
          <xm:sqref>I5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prompt="Select Book ID from dropdown list" xr:uid="{564135E5-4628-493D-B8C4-492331085CF8}">
          <x14:formula1>
            <xm:f>Database!$C$2:$C$34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Query Solution</vt:lpstr>
      <vt:lpstr>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Buckley</dc:creator>
  <cp:keywords/>
  <dc:description/>
  <cp:lastModifiedBy>Тарас Андрійович Осипчук</cp:lastModifiedBy>
  <cp:revision/>
  <dcterms:created xsi:type="dcterms:W3CDTF">2021-05-04T19:51:09Z</dcterms:created>
  <dcterms:modified xsi:type="dcterms:W3CDTF">2026-06-23T18:17:54Z</dcterms:modified>
  <cp:category/>
  <cp:contentStatus/>
</cp:coreProperties>
</file>