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esktop\Excel_Practice-main\46+ExcelChallenges_from_Goskills\44-Challenge_DynamicFilteringAndSorting\"/>
    </mc:Choice>
  </mc:AlternateContent>
  <xr:revisionPtr revIDLastSave="0" documentId="13_ncr:1_{F5E07E84-6D67-4F57-9DB9-0C22CD6E8A7C}" xr6:coauthVersionLast="47" xr6:coauthVersionMax="47" xr10:uidLastSave="{00000000-0000-0000-0000-000000000000}"/>
  <bookViews>
    <workbookView xWindow="-120" yWindow="-120" windowWidth="29040" windowHeight="15720" xr2:uid="{FAE50187-7233-4003-8221-33A5D33BB14F}"/>
  </bookViews>
  <sheets>
    <sheet name="Challenge 44" sheetId="1" r:id="rId1"/>
  </sheets>
  <definedNames>
    <definedName name="_xlnm.Print_Area" localSheetId="0">'Challenge 44'!$A$1:$K$50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6" i="1" l="1" a="1"/>
  <c r="C46" i="1" s="1"/>
  <c r="B46" i="1"/>
  <c r="F43" i="1"/>
  <c r="F34" i="1"/>
  <c r="F35" i="1"/>
  <c r="F36" i="1"/>
  <c r="F37" i="1"/>
  <c r="F38" i="1"/>
  <c r="F39" i="1"/>
  <c r="F40" i="1"/>
  <c r="F41" i="1"/>
  <c r="F42" i="1"/>
  <c r="F33" i="1"/>
  <c r="F23" i="1"/>
  <c r="F28" i="1"/>
  <c r="F24" i="1"/>
  <c r="F25" i="1"/>
  <c r="F26" i="1"/>
  <c r="F2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<sst xmlns="http://schemas.openxmlformats.org/spreadsheetml/2006/main" count="70" uniqueCount="63">
  <si>
    <t>EMPLOYEE PERFORMANCE APPRAISAL</t>
  </si>
  <si>
    <t>EMPLOYEE'S NAME</t>
  </si>
  <si>
    <t>Nancy Drew</t>
  </si>
  <si>
    <t>JOB TITLE</t>
  </si>
  <si>
    <t>DEPARTMENT</t>
  </si>
  <si>
    <t>DATE EMPLOYED</t>
  </si>
  <si>
    <t>SUPERVISOR’S NAME</t>
  </si>
  <si>
    <t>MANAGER'S NAME</t>
  </si>
  <si>
    <t>APPRAISAL PERIOD</t>
  </si>
  <si>
    <t>DATE OF APPRAISAL</t>
  </si>
  <si>
    <t>Scoring Guide</t>
  </si>
  <si>
    <t>PERFORMANCE LEVEL</t>
  </si>
  <si>
    <t>EVALUATION</t>
  </si>
  <si>
    <t>DESCRIPTION</t>
  </si>
  <si>
    <t>Score</t>
  </si>
  <si>
    <t>Percentage</t>
  </si>
  <si>
    <t>EXCEPTIONAL</t>
  </si>
  <si>
    <t>90% - 100%</t>
  </si>
  <si>
    <t>Exceptional performance that significantly surpasses established standards. Demonstrates an exceptional breadth of job knowledge across all areas of responsibility.</t>
  </si>
  <si>
    <t>FULLY AND CONSISTENTLY MEETS REQUIREMENTS</t>
  </si>
  <si>
    <t>71% - 89%</t>
  </si>
  <si>
    <t>Outstanding performance that fully and consistently meets expectations. Exhibits a high level of expertise in all facets of the role.</t>
  </si>
  <si>
    <t>SATISFACTORY</t>
  </si>
  <si>
    <t>51% - 70%</t>
  </si>
  <si>
    <t>Consistently meets standards and job requirements, demonstrating a strong level of expertise in most aspects of the role.</t>
  </si>
  <si>
    <t>NEEDS IMPROVEMENT</t>
  </si>
  <si>
    <t>31% - 50%</t>
  </si>
  <si>
    <t>Exhibits a moderate level of job knowledge in certain areas, with room for improvement to achieve or exceed satisfactory performance</t>
  </si>
  <si>
    <t>UNSATISFACTORY</t>
  </si>
  <si>
    <t>0% - 30%</t>
  </si>
  <si>
    <t>Performance is inconsistent. Does not meet the requirements of the job.</t>
  </si>
  <si>
    <t>SECTION A - Quantifiable Performance Objectives (40% of Overall Score)</t>
  </si>
  <si>
    <t>Key Performance Indicators</t>
  </si>
  <si>
    <t>Weight</t>
  </si>
  <si>
    <t>Self-Assessment Rating</t>
  </si>
  <si>
    <t>Other Assessor's Rating</t>
  </si>
  <si>
    <t>Manager's Rating</t>
  </si>
  <si>
    <t>Comments</t>
  </si>
  <si>
    <t xml:space="preserve">Generate registration links for all training sessions </t>
  </si>
  <si>
    <t>Process invoices and confirm payments for training participants prior to training session.</t>
  </si>
  <si>
    <t>Distribute evaluation forms to training attendees within 24 hours of the session.</t>
  </si>
  <si>
    <t>Audit and reconcile all training records.</t>
  </si>
  <si>
    <t>Maintain a 90% satisfaction rating in quarterly surveys from training participants regarding the registration and payment process.</t>
  </si>
  <si>
    <t>Total Score for Quantifiable Objectives</t>
  </si>
  <si>
    <t>SECTION B - Core Competencies (60% of Overall Score)</t>
  </si>
  <si>
    <t>Criteria</t>
  </si>
  <si>
    <t>Job Knowledge - Skills</t>
  </si>
  <si>
    <t>Quality of Work - Accuracy</t>
  </si>
  <si>
    <t>Quantity of Work - Productivity</t>
  </si>
  <si>
    <t>Communication</t>
  </si>
  <si>
    <t>Initiative</t>
  </si>
  <si>
    <t>Judgment</t>
  </si>
  <si>
    <t>Self Development</t>
  </si>
  <si>
    <t>Results Orientation</t>
  </si>
  <si>
    <t>Interpersonal Relations</t>
  </si>
  <si>
    <t>Leadership (use if the appraisee is a leader)</t>
  </si>
  <si>
    <t>Total Score for Core Competencies</t>
  </si>
  <si>
    <t>Employee's overall comments:</t>
  </si>
  <si>
    <t>Manager's overall comments:</t>
  </si>
  <si>
    <t>OVERALL SCORE</t>
  </si>
  <si>
    <t>Employee's Name &amp; Signature</t>
  </si>
  <si>
    <t>Date Discussed</t>
  </si>
  <si>
    <t>Manager's Name &amp; 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</si>
</sst>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Arial"/>
      <family val="2"/>
    </font>
    <font>
      <sz val="14"/>
      <color theme="1"/>
      <name val="Arial"/>
      <family val="2"/>
    </font>
    <font>
      <b/>
      <sz val="12"/>
      <color theme="1"/>
      <name val="Arial"/>
      <family val="2"/>
    </font>
    <font>
      <b/>
      <sz val="10"/>
      <color rgb="FFFFFFFF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6209C"/>
        <bgColor indexed="64"/>
      </patternFill>
    </fill>
    <fill>
      <patternFill patternType="solid">
        <fgColor theme="4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2" fillId="0" borderId="0" xfId="0" applyFont="1" applyAlignment="1" applyProtection="1">
      <alignment horizontal="centerContinuous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6" fillId="2" borderId="10" xfId="0" applyFont="1" applyFill="1" applyBorder="1" applyAlignment="1" applyProtection="1">
      <alignment horizontal="center" vertical="center" wrapText="1"/>
      <protection locked="0"/>
    </xf>
    <xf numFmtId="0" fontId="6" fillId="2" borderId="11" xfId="0" applyFont="1" applyFill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10" fillId="0" borderId="12" xfId="0" applyFont="1" applyBorder="1" applyProtection="1">
      <protection locked="0"/>
    </xf>
    <xf numFmtId="0" fontId="10" fillId="0" borderId="13" xfId="0" applyFont="1" applyBorder="1" applyAlignment="1" applyProtection="1">
      <alignment horizontal="center" vertical="center" wrapText="1"/>
      <protection locked="0"/>
    </xf>
    <xf numFmtId="0" fontId="11" fillId="0" borderId="0" xfId="0" applyFont="1" applyProtection="1">
      <protection locked="0"/>
    </xf>
    <xf numFmtId="0" fontId="11" fillId="0" borderId="17" xfId="0" applyFont="1" applyBorder="1" applyAlignment="1" applyProtection="1">
      <alignment wrapText="1"/>
      <protection locked="0"/>
    </xf>
    <xf numFmtId="9" fontId="11" fillId="0" borderId="17" xfId="0" applyNumberFormat="1" applyFont="1" applyBorder="1" applyAlignment="1" applyProtection="1">
      <alignment horizontal="center"/>
      <protection locked="0"/>
    </xf>
    <xf numFmtId="0" fontId="11" fillId="0" borderId="17" xfId="0" applyFont="1" applyBorder="1" applyAlignment="1" applyProtection="1">
      <alignment horizontal="center"/>
      <protection locked="0"/>
    </xf>
    <xf numFmtId="9" fontId="11" fillId="0" borderId="17" xfId="1" applyFont="1" applyFill="1" applyBorder="1" applyAlignment="1" applyProtection="1">
      <alignment horizontal="center"/>
      <protection locked="0"/>
    </xf>
    <xf numFmtId="0" fontId="11" fillId="0" borderId="1" xfId="0" applyFont="1" applyBorder="1" applyAlignment="1" applyProtection="1">
      <alignment wrapText="1"/>
      <protection locked="0"/>
    </xf>
    <xf numFmtId="9" fontId="11" fillId="0" borderId="1" xfId="0" applyNumberFormat="1" applyFont="1" applyBorder="1" applyAlignment="1" applyProtection="1">
      <alignment horizontal="center"/>
      <protection locked="0"/>
    </xf>
    <xf numFmtId="0" fontId="11" fillId="0" borderId="1" xfId="0" applyFont="1" applyBorder="1" applyAlignment="1" applyProtection="1">
      <alignment horizontal="center"/>
      <protection locked="0"/>
    </xf>
    <xf numFmtId="9" fontId="12" fillId="3" borderId="2" xfId="0" applyNumberFormat="1" applyFont="1" applyFill="1" applyBorder="1" applyAlignment="1" applyProtection="1">
      <alignment horizontal="center"/>
      <protection locked="0"/>
    </xf>
    <xf numFmtId="0" fontId="12" fillId="0" borderId="0" xfId="0" applyFont="1" applyAlignment="1" applyProtection="1">
      <alignment horizontal="left" wrapText="1"/>
      <protection locked="0"/>
    </xf>
    <xf numFmtId="9" fontId="12" fillId="0" borderId="0" xfId="0" applyNumberFormat="1" applyFont="1" applyAlignment="1" applyProtection="1">
      <alignment horizontal="center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wrapText="1"/>
      <protection locked="0"/>
    </xf>
    <xf numFmtId="0" fontId="11" fillId="0" borderId="0" xfId="0" applyFont="1" applyAlignment="1" applyProtection="1">
      <alignment horizontal="center"/>
      <protection locked="0"/>
    </xf>
    <xf numFmtId="0" fontId="0" fillId="0" borderId="0" xfId="0" applyAlignment="1" applyProtection="1">
      <alignment wrapText="1"/>
      <protection locked="0"/>
    </xf>
    <xf numFmtId="0" fontId="12" fillId="0" borderId="12" xfId="0" applyFont="1" applyBorder="1" applyProtection="1">
      <protection locked="0"/>
    </xf>
    <xf numFmtId="0" fontId="12" fillId="0" borderId="13" xfId="0" applyFont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vertical="center" wrapText="1"/>
      <protection locked="0"/>
    </xf>
    <xf numFmtId="0" fontId="13" fillId="0" borderId="17" xfId="0" applyFont="1" applyBorder="1" applyAlignment="1" applyProtection="1">
      <alignment wrapText="1"/>
      <protection locked="0"/>
    </xf>
    <xf numFmtId="9" fontId="12" fillId="3" borderId="2" xfId="1" applyFont="1" applyFill="1" applyBorder="1" applyAlignment="1" applyProtection="1">
      <alignment horizontal="center"/>
      <protection locked="0"/>
    </xf>
    <xf numFmtId="0" fontId="14" fillId="2" borderId="17" xfId="0" applyFont="1" applyFill="1" applyBorder="1" applyAlignment="1" applyProtection="1">
      <alignment wrapText="1"/>
      <protection locked="0"/>
    </xf>
    <xf numFmtId="9" fontId="14" fillId="2" borderId="17" xfId="0" applyNumberFormat="1" applyFont="1" applyFill="1" applyBorder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16" fillId="0" borderId="0" xfId="0" applyFont="1" applyProtection="1">
      <protection locked="0"/>
    </xf>
    <xf numFmtId="0" fontId="17" fillId="0" borderId="0" xfId="0" applyFont="1" applyProtection="1">
      <protection locked="0"/>
    </xf>
    <xf numFmtId="0" fontId="17" fillId="0" borderId="0" xfId="0" applyFont="1"/>
    <xf numFmtId="0" fontId="18" fillId="0" borderId="0" xfId="0" applyFont="1" applyProtection="1">
      <protection locked="0"/>
    </xf>
    <xf numFmtId="0" fontId="14" fillId="2" borderId="19" xfId="0" applyFont="1" applyFill="1" applyBorder="1" applyAlignment="1" applyProtection="1">
      <alignment horizontal="left"/>
      <protection locked="0"/>
    </xf>
    <xf numFmtId="0" fontId="14" fillId="2" borderId="20" xfId="0" applyFont="1" applyFill="1" applyBorder="1" applyAlignment="1" applyProtection="1">
      <alignment horizontal="left"/>
      <protection locked="0"/>
    </xf>
    <xf numFmtId="0" fontId="14" fillId="2" borderId="21" xfId="0" applyFont="1" applyFill="1" applyBorder="1" applyAlignment="1" applyProtection="1">
      <alignment horizontal="left"/>
      <protection locked="0"/>
    </xf>
    <xf numFmtId="0" fontId="15" fillId="2" borderId="22" xfId="0" applyFont="1" applyFill="1" applyBorder="1" applyAlignment="1" applyProtection="1">
      <alignment horizontal="center"/>
      <protection locked="0"/>
    </xf>
    <xf numFmtId="0" fontId="15" fillId="2" borderId="0" xfId="0" applyFont="1" applyFill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 wrapText="1"/>
      <protection locked="0"/>
    </xf>
    <xf numFmtId="0" fontId="12" fillId="3" borderId="2" xfId="0" applyFont="1" applyFill="1" applyBorder="1" applyAlignment="1" applyProtection="1">
      <alignment horizontal="left" wrapText="1"/>
      <protection locked="0"/>
    </xf>
    <xf numFmtId="0" fontId="12" fillId="3" borderId="3" xfId="0" applyFont="1" applyFill="1" applyBorder="1" applyAlignment="1" applyProtection="1">
      <alignment horizontal="left" wrapText="1"/>
      <protection locked="0"/>
    </xf>
    <xf numFmtId="0" fontId="12" fillId="3" borderId="4" xfId="0" applyFont="1" applyFill="1" applyBorder="1" applyAlignment="1" applyProtection="1">
      <alignment horizontal="left" wrapText="1"/>
      <protection locked="0"/>
    </xf>
    <xf numFmtId="10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9" fontId="11" fillId="0" borderId="1" xfId="0" applyNumberFormat="1" applyFont="1" applyBorder="1" applyAlignment="1" applyProtection="1">
      <alignment horizontal="center"/>
      <protection locked="0"/>
    </xf>
    <xf numFmtId="0" fontId="11" fillId="0" borderId="1" xfId="0" applyFont="1" applyBorder="1" applyAlignment="1" applyProtection="1">
      <alignment horizontal="center"/>
      <protection locked="0"/>
    </xf>
    <xf numFmtId="0" fontId="11" fillId="3" borderId="1" xfId="0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horizontal="center" vertical="center" wrapText="1"/>
      <protection locked="0"/>
    </xf>
    <xf numFmtId="0" fontId="12" fillId="0" borderId="13" xfId="0" applyFont="1" applyBorder="1" applyAlignment="1" applyProtection="1">
      <alignment horizontal="center" vertical="center" wrapText="1"/>
      <protection locked="0"/>
    </xf>
    <xf numFmtId="0" fontId="12" fillId="0" borderId="18" xfId="0" applyFont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wrapText="1"/>
      <protection locked="0"/>
    </xf>
    <xf numFmtId="0" fontId="10" fillId="0" borderId="14" xfId="0" applyFont="1" applyBorder="1" applyAlignment="1" applyProtection="1">
      <alignment horizontal="center" vertical="center" wrapText="1"/>
      <protection locked="0"/>
    </xf>
    <xf numFmtId="0" fontId="10" fillId="0" borderId="15" xfId="0" applyFont="1" applyBorder="1" applyAlignment="1" applyProtection="1">
      <alignment horizontal="center" vertical="center" wrapText="1"/>
      <protection locked="0"/>
    </xf>
    <xf numFmtId="0" fontId="10" fillId="0" borderId="16" xfId="0" applyFont="1" applyBorder="1" applyAlignment="1" applyProtection="1">
      <alignment horizontal="center" vertical="center" wrapText="1"/>
      <protection locked="0"/>
    </xf>
    <xf numFmtId="0" fontId="11" fillId="0" borderId="17" xfId="0" applyFont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8" fillId="0" borderId="2" xfId="0" applyFont="1" applyBorder="1" applyAlignment="1" applyProtection="1">
      <alignment horizontal="left" vertical="center" wrapText="1"/>
      <protection locked="0"/>
    </xf>
    <xf numFmtId="0" fontId="8" fillId="0" borderId="3" xfId="0" applyFont="1" applyBorder="1" applyAlignment="1" applyProtection="1">
      <alignment horizontal="left" vertical="center" wrapText="1"/>
      <protection locked="0"/>
    </xf>
    <xf numFmtId="0" fontId="8" fillId="0" borderId="4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4" fillId="0" borderId="3" xfId="0" applyFont="1" applyBorder="1" applyAlignment="1" applyProtection="1">
      <alignment horizontal="left" vertical="center" wrapText="1"/>
      <protection locked="0"/>
    </xf>
    <xf numFmtId="0" fontId="4" fillId="0" borderId="4" xfId="0" applyFont="1" applyBorder="1" applyAlignment="1" applyProtection="1">
      <alignment horizontal="left" vertical="center" wrapText="1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6" fillId="2" borderId="5" xfId="0" applyFont="1" applyFill="1" applyBorder="1" applyAlignment="1" applyProtection="1">
      <alignment horizontal="center" vertical="center" wrapText="1"/>
      <protection locked="0"/>
    </xf>
    <xf numFmtId="0" fontId="6" fillId="2" borderId="9" xfId="0" applyFont="1" applyFill="1" applyBorder="1" applyAlignment="1" applyProtection="1">
      <alignment horizontal="center" vertical="center" wrapText="1"/>
      <protection locked="0"/>
    </xf>
    <xf numFmtId="0" fontId="6" fillId="2" borderId="6" xfId="0" applyFont="1" applyFill="1" applyBorder="1" applyAlignment="1" applyProtection="1">
      <alignment horizontal="center" vertical="center" wrapText="1"/>
      <protection locked="0"/>
    </xf>
    <xf numFmtId="0" fontId="6" fillId="2" borderId="7" xfId="0" applyFont="1" applyFill="1" applyBorder="1" applyAlignment="1" applyProtection="1">
      <alignment horizontal="center" vertical="center" wrapText="1"/>
      <protection locked="0"/>
    </xf>
    <xf numFmtId="0" fontId="6" fillId="2" borderId="8" xfId="0" applyFont="1" applyFill="1" applyBorder="1" applyAlignment="1" applyProtection="1">
      <alignment horizontal="center" vertical="center" wrapText="1"/>
      <protection locked="0"/>
    </xf>
    <xf numFmtId="0" fontId="6" fillId="2" borderId="0" xfId="0" applyFont="1" applyFill="1" applyAlignment="1" applyProtection="1">
      <alignment horizontal="center" vertical="center" wrapText="1"/>
      <protection locked="0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'Challenge 44'!$C$32</c:f>
              <c:strCache>
                <c:ptCount val="1"/>
                <c:pt idx="0">
                  <c:v>Self-Assessment Rating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'Challenge 44'!$A$33:$A$42</c:f>
              <c:strCache>
                <c:ptCount val="10"/>
                <c:pt idx="0">
                  <c:v>Job Knowledge - Skills</c:v>
                </c:pt>
                <c:pt idx="1">
                  <c:v>Quality of Work - Accuracy</c:v>
                </c:pt>
                <c:pt idx="2">
                  <c:v>Quantity of Work - Productivity</c:v>
                </c:pt>
                <c:pt idx="3">
                  <c:v>Communication</c:v>
                </c:pt>
                <c:pt idx="4">
                  <c:v>Initiative</c:v>
                </c:pt>
                <c:pt idx="5">
                  <c:v>Judgment</c:v>
                </c:pt>
                <c:pt idx="6">
                  <c:v>Self Development</c:v>
                </c:pt>
                <c:pt idx="7">
                  <c:v>Results Orientation</c:v>
                </c:pt>
                <c:pt idx="8">
                  <c:v>Interpersonal Relations</c:v>
                </c:pt>
                <c:pt idx="9">
                  <c:v>Leadership (use if the appraisee is a leader)</c:v>
                </c:pt>
              </c:strCache>
            </c:strRef>
          </c:cat>
          <c:val>
            <c:numRef>
              <c:f>'Challenge 44'!$C$33:$C$42</c:f>
              <c:numCache>
                <c:formatCode>General</c:formatCode>
                <c:ptCount val="10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85-47F1-AE77-675B1B88E74C}"/>
            </c:ext>
          </c:extLst>
        </c:ser>
        <c:ser>
          <c:idx val="1"/>
          <c:order val="1"/>
          <c:tx>
            <c:strRef>
              <c:f>'Challenge 44'!$E$32</c:f>
              <c:strCache>
                <c:ptCount val="1"/>
                <c:pt idx="0">
                  <c:v>Manager's Rating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'Challenge 44'!$A$33:$A$42</c:f>
              <c:strCache>
                <c:ptCount val="10"/>
                <c:pt idx="0">
                  <c:v>Job Knowledge - Skills</c:v>
                </c:pt>
                <c:pt idx="1">
                  <c:v>Quality of Work - Accuracy</c:v>
                </c:pt>
                <c:pt idx="2">
                  <c:v>Quantity of Work - Productivity</c:v>
                </c:pt>
                <c:pt idx="3">
                  <c:v>Communication</c:v>
                </c:pt>
                <c:pt idx="4">
                  <c:v>Initiative</c:v>
                </c:pt>
                <c:pt idx="5">
                  <c:v>Judgment</c:v>
                </c:pt>
                <c:pt idx="6">
                  <c:v>Self Development</c:v>
                </c:pt>
                <c:pt idx="7">
                  <c:v>Results Orientation</c:v>
                </c:pt>
                <c:pt idx="8">
                  <c:v>Interpersonal Relations</c:v>
                </c:pt>
                <c:pt idx="9">
                  <c:v>Leadership (use if the appraisee is a leader)</c:v>
                </c:pt>
              </c:strCache>
            </c:strRef>
          </c:cat>
          <c:val>
            <c:numRef>
              <c:f>'Challenge 44'!$E$33:$E$42</c:f>
              <c:numCache>
                <c:formatCode>General</c:formatCode>
                <c:ptCount val="10"/>
                <c:pt idx="0">
                  <c:v>4</c:v>
                </c:pt>
                <c:pt idx="1">
                  <c:v>4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85-47F1-AE77-675B1B88E7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8530191"/>
        <c:axId val="1198535471"/>
      </c:radarChart>
      <c:catAx>
        <c:axId val="119853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535471"/>
        <c:crosses val="autoZero"/>
        <c:auto val="1"/>
        <c:lblAlgn val="ctr"/>
        <c:lblOffset val="100"/>
        <c:noMultiLvlLbl val="0"/>
      </c:catAx>
      <c:valAx>
        <c:axId val="1198535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530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439269</xdr:colOff>
      <xdr:row>2</xdr:row>
      <xdr:rowOff>125505</xdr:rowOff>
    </xdr:from>
    <xdr:to>
      <xdr:col>21</xdr:col>
      <xdr:colOff>493058</xdr:colOff>
      <xdr:row>20</xdr:row>
      <xdr:rowOff>116541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B4CD033B-BB1C-4DEB-9199-27AD1391AD7F}"/>
            </a:ext>
          </a:extLst>
        </xdr:cNvPr>
        <xdr:cNvSpPr/>
      </xdr:nvSpPr>
      <xdr:spPr>
        <a:xfrm>
          <a:off x="10327340" y="573740"/>
          <a:ext cx="6149789" cy="524435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spcAft>
              <a:spcPts val="600"/>
            </a:spcAft>
          </a:pPr>
          <a:r>
            <a:rPr lang="en-CA" sz="1600" b="1">
              <a:solidFill>
                <a:schemeClr val="accent4"/>
              </a:solidFill>
            </a:rPr>
            <a:t>TASKS:</a:t>
          </a:r>
        </a:p>
        <a:p>
          <a:pPr algn="l">
            <a:spcAft>
              <a:spcPts val="600"/>
            </a:spcAft>
          </a:pPr>
          <a:endParaRPr lang="en-CA" sz="1400" b="1"/>
        </a:p>
        <a:p>
          <a:pPr algn="l">
            <a:spcAft>
              <a:spcPts val="600"/>
            </a:spcAft>
          </a:pPr>
          <a:r>
            <a:rPr lang="en-CA" sz="1400" b="0">
              <a:latin typeface="Arial" panose="020B0604020202020204" pitchFamily="34" charset="0"/>
              <a:cs typeface="Arial" panose="020B0604020202020204" pitchFamily="34" charset="0"/>
            </a:rPr>
            <a:t>1. Write</a:t>
          </a:r>
          <a:r>
            <a:rPr lang="en-CA" sz="1400" b="0" baseline="0">
              <a:latin typeface="Arial" panose="020B0604020202020204" pitchFamily="34" charset="0"/>
              <a:cs typeface="Arial" panose="020B0604020202020204" pitchFamily="34" charset="0"/>
            </a:rPr>
            <a:t> a formula in column F that totals the values in columns C, D, and E to give a maximum value of  20% for each row in Section A.</a:t>
          </a:r>
        </a:p>
        <a:p>
          <a:pPr algn="l">
            <a:spcAft>
              <a:spcPts val="800"/>
            </a:spcAft>
          </a:pPr>
          <a:r>
            <a:rPr lang="en-CA" sz="1400" b="0" baseline="0">
              <a:latin typeface="Arial" panose="020B0604020202020204" pitchFamily="34" charset="0"/>
              <a:cs typeface="Arial" panose="020B0604020202020204" pitchFamily="34" charset="0"/>
            </a:rPr>
            <a:t>2. Write a formula in column F that totals the values in columns C, D, and E to give a maximum value of 10% for each row in Section B. Ensure that the formula for the Section B total is still correct if there is no "Leadership" score.</a:t>
          </a:r>
        </a:p>
        <a:p>
          <a:pPr algn="l">
            <a:spcAft>
              <a:spcPts val="600"/>
            </a:spcAft>
          </a:pPr>
          <a:r>
            <a:rPr lang="en-CA" sz="1400" b="0" baseline="0">
              <a:latin typeface="Arial" panose="020B0604020202020204" pitchFamily="34" charset="0"/>
              <a:cs typeface="Arial" panose="020B0604020202020204" pitchFamily="34" charset="0"/>
            </a:rPr>
            <a:t>3. The formulas in column F should be written so that they omit column D if there is no value.</a:t>
          </a:r>
        </a:p>
        <a:p>
          <a:pPr algn="l">
            <a:spcAft>
              <a:spcPts val="600"/>
            </a:spcAft>
          </a:pPr>
          <a:r>
            <a:rPr lang="en-CA" sz="1400" b="0" baseline="0">
              <a:latin typeface="Arial" panose="020B0604020202020204" pitchFamily="34" charset="0"/>
              <a:cs typeface="Arial" panose="020B0604020202020204" pitchFamily="34" charset="0"/>
            </a:rPr>
            <a:t>4. The "Overall Score" in row 46 should be based on the totals of Sections A and B, with section A carrying a weight of 40%, and section B - 60%, accompanied by a phrase that corresponds to the score they’ve earned, based on the scoring guide at the top of the sheet.</a:t>
          </a:r>
        </a:p>
        <a:p>
          <a:pPr algn="l">
            <a:spcAft>
              <a:spcPts val="600"/>
            </a:spcAft>
          </a:pPr>
          <a:r>
            <a:rPr lang="en-CA" sz="1400" b="0" baseline="0">
              <a:latin typeface="Arial" panose="020B0604020202020204" pitchFamily="34" charset="0"/>
              <a:cs typeface="Arial" panose="020B0604020202020204" pitchFamily="34" charset="0"/>
            </a:rPr>
            <a:t>5. Use the scores in Section B to generate a radar chart, where the title shows “Core Competencies” and the name of the employee entered in cell B3.</a:t>
          </a:r>
          <a:endParaRPr lang="en-CA" sz="1400" b="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324970</xdr:colOff>
      <xdr:row>27</xdr:row>
      <xdr:rowOff>169209</xdr:rowOff>
    </xdr:from>
    <xdr:to>
      <xdr:col>21</xdr:col>
      <xdr:colOff>162485</xdr:colOff>
      <xdr:row>39</xdr:row>
      <xdr:rowOff>280147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2EA251-3E09-625B-4097-9A6B17CF32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32B76-9EAF-4B93-931D-9C27BA6A2357}">
  <dimension ref="A1:V50"/>
  <sheetViews>
    <sheetView showGridLines="0" tabSelected="1" topLeftCell="A26" zoomScale="85" zoomScaleNormal="85" zoomScaleSheetLayoutView="85" workbookViewId="0">
      <selection activeCell="U26" sqref="U26"/>
    </sheetView>
  </sheetViews>
  <sheetFormatPr defaultColWidth="8.85546875" defaultRowHeight="15" x14ac:dyDescent="0.25"/>
  <cols>
    <col min="1" max="1" width="34.7109375" style="2" customWidth="1"/>
    <col min="2" max="2" width="11.7109375" style="3" customWidth="1"/>
    <col min="3" max="3" width="16.28515625" style="2" customWidth="1"/>
    <col min="4" max="4" width="15.28515625" style="2" customWidth="1"/>
    <col min="5" max="5" width="14.7109375" style="2" customWidth="1"/>
    <col min="6" max="6" width="11.85546875" style="2" customWidth="1"/>
    <col min="7" max="10" width="7.7109375" style="2" customWidth="1"/>
    <col min="11" max="11" width="8.85546875" style="2"/>
    <col min="12" max="22" width="8.85546875" style="35"/>
    <col min="23" max="16384" width="8.85546875" style="2"/>
  </cols>
  <sheetData>
    <row r="1" spans="1:13" ht="2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3" ht="18.600000000000001" customHeight="1" x14ac:dyDescent="0.25">
      <c r="A3" s="4" t="s">
        <v>1</v>
      </c>
      <c r="B3" s="64" t="s">
        <v>2</v>
      </c>
      <c r="C3" s="65"/>
      <c r="D3" s="65"/>
      <c r="E3" s="65"/>
      <c r="F3" s="65"/>
      <c r="G3" s="65"/>
      <c r="H3" s="65"/>
      <c r="I3" s="65"/>
      <c r="J3" s="65"/>
      <c r="K3" s="66"/>
      <c r="M3" s="36"/>
    </row>
    <row r="4" spans="1:13" ht="18.600000000000001" customHeight="1" x14ac:dyDescent="0.25">
      <c r="A4" s="4" t="s">
        <v>3</v>
      </c>
      <c r="B4" s="64"/>
      <c r="C4" s="65"/>
      <c r="D4" s="65"/>
      <c r="E4" s="65"/>
      <c r="F4" s="65"/>
      <c r="G4" s="65"/>
      <c r="H4" s="65"/>
      <c r="I4" s="65"/>
      <c r="J4" s="65"/>
      <c r="K4" s="66"/>
    </row>
    <row r="5" spans="1:13" ht="18.600000000000001" customHeight="1" x14ac:dyDescent="0.25">
      <c r="A5" s="4" t="s">
        <v>4</v>
      </c>
      <c r="B5" s="64"/>
      <c r="C5" s="65"/>
      <c r="D5" s="65"/>
      <c r="E5" s="65"/>
      <c r="F5" s="65"/>
      <c r="G5" s="65"/>
      <c r="H5" s="65"/>
      <c r="I5" s="65"/>
      <c r="J5" s="65"/>
      <c r="K5" s="66"/>
    </row>
    <row r="6" spans="1:13" ht="18.600000000000001" customHeight="1" x14ac:dyDescent="0.25">
      <c r="A6" s="4" t="s">
        <v>5</v>
      </c>
      <c r="B6" s="64"/>
      <c r="C6" s="65"/>
      <c r="D6" s="65"/>
      <c r="E6" s="65"/>
      <c r="F6" s="65"/>
      <c r="G6" s="65"/>
      <c r="H6" s="65"/>
      <c r="I6" s="65"/>
      <c r="J6" s="65"/>
      <c r="K6" s="66"/>
    </row>
    <row r="7" spans="1:13" ht="18.600000000000001" customHeight="1" x14ac:dyDescent="0.25">
      <c r="A7" s="4" t="s">
        <v>6</v>
      </c>
      <c r="B7" s="64"/>
      <c r="C7" s="65"/>
      <c r="D7" s="65"/>
      <c r="E7" s="65"/>
      <c r="F7" s="65"/>
      <c r="G7" s="65"/>
      <c r="H7" s="65"/>
      <c r="I7" s="65"/>
      <c r="J7" s="65"/>
      <c r="K7" s="66"/>
    </row>
    <row r="8" spans="1:13" ht="18.600000000000001" customHeight="1" x14ac:dyDescent="0.25">
      <c r="A8" s="4" t="s">
        <v>7</v>
      </c>
      <c r="B8" s="64"/>
      <c r="C8" s="65"/>
      <c r="D8" s="65"/>
      <c r="E8" s="65"/>
      <c r="F8" s="65"/>
      <c r="G8" s="65"/>
      <c r="H8" s="65"/>
      <c r="I8" s="65"/>
      <c r="J8" s="65"/>
      <c r="K8" s="66"/>
    </row>
    <row r="9" spans="1:13" ht="18.600000000000001" customHeight="1" x14ac:dyDescent="0.25">
      <c r="A9" s="4" t="s">
        <v>8</v>
      </c>
      <c r="B9" s="64"/>
      <c r="C9" s="65"/>
      <c r="D9" s="65"/>
      <c r="E9" s="65"/>
      <c r="F9" s="65"/>
      <c r="G9" s="65"/>
      <c r="H9" s="65"/>
      <c r="I9" s="65"/>
      <c r="J9" s="65"/>
      <c r="K9" s="66"/>
    </row>
    <row r="10" spans="1:13" ht="18.600000000000001" customHeight="1" x14ac:dyDescent="0.25">
      <c r="A10" s="4" t="s">
        <v>9</v>
      </c>
      <c r="B10" s="64"/>
      <c r="C10" s="65"/>
      <c r="D10" s="65"/>
      <c r="E10" s="65"/>
      <c r="F10" s="65"/>
      <c r="G10" s="65"/>
      <c r="H10" s="65"/>
      <c r="I10" s="65"/>
      <c r="J10" s="65"/>
      <c r="K10" s="66"/>
    </row>
    <row r="12" spans="1:13" ht="15.75" x14ac:dyDescent="0.25">
      <c r="A12" s="67" t="s">
        <v>10</v>
      </c>
      <c r="B12" s="67"/>
      <c r="C12" s="67"/>
      <c r="D12" s="67"/>
      <c r="E12" s="67"/>
      <c r="F12" s="67"/>
      <c r="G12" s="67"/>
      <c r="H12" s="67"/>
      <c r="I12" s="67"/>
      <c r="J12" s="67"/>
      <c r="K12" s="67"/>
    </row>
    <row r="13" spans="1:13" ht="21.6" customHeight="1" x14ac:dyDescent="0.25">
      <c r="A13" s="68" t="s">
        <v>11</v>
      </c>
      <c r="B13" s="70" t="s">
        <v>12</v>
      </c>
      <c r="C13" s="71"/>
      <c r="D13" s="72" t="s">
        <v>13</v>
      </c>
      <c r="E13" s="73"/>
      <c r="F13" s="73"/>
      <c r="G13" s="73"/>
      <c r="H13" s="73"/>
      <c r="I13" s="73"/>
      <c r="J13" s="73"/>
      <c r="K13" s="73"/>
    </row>
    <row r="14" spans="1:13" ht="21.6" customHeight="1" x14ac:dyDescent="0.25">
      <c r="A14" s="69"/>
      <c r="B14" s="5" t="s">
        <v>14</v>
      </c>
      <c r="C14" s="6" t="s">
        <v>15</v>
      </c>
      <c r="D14" s="72"/>
      <c r="E14" s="73"/>
      <c r="F14" s="73"/>
      <c r="G14" s="73"/>
      <c r="H14" s="73"/>
      <c r="I14" s="73"/>
      <c r="J14" s="73"/>
      <c r="K14" s="73"/>
    </row>
    <row r="15" spans="1:13" ht="44.25" customHeight="1" x14ac:dyDescent="0.25">
      <c r="A15" s="7" t="s">
        <v>16</v>
      </c>
      <c r="B15" s="8">
        <v>5</v>
      </c>
      <c r="C15" s="8" t="s">
        <v>17</v>
      </c>
      <c r="D15" s="61" t="s">
        <v>18</v>
      </c>
      <c r="E15" s="62"/>
      <c r="F15" s="62"/>
      <c r="G15" s="62"/>
      <c r="H15" s="62"/>
      <c r="I15" s="62"/>
      <c r="J15" s="62"/>
      <c r="K15" s="63"/>
    </row>
    <row r="16" spans="1:13" ht="34.15" customHeight="1" x14ac:dyDescent="0.25">
      <c r="A16" s="7" t="s">
        <v>19</v>
      </c>
      <c r="B16" s="8">
        <v>4</v>
      </c>
      <c r="C16" s="8" t="s">
        <v>20</v>
      </c>
      <c r="D16" s="61" t="s">
        <v>21</v>
      </c>
      <c r="E16" s="62"/>
      <c r="F16" s="62"/>
      <c r="G16" s="62"/>
      <c r="H16" s="62"/>
      <c r="I16" s="62"/>
      <c r="J16" s="62"/>
      <c r="K16" s="63"/>
    </row>
    <row r="17" spans="1:22" ht="34.15" customHeight="1" x14ac:dyDescent="0.25">
      <c r="A17" s="7" t="s">
        <v>22</v>
      </c>
      <c r="B17" s="8">
        <v>3</v>
      </c>
      <c r="C17" s="8" t="s">
        <v>23</v>
      </c>
      <c r="D17" s="61" t="s">
        <v>24</v>
      </c>
      <c r="E17" s="62"/>
      <c r="F17" s="62"/>
      <c r="G17" s="62"/>
      <c r="H17" s="62"/>
      <c r="I17" s="62"/>
      <c r="J17" s="62"/>
      <c r="K17" s="63"/>
    </row>
    <row r="18" spans="1:22" ht="34.15" customHeight="1" x14ac:dyDescent="0.25">
      <c r="A18" s="7" t="s">
        <v>25</v>
      </c>
      <c r="B18" s="8">
        <v>2</v>
      </c>
      <c r="C18" s="8" t="s">
        <v>26</v>
      </c>
      <c r="D18" s="61" t="s">
        <v>27</v>
      </c>
      <c r="E18" s="62"/>
      <c r="F18" s="62"/>
      <c r="G18" s="62"/>
      <c r="H18" s="62"/>
      <c r="I18" s="62"/>
      <c r="J18" s="62"/>
      <c r="K18" s="63"/>
    </row>
    <row r="19" spans="1:22" ht="34.15" customHeight="1" x14ac:dyDescent="0.25">
      <c r="A19" s="7" t="s">
        <v>28</v>
      </c>
      <c r="B19" s="8">
        <v>1</v>
      </c>
      <c r="C19" s="8" t="s">
        <v>29</v>
      </c>
      <c r="D19" s="61" t="s">
        <v>30</v>
      </c>
      <c r="E19" s="62"/>
      <c r="F19" s="62"/>
      <c r="G19" s="62"/>
      <c r="H19" s="62"/>
      <c r="I19" s="62"/>
      <c r="J19" s="62"/>
      <c r="K19" s="63"/>
    </row>
    <row r="21" spans="1:22" ht="17.45" customHeight="1" thickBot="1" x14ac:dyDescent="0.3">
      <c r="A21" s="52" t="s">
        <v>31</v>
      </c>
      <c r="B21" s="52"/>
      <c r="C21" s="52"/>
      <c r="D21" s="52"/>
      <c r="E21" s="52"/>
      <c r="F21" s="52"/>
      <c r="G21" s="52"/>
      <c r="H21" s="52"/>
      <c r="I21" s="52"/>
      <c r="J21" s="52"/>
      <c r="K21" s="52"/>
    </row>
    <row r="22" spans="1:22" s="11" customFormat="1" ht="50.45" customHeight="1" thickBot="1" x14ac:dyDescent="0.3">
      <c r="A22" s="9" t="s">
        <v>32</v>
      </c>
      <c r="B22" s="10" t="s">
        <v>33</v>
      </c>
      <c r="C22" s="10" t="s">
        <v>34</v>
      </c>
      <c r="D22" s="10" t="s">
        <v>35</v>
      </c>
      <c r="E22" s="10" t="s">
        <v>36</v>
      </c>
      <c r="F22" s="10" t="s">
        <v>14</v>
      </c>
      <c r="G22" s="56" t="s">
        <v>37</v>
      </c>
      <c r="H22" s="57"/>
      <c r="I22" s="57"/>
      <c r="J22" s="57"/>
      <c r="K22" s="58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</row>
    <row r="23" spans="1:22" ht="135" customHeight="1" x14ac:dyDescent="0.25">
      <c r="A23" s="12" t="s">
        <v>38</v>
      </c>
      <c r="B23" s="13">
        <v>0.2</v>
      </c>
      <c r="C23" s="18">
        <v>5</v>
      </c>
      <c r="D23" s="18"/>
      <c r="E23" s="18">
        <v>5</v>
      </c>
      <c r="F23" s="15">
        <f>IF(D23&gt;0,(SUM(C23:E23)/15)*B23,(SUM(C23,E23)/10)*B23)</f>
        <v>0.2</v>
      </c>
      <c r="G23" s="59"/>
      <c r="H23" s="59"/>
      <c r="I23" s="59"/>
      <c r="J23" s="59"/>
      <c r="K23" s="59"/>
    </row>
    <row r="24" spans="1:22" ht="123" customHeight="1" x14ac:dyDescent="0.25">
      <c r="A24" s="12" t="s">
        <v>39</v>
      </c>
      <c r="B24" s="13">
        <v>0.2</v>
      </c>
      <c r="C24" s="18">
        <v>5</v>
      </c>
      <c r="D24" s="18">
        <v>4</v>
      </c>
      <c r="E24" s="18">
        <v>4</v>
      </c>
      <c r="F24" s="15">
        <f t="shared" ref="F24:F27" si="0">IF(D24&gt;0,(SUM(C24:E24)/15)*B24,(SUM(C24,E24)/10)*B24)</f>
        <v>0.17333333333333334</v>
      </c>
      <c r="G24" s="60"/>
      <c r="H24" s="60"/>
      <c r="I24" s="60"/>
      <c r="J24" s="60"/>
      <c r="K24" s="60"/>
    </row>
    <row r="25" spans="1:22" ht="137.25" customHeight="1" x14ac:dyDescent="0.25">
      <c r="A25" s="12" t="s">
        <v>40</v>
      </c>
      <c r="B25" s="13">
        <v>0.2</v>
      </c>
      <c r="C25" s="18">
        <v>5</v>
      </c>
      <c r="D25" s="18">
        <v>4</v>
      </c>
      <c r="E25" s="18">
        <v>4</v>
      </c>
      <c r="F25" s="15">
        <f t="shared" si="0"/>
        <v>0.17333333333333334</v>
      </c>
      <c r="G25" s="60"/>
      <c r="H25" s="60"/>
      <c r="I25" s="60"/>
      <c r="J25" s="60"/>
      <c r="K25" s="60"/>
    </row>
    <row r="26" spans="1:22" ht="91.5" customHeight="1" x14ac:dyDescent="0.25">
      <c r="A26" s="16" t="s">
        <v>41</v>
      </c>
      <c r="B26" s="17">
        <v>0.2</v>
      </c>
      <c r="C26" s="18">
        <v>5</v>
      </c>
      <c r="D26" s="18">
        <v>5</v>
      </c>
      <c r="E26" s="18">
        <v>5</v>
      </c>
      <c r="F26" s="15">
        <f t="shared" si="0"/>
        <v>0.2</v>
      </c>
      <c r="G26" s="60"/>
      <c r="H26" s="60"/>
      <c r="I26" s="60"/>
      <c r="J26" s="60"/>
      <c r="K26" s="60"/>
    </row>
    <row r="27" spans="1:22" ht="107.25" customHeight="1" x14ac:dyDescent="0.25">
      <c r="A27" s="16" t="s">
        <v>42</v>
      </c>
      <c r="B27" s="17">
        <v>0.2</v>
      </c>
      <c r="C27" s="18">
        <v>4</v>
      </c>
      <c r="D27" s="18">
        <v>4</v>
      </c>
      <c r="E27" s="18">
        <v>4</v>
      </c>
      <c r="F27" s="15">
        <f t="shared" si="0"/>
        <v>0.16000000000000003</v>
      </c>
      <c r="G27" s="60"/>
      <c r="H27" s="60"/>
      <c r="I27" s="60"/>
      <c r="J27" s="60"/>
      <c r="K27" s="60"/>
    </row>
    <row r="28" spans="1:22" ht="15.4" customHeight="1" x14ac:dyDescent="0.25">
      <c r="A28" s="44" t="s">
        <v>43</v>
      </c>
      <c r="B28" s="45"/>
      <c r="C28" s="45"/>
      <c r="D28" s="45"/>
      <c r="E28" s="46"/>
      <c r="F28" s="19">
        <f>SUM(F23:F27)</f>
        <v>0.90666666666666662</v>
      </c>
      <c r="G28" s="51"/>
      <c r="H28" s="51"/>
      <c r="I28" s="51"/>
      <c r="J28" s="51"/>
      <c r="K28" s="51"/>
    </row>
    <row r="29" spans="1:22" ht="15.4" customHeight="1" x14ac:dyDescent="0.25">
      <c r="A29" s="20"/>
      <c r="B29" s="20"/>
      <c r="C29" s="20"/>
      <c r="D29" s="20"/>
      <c r="E29" s="20"/>
      <c r="F29" s="21"/>
      <c r="G29" s="22"/>
      <c r="H29" s="22"/>
      <c r="I29" s="22"/>
      <c r="J29" s="22"/>
      <c r="K29" s="22"/>
    </row>
    <row r="30" spans="1:22" ht="14.45" customHeight="1" x14ac:dyDescent="0.25">
      <c r="A30" s="23"/>
      <c r="B30" s="24"/>
      <c r="C30" s="11"/>
      <c r="D30" s="11"/>
      <c r="E30" s="11"/>
      <c r="F30" s="11"/>
      <c r="G30" s="25"/>
    </row>
    <row r="31" spans="1:22" ht="19.899999999999999" customHeight="1" thickBot="1" x14ac:dyDescent="0.3">
      <c r="A31" s="52" t="s">
        <v>44</v>
      </c>
      <c r="B31" s="52"/>
      <c r="C31" s="52"/>
      <c r="D31" s="52"/>
      <c r="E31" s="52"/>
      <c r="F31" s="52"/>
      <c r="G31" s="52"/>
      <c r="H31" s="52"/>
      <c r="I31" s="52"/>
      <c r="J31" s="52"/>
      <c r="K31" s="52"/>
    </row>
    <row r="32" spans="1:22" s="11" customFormat="1" ht="50.45" customHeight="1" thickBot="1" x14ac:dyDescent="0.3">
      <c r="A32" s="26" t="s">
        <v>45</v>
      </c>
      <c r="B32" s="27" t="s">
        <v>33</v>
      </c>
      <c r="C32" s="27" t="s">
        <v>34</v>
      </c>
      <c r="D32" s="27" t="s">
        <v>35</v>
      </c>
      <c r="E32" s="27" t="s">
        <v>36</v>
      </c>
      <c r="F32" s="27" t="s">
        <v>14</v>
      </c>
      <c r="G32" s="53" t="s">
        <v>37</v>
      </c>
      <c r="H32" s="53"/>
      <c r="I32" s="53"/>
      <c r="J32" s="53"/>
      <c r="K32" s="54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</row>
    <row r="33" spans="1:11" ht="27" customHeight="1" x14ac:dyDescent="0.25">
      <c r="A33" s="12" t="s">
        <v>46</v>
      </c>
      <c r="B33" s="13">
        <v>0.1</v>
      </c>
      <c r="C33" s="14">
        <v>5</v>
      </c>
      <c r="D33" s="14">
        <v>5</v>
      </c>
      <c r="E33" s="14">
        <v>4</v>
      </c>
      <c r="F33" s="15">
        <f>IF(D33&gt;0,(SUM(C33:E33)/15)*B33,(SUM(C33,E33)/10)*B33)</f>
        <v>9.3333333333333338E-2</v>
      </c>
      <c r="G33" s="55"/>
      <c r="H33" s="55"/>
      <c r="I33" s="55"/>
      <c r="J33" s="55"/>
      <c r="K33" s="55"/>
    </row>
    <row r="34" spans="1:11" ht="23.25" customHeight="1" x14ac:dyDescent="0.25">
      <c r="A34" s="12" t="s">
        <v>47</v>
      </c>
      <c r="B34" s="13">
        <v>0.1</v>
      </c>
      <c r="C34" s="14">
        <v>5</v>
      </c>
      <c r="D34" s="14">
        <v>5</v>
      </c>
      <c r="E34" s="14">
        <v>4</v>
      </c>
      <c r="F34" s="15">
        <f t="shared" ref="F34:F42" si="1">IF(D34&gt;0,(SUM(C34:E34)/15)*B34,(SUM(C34,E34)/10)*B34)</f>
        <v>9.3333333333333338E-2</v>
      </c>
      <c r="G34" s="43"/>
      <c r="H34" s="43"/>
      <c r="I34" s="43"/>
      <c r="J34" s="43"/>
      <c r="K34" s="43"/>
    </row>
    <row r="35" spans="1:11" ht="23.25" customHeight="1" x14ac:dyDescent="0.25">
      <c r="A35" s="12" t="s">
        <v>48</v>
      </c>
      <c r="B35" s="13">
        <v>0.1</v>
      </c>
      <c r="C35" s="14">
        <v>5</v>
      </c>
      <c r="D35" s="14">
        <v>5</v>
      </c>
      <c r="E35" s="14">
        <v>5</v>
      </c>
      <c r="F35" s="15">
        <f t="shared" si="1"/>
        <v>0.1</v>
      </c>
      <c r="G35" s="43"/>
      <c r="H35" s="43"/>
      <c r="I35" s="43"/>
      <c r="J35" s="43"/>
      <c r="K35" s="43"/>
    </row>
    <row r="36" spans="1:11" ht="27" customHeight="1" x14ac:dyDescent="0.25">
      <c r="A36" s="12" t="s">
        <v>49</v>
      </c>
      <c r="B36" s="13">
        <v>0.1</v>
      </c>
      <c r="C36" s="14">
        <v>5</v>
      </c>
      <c r="D36" s="14">
        <v>5</v>
      </c>
      <c r="E36" s="14">
        <v>5</v>
      </c>
      <c r="F36" s="15">
        <f t="shared" si="1"/>
        <v>0.1</v>
      </c>
      <c r="G36" s="43"/>
      <c r="H36" s="43"/>
      <c r="I36" s="43"/>
      <c r="J36" s="43"/>
      <c r="K36" s="43"/>
    </row>
    <row r="37" spans="1:11" ht="23.25" customHeight="1" x14ac:dyDescent="0.25">
      <c r="A37" s="12" t="s">
        <v>50</v>
      </c>
      <c r="B37" s="13">
        <v>0.1</v>
      </c>
      <c r="C37" s="14">
        <v>5</v>
      </c>
      <c r="D37" s="14">
        <v>5</v>
      </c>
      <c r="E37" s="14">
        <v>5</v>
      </c>
      <c r="F37" s="15">
        <f t="shared" si="1"/>
        <v>0.1</v>
      </c>
      <c r="G37" s="43"/>
      <c r="H37" s="43"/>
      <c r="I37" s="43"/>
      <c r="J37" s="43"/>
      <c r="K37" s="43"/>
    </row>
    <row r="38" spans="1:11" ht="23.25" customHeight="1" x14ac:dyDescent="0.25">
      <c r="A38" s="12" t="s">
        <v>51</v>
      </c>
      <c r="B38" s="13">
        <v>0.1</v>
      </c>
      <c r="C38" s="14">
        <v>5</v>
      </c>
      <c r="D38" s="14">
        <v>5</v>
      </c>
      <c r="E38" s="14">
        <v>5</v>
      </c>
      <c r="F38" s="15">
        <f t="shared" si="1"/>
        <v>0.1</v>
      </c>
      <c r="G38" s="43"/>
      <c r="H38" s="43"/>
      <c r="I38" s="43"/>
      <c r="J38" s="43"/>
      <c r="K38" s="43"/>
    </row>
    <row r="39" spans="1:11" ht="28.15" customHeight="1" x14ac:dyDescent="0.25">
      <c r="A39" s="11" t="s">
        <v>52</v>
      </c>
      <c r="B39" s="17">
        <v>0.1</v>
      </c>
      <c r="C39" s="14">
        <v>5</v>
      </c>
      <c r="D39" s="14">
        <v>5</v>
      </c>
      <c r="E39" s="14">
        <v>5</v>
      </c>
      <c r="F39" s="15">
        <f t="shared" si="1"/>
        <v>0.1</v>
      </c>
      <c r="G39" s="43"/>
      <c r="H39" s="43"/>
      <c r="I39" s="43"/>
      <c r="J39" s="43"/>
      <c r="K39" s="43"/>
    </row>
    <row r="40" spans="1:11" ht="28.15" customHeight="1" x14ac:dyDescent="0.25">
      <c r="A40" s="16" t="s">
        <v>53</v>
      </c>
      <c r="B40" s="17">
        <v>0.1</v>
      </c>
      <c r="C40" s="14">
        <v>5</v>
      </c>
      <c r="D40" s="14">
        <v>5</v>
      </c>
      <c r="E40" s="14">
        <v>4</v>
      </c>
      <c r="F40" s="15">
        <f t="shared" si="1"/>
        <v>9.3333333333333338E-2</v>
      </c>
      <c r="G40" s="43"/>
      <c r="H40" s="43"/>
      <c r="I40" s="43"/>
      <c r="J40" s="43"/>
      <c r="K40" s="43"/>
    </row>
    <row r="41" spans="1:11" ht="28.15" customHeight="1" x14ac:dyDescent="0.25">
      <c r="A41" s="28" t="s">
        <v>54</v>
      </c>
      <c r="B41" s="17">
        <v>0.1</v>
      </c>
      <c r="C41" s="14">
        <v>5</v>
      </c>
      <c r="D41" s="14">
        <v>5</v>
      </c>
      <c r="E41" s="14">
        <v>4</v>
      </c>
      <c r="F41" s="15">
        <f t="shared" si="1"/>
        <v>9.3333333333333338E-2</v>
      </c>
      <c r="G41" s="43"/>
      <c r="H41" s="43"/>
      <c r="I41" s="43"/>
      <c r="J41" s="43"/>
      <c r="K41" s="43"/>
    </row>
    <row r="42" spans="1:11" ht="28.15" customHeight="1" x14ac:dyDescent="0.25">
      <c r="A42" s="29" t="s">
        <v>55</v>
      </c>
      <c r="B42" s="13">
        <v>0.1</v>
      </c>
      <c r="C42" s="14">
        <v>5</v>
      </c>
      <c r="D42" s="14">
        <v>5</v>
      </c>
      <c r="E42" s="14">
        <v>5</v>
      </c>
      <c r="F42" s="15">
        <f t="shared" si="1"/>
        <v>0.1</v>
      </c>
      <c r="G42" s="43"/>
      <c r="H42" s="43"/>
      <c r="I42" s="43"/>
      <c r="J42" s="43"/>
      <c r="K42" s="43"/>
    </row>
    <row r="43" spans="1:11" ht="15.4" customHeight="1" x14ac:dyDescent="0.25">
      <c r="A43" s="44" t="s">
        <v>56</v>
      </c>
      <c r="B43" s="45"/>
      <c r="C43" s="45"/>
      <c r="D43" s="45"/>
      <c r="E43" s="46"/>
      <c r="F43" s="30">
        <f>SUM(F33:F42)</f>
        <v>0.97333333333333338</v>
      </c>
      <c r="G43" s="47"/>
      <c r="H43" s="48"/>
      <c r="I43" s="48"/>
      <c r="J43" s="48"/>
      <c r="K43" s="48"/>
    </row>
    <row r="44" spans="1:11" ht="37.5" customHeight="1" x14ac:dyDescent="0.25">
      <c r="A44" s="16" t="s">
        <v>57</v>
      </c>
      <c r="B44" s="49"/>
      <c r="C44" s="49"/>
      <c r="D44" s="49"/>
      <c r="E44" s="49"/>
      <c r="F44" s="49"/>
      <c r="G44" s="49"/>
      <c r="H44" s="49"/>
      <c r="I44" s="49"/>
      <c r="J44" s="49"/>
      <c r="K44" s="49"/>
    </row>
    <row r="45" spans="1:11" ht="40.5" customHeight="1" x14ac:dyDescent="0.25">
      <c r="A45" s="16" t="s">
        <v>58</v>
      </c>
      <c r="B45" s="50"/>
      <c r="C45" s="50"/>
      <c r="D45" s="50"/>
      <c r="E45" s="50"/>
      <c r="F45" s="50"/>
      <c r="G45" s="50"/>
      <c r="H45" s="50"/>
      <c r="I45" s="50"/>
      <c r="J45" s="50"/>
      <c r="K45" s="50"/>
    </row>
    <row r="46" spans="1:11" ht="18.75" x14ac:dyDescent="0.3">
      <c r="A46" s="31" t="s">
        <v>59</v>
      </c>
      <c r="B46" s="32">
        <f>SUM(F28*0.4,F43*0.6)</f>
        <v>0.94666666666666666</v>
      </c>
      <c r="C46" s="38" t="str" cm="1">
        <f t="array" ref="C46">_xlfn.IFS(B46&gt;=90%,A15,B46&gt;70%,A16,B46&gt;51%,A17,B46&gt;31,A18,B46&gt;=0,A19)</f>
        <v>EXCEPTIONAL</v>
      </c>
      <c r="D46" s="39"/>
      <c r="E46" s="39"/>
      <c r="F46" s="40"/>
      <c r="G46" s="41"/>
      <c r="H46" s="42"/>
      <c r="I46" s="42"/>
      <c r="J46" s="42"/>
      <c r="K46" s="42"/>
    </row>
    <row r="47" spans="1:11" ht="21" customHeight="1" x14ac:dyDescent="0.25"/>
    <row r="48" spans="1:11" ht="21" customHeight="1" x14ac:dyDescent="0.25"/>
    <row r="49" spans="1:22" x14ac:dyDescent="0.25">
      <c r="A49" s="33"/>
      <c r="B49" s="33"/>
      <c r="D49" s="33"/>
      <c r="E49" s="33"/>
      <c r="H49" s="33"/>
      <c r="I49" s="33"/>
      <c r="J49" s="33"/>
      <c r="K49" s="33"/>
    </row>
    <row r="50" spans="1:22" s="11" customFormat="1" ht="15.75" x14ac:dyDescent="0.25">
      <c r="A50" s="34" t="s">
        <v>60</v>
      </c>
      <c r="B50" s="34"/>
      <c r="C50" s="34"/>
      <c r="D50" s="34" t="s">
        <v>61</v>
      </c>
      <c r="E50" s="34"/>
      <c r="G50" s="34"/>
      <c r="H50" s="34" t="s">
        <v>62</v>
      </c>
      <c r="I50" s="34"/>
      <c r="J50" s="34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</row>
  </sheetData>
  <sheetProtection formatCells="0" formatColumns="0" formatRows="0"/>
  <mergeCells count="44">
    <mergeCell ref="B8:K8"/>
    <mergeCell ref="B3:K3"/>
    <mergeCell ref="B4:K4"/>
    <mergeCell ref="B5:K5"/>
    <mergeCell ref="B6:K6"/>
    <mergeCell ref="B7:K7"/>
    <mergeCell ref="B9:K9"/>
    <mergeCell ref="B10:K10"/>
    <mergeCell ref="A12:K12"/>
    <mergeCell ref="A13:A14"/>
    <mergeCell ref="B13:C13"/>
    <mergeCell ref="D13:K14"/>
    <mergeCell ref="G27:K27"/>
    <mergeCell ref="D15:K15"/>
    <mergeCell ref="D16:K16"/>
    <mergeCell ref="D17:K17"/>
    <mergeCell ref="D18:K18"/>
    <mergeCell ref="D19:K19"/>
    <mergeCell ref="A21:K21"/>
    <mergeCell ref="G22:K22"/>
    <mergeCell ref="G23:K23"/>
    <mergeCell ref="G24:K24"/>
    <mergeCell ref="G25:K25"/>
    <mergeCell ref="G26:K26"/>
    <mergeCell ref="G40:K40"/>
    <mergeCell ref="A28:E28"/>
    <mergeCell ref="G28:K28"/>
    <mergeCell ref="A31:K31"/>
    <mergeCell ref="G32:K32"/>
    <mergeCell ref="G33:K33"/>
    <mergeCell ref="G34:K34"/>
    <mergeCell ref="G35:K35"/>
    <mergeCell ref="G36:K36"/>
    <mergeCell ref="G37:K37"/>
    <mergeCell ref="G38:K38"/>
    <mergeCell ref="G39:K39"/>
    <mergeCell ref="C46:F46"/>
    <mergeCell ref="G46:K46"/>
    <mergeCell ref="G41:K41"/>
    <mergeCell ref="G42:K42"/>
    <mergeCell ref="A43:E43"/>
    <mergeCell ref="G43:K43"/>
    <mergeCell ref="B44:K44"/>
    <mergeCell ref="B45:K45"/>
  </mergeCells>
  <dataValidations count="1">
    <dataValidation type="list" allowBlank="1" showInputMessage="1" showErrorMessage="1" sqref="C23:E27 C33:E42" xr:uid="{308196EF-8EBC-4D08-9714-DA6253495190}">
      <formula1>"1, 2, 3, 4, 5"</formula1>
    </dataValidation>
  </dataValidations>
  <pageMargins left="0.23622047244094491" right="0.23622047244094491" top="0.47244094488188981" bottom="0.74803149606299213" header="0.31496062992125984" footer="0.31496062992125984"/>
  <pageSetup paperSize="5" scale="70" orientation="portrait" r:id="rId1"/>
  <headerFooter differentFirst="1">
    <oddHeader>&amp;C&amp;"-,Bold"&amp;16EMPLOYEE PERFORMANCE APPRAISAL (cont'd)</oddHeader>
    <oddFooter>&amp;RPage &amp;P of &amp;N</oddFooter>
  </headerFooter>
  <rowBreaks count="1" manualBreakCount="1">
    <brk id="30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Challenge 44</vt:lpstr>
      <vt:lpstr>'Challenge 44'!Print_Area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Buckley</dc:creator>
  <cp:lastModifiedBy>Тарас Андрійович Осипчук</cp:lastModifiedBy>
  <dcterms:created xsi:type="dcterms:W3CDTF">2024-09-04T14:28:43Z</dcterms:created>
  <dcterms:modified xsi:type="dcterms:W3CDTF">2026-06-30T17:21:58Z</dcterms:modified>
</cp:coreProperties>
</file>