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40-Challenge_CreateCustomExcelCalculator\"/>
    </mc:Choice>
  </mc:AlternateContent>
  <xr:revisionPtr revIDLastSave="0" documentId="13_ncr:1_{6B3FB228-FBDE-4517-A7DE-F9ADCDE00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culator" sheetId="3" r:id="rId1"/>
    <sheet name="Fac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lGxHFLiX+RDN30gTaHpl54kDSxA+RvErofA00yCOdko="/>
    </ext>
  </extLst>
</workbook>
</file>

<file path=xl/calcChain.xml><?xml version="1.0" encoding="utf-8"?>
<calcChain xmlns="http://schemas.openxmlformats.org/spreadsheetml/2006/main">
  <c r="E11" i="3" l="1"/>
  <c r="E3" i="3" a="1"/>
  <c r="E3" i="3" s="1"/>
  <c r="E9" i="3"/>
  <c r="E8" i="3"/>
  <c r="E7" i="3"/>
  <c r="E6" i="3"/>
  <c r="E5" i="3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<sst xmlns="http://schemas.openxmlformats.org/spreadsheetml/2006/main" count="62" uniqueCount="48">
  <si>
    <t>Building Value</t>
  </si>
  <si>
    <t>0-2</t>
  </si>
  <si>
    <t>Building Age &amp; Construction</t>
  </si>
  <si>
    <t>Construction Type</t>
  </si>
  <si>
    <t>Brick Veneer</t>
  </si>
  <si>
    <t>Plumbing Age</t>
  </si>
  <si>
    <t>0-10</t>
  </si>
  <si>
    <t>Roof Age</t>
  </si>
  <si>
    <t>0-5</t>
  </si>
  <si>
    <t>Electrical</t>
  </si>
  <si>
    <t>Copper</t>
  </si>
  <si>
    <t>HVAC Age</t>
  </si>
  <si>
    <t>0-20</t>
  </si>
  <si>
    <t>Age</t>
  </si>
  <si>
    <t>Frame</t>
  </si>
  <si>
    <t>Joisted Masonry</t>
  </si>
  <si>
    <t>Masonry/Non-Combustible</t>
  </si>
  <si>
    <t>3-5</t>
  </si>
  <si>
    <t>6-10</t>
  </si>
  <si>
    <t>11-15</t>
  </si>
  <si>
    <t>16-20</t>
  </si>
  <si>
    <t>21-25</t>
  </si>
  <si>
    <t>26+</t>
  </si>
  <si>
    <t>11-20</t>
  </si>
  <si>
    <t>21-35</t>
  </si>
  <si>
    <t>36+</t>
  </si>
  <si>
    <t>Insurance Premium Calculator</t>
  </si>
  <si>
    <t>ANNUAL PREMIUM</t>
  </si>
  <si>
    <t>Stab-Lok</t>
  </si>
  <si>
    <t>Plumbing</t>
  </si>
  <si>
    <t>HVAC</t>
  </si>
  <si>
    <t>P-Years</t>
  </si>
  <si>
    <t>E-Type</t>
  </si>
  <si>
    <t>R-Years</t>
  </si>
  <si>
    <t>16+</t>
  </si>
  <si>
    <t>H-Years</t>
  </si>
  <si>
    <t>Storeys</t>
  </si>
  <si>
    <t>S-Number</t>
  </si>
  <si>
    <t>Roof</t>
  </si>
  <si>
    <t># of Storeys</t>
  </si>
  <si>
    <t>Building Age in Years</t>
  </si>
  <si>
    <t>Plumbing Age in Years</t>
  </si>
  <si>
    <t>Roof Age in Years</t>
  </si>
  <si>
    <t>Electrical Type</t>
  </si>
  <si>
    <t>Specifications</t>
  </si>
  <si>
    <t>Property Details</t>
  </si>
  <si>
    <t>Pig-Tail</t>
  </si>
  <si>
    <t>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</si>
</sst>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&quot;$&quot;* #,##0.00_-;\-&quot;$&quot;* #,##0.00_-;_-&quot;$&quot;* &quot;-&quot;??_-;_-@_-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0.0000"/>
    <numFmt numFmtId="168" formatCode="&quot;$&quot;#,##0.00"/>
    <numFmt numFmtId="169" formatCode="&quot;$&quot;#,##0.0000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/>
      <name val="Arial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9" tint="0.79998168889431442"/>
        <bgColor rgb="FFFFC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9">
    <xf numFmtId="0" fontId="0" fillId="0" borderId="0" xfId="0" applyFont="1" applyAlignment="1"/>
    <xf numFmtId="0" fontId="2" fillId="0" borderId="0" xfId="0" applyFont="1"/>
    <xf numFmtId="0" fontId="1" fillId="0" borderId="0" xfId="0" applyFont="1" applyAlignment="1">
      <alignment horizontal="left"/>
    </xf>
    <xf numFmtId="0" fontId="4" fillId="5" borderId="1" xfId="0" quotePrefix="1" applyFont="1" applyFill="1" applyBorder="1" applyAlignment="1">
      <alignment horizontal="left"/>
    </xf>
    <xf numFmtId="0" fontId="5" fillId="0" borderId="0" xfId="0" applyFont="1" applyAlignment="1"/>
    <xf numFmtId="49" fontId="0" fillId="0" borderId="0" xfId="0" applyNumberFormat="1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0" fillId="6" borderId="13" xfId="0" applyNumberFormat="1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7" borderId="13" xfId="0" applyFont="1" applyFill="1" applyBorder="1" applyAlignment="1">
      <alignment horizontal="center"/>
    </xf>
    <xf numFmtId="0" fontId="0" fillId="7" borderId="14" xfId="0" applyFont="1" applyFill="1" applyBorder="1" applyAlignment="1">
      <alignment horizontal="center"/>
    </xf>
    <xf numFmtId="49" fontId="0" fillId="8" borderId="13" xfId="0" applyNumberFormat="1" applyFont="1" applyFill="1" applyBorder="1" applyAlignment="1">
      <alignment horizontal="center"/>
    </xf>
    <xf numFmtId="0" fontId="0" fillId="8" borderId="14" xfId="0" applyFont="1" applyFill="1" applyBorder="1" applyAlignment="1">
      <alignment horizontal="center"/>
    </xf>
    <xf numFmtId="49" fontId="0" fillId="9" borderId="13" xfId="0" applyNumberFormat="1" applyFont="1" applyFill="1" applyBorder="1" applyAlignment="1">
      <alignment horizontal="center"/>
    </xf>
    <xf numFmtId="49" fontId="0" fillId="10" borderId="16" xfId="0" applyNumberFormat="1" applyFont="1" applyFill="1" applyBorder="1" applyAlignment="1">
      <alignment horizontal="center"/>
    </xf>
    <xf numFmtId="0" fontId="0" fillId="10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0" fontId="7" fillId="10" borderId="17" xfId="0" applyFont="1" applyFill="1" applyBorder="1" applyAlignment="1">
      <alignment horizontal="center"/>
    </xf>
    <xf numFmtId="49" fontId="7" fillId="6" borderId="18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49" fontId="0" fillId="10" borderId="6" xfId="0" applyNumberFormat="1" applyFont="1" applyFill="1" applyBorder="1" applyAlignment="1">
      <alignment horizontal="center"/>
    </xf>
    <xf numFmtId="0" fontId="0" fillId="10" borderId="19" xfId="0" applyFont="1" applyFill="1" applyBorder="1" applyAlignment="1">
      <alignment horizontal="center"/>
    </xf>
    <xf numFmtId="49" fontId="0" fillId="6" borderId="20" xfId="0" applyNumberFormat="1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49" fontId="0" fillId="8" borderId="20" xfId="0" applyNumberFormat="1" applyFont="1" applyFill="1" applyBorder="1" applyAlignment="1">
      <alignment horizontal="center"/>
    </xf>
    <xf numFmtId="0" fontId="0" fillId="8" borderId="19" xfId="0" applyFont="1" applyFill="1" applyBorder="1" applyAlignment="1">
      <alignment horizontal="center"/>
    </xf>
    <xf numFmtId="0" fontId="0" fillId="7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49" fontId="0" fillId="9" borderId="20" xfId="0" applyNumberFormat="1" applyFont="1" applyFill="1" applyBorder="1" applyAlignment="1">
      <alignment horizontal="center"/>
    </xf>
    <xf numFmtId="0" fontId="0" fillId="9" borderId="5" xfId="0" applyFont="1" applyFill="1" applyBorder="1" applyAlignment="1">
      <alignment horizontal="center"/>
    </xf>
    <xf numFmtId="0" fontId="2" fillId="11" borderId="4" xfId="0" applyFont="1" applyFill="1" applyBorder="1"/>
    <xf numFmtId="0" fontId="1" fillId="11" borderId="4" xfId="0" applyFont="1" applyFill="1" applyBorder="1" applyAlignment="1">
      <alignment horizontal="center" vertical="center"/>
    </xf>
    <xf numFmtId="167" fontId="1" fillId="11" borderId="4" xfId="0" applyNumberFormat="1" applyFont="1" applyFill="1" applyBorder="1" applyAlignment="1">
      <alignment horizontal="center" vertical="center"/>
    </xf>
    <xf numFmtId="16" fontId="1" fillId="11" borderId="4" xfId="0" quotePrefix="1" applyNumberFormat="1" applyFont="1" applyFill="1" applyBorder="1"/>
    <xf numFmtId="0" fontId="1" fillId="11" borderId="4" xfId="0" quotePrefix="1" applyFont="1" applyFill="1" applyBorder="1"/>
    <xf numFmtId="0" fontId="4" fillId="5" borderId="1" xfId="0" applyFont="1" applyFill="1" applyBorder="1" applyAlignment="1">
      <alignment horizontal="left"/>
    </xf>
    <xf numFmtId="0" fontId="8" fillId="12" borderId="0" xfId="0" applyFont="1" applyFill="1" applyAlignment="1"/>
    <xf numFmtId="0" fontId="8" fillId="2" borderId="1" xfId="0" applyFont="1" applyFill="1" applyBorder="1"/>
    <xf numFmtId="0" fontId="4" fillId="0" borderId="0" xfId="0" applyFont="1" applyAlignment="1"/>
    <xf numFmtId="0" fontId="4" fillId="0" borderId="0" xfId="0" applyFont="1"/>
    <xf numFmtId="168" fontId="4" fillId="5" borderId="1" xfId="1" applyNumberFormat="1" applyFont="1" applyFill="1" applyBorder="1" applyAlignment="1">
      <alignment horizontal="left"/>
    </xf>
    <xf numFmtId="0" fontId="4" fillId="0" borderId="7" xfId="0" applyFont="1" applyBorder="1"/>
    <xf numFmtId="168" fontId="4" fillId="0" borderId="8" xfId="1" applyNumberFormat="1" applyFont="1" applyBorder="1"/>
    <xf numFmtId="0" fontId="4" fillId="0" borderId="1" xfId="0" applyFont="1" applyBorder="1"/>
    <xf numFmtId="167" fontId="4" fillId="0" borderId="8" xfId="0" applyNumberFormat="1" applyFont="1" applyBorder="1" applyAlignment="1">
      <alignment horizontal="right"/>
    </xf>
    <xf numFmtId="0" fontId="4" fillId="0" borderId="11" xfId="0" applyFont="1" applyBorder="1"/>
    <xf numFmtId="167" fontId="4" fillId="0" borderId="12" xfId="0" applyNumberFormat="1" applyFont="1" applyBorder="1" applyAlignment="1">
      <alignment horizontal="right"/>
    </xf>
    <xf numFmtId="0" fontId="9" fillId="3" borderId="2" xfId="0" applyFont="1" applyFill="1" applyBorder="1"/>
    <xf numFmtId="166" fontId="9" fillId="4" borderId="3" xfId="0" applyNumberFormat="1" applyFont="1" applyFill="1" applyBorder="1"/>
    <xf numFmtId="164" fontId="4" fillId="0" borderId="0" xfId="0" applyNumberFormat="1" applyFont="1" applyAlignment="1"/>
    <xf numFmtId="166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0" fontId="4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Continuous"/>
    </xf>
    <xf numFmtId="0" fontId="8" fillId="2" borderId="6" xfId="0" applyFont="1" applyFill="1" applyBorder="1" applyAlignment="1">
      <alignment horizontal="centerContinuous"/>
    </xf>
    <xf numFmtId="169" fontId="4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7" xfId="0" applyFont="1" applyBorder="1" applyAlignment="1">
      <alignment horizontal="left"/>
    </xf>
    <xf numFmtId="167" fontId="4" fillId="0" borderId="8" xfId="0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rgb="FFCCCC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  <fill>
        <patternFill patternType="solid">
          <fgColor indexed="64"/>
          <bgColor rgb="FFCCCC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scheme val="min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FC000"/>
          <bgColor theme="9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2-style" pivot="0" count="3" xr9:uid="{00000000-0011-0000-FFFF-FFFF00000000}">
      <tableStyleElement type="headerRow" dxfId="26"/>
      <tableStyleElement type="firstRowStripe" dxfId="25"/>
      <tableStyleElement type="secondRowStripe" dxfId="24"/>
    </tableStyle>
  </tableStyles>
  <colors>
    <mruColors>
      <color rgb="FFCCCC00"/>
      <color rgb="FFFFFFCC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909219-F129-4328-B8CD-D05A2717A933}" name="Input" displayName="Input" ref="A1:B9" totalsRowShown="0" headerRowDxfId="23" dataDxfId="22">
  <autoFilter ref="A1:B9" xr:uid="{31909219-F129-4328-B8CD-D05A2717A933}">
    <filterColumn colId="0" hiddenButton="1"/>
    <filterColumn colId="1" hiddenButton="1"/>
  </autoFilter>
  <tableColumns count="2">
    <tableColumn id="1" xr3:uid="{AB76EA83-0557-4731-A196-7060E35C3686}" name="Specifications" dataDxfId="21"/>
    <tableColumn id="2" xr3:uid="{E1839D02-57CC-41DD-AAD4-E5B1AE403436}" name="Property Details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ilding" displayName="Building" ref="C5:G12" headerRowDxfId="19" dataDxfId="18">
  <tableColumns count="5">
    <tableColumn id="1" xr3:uid="{00000000-0010-0000-0000-000001000000}" name="Age" dataDxfId="17"/>
    <tableColumn id="2" xr3:uid="{00000000-0010-0000-0000-000002000000}" name="Frame" dataDxfId="16"/>
    <tableColumn id="3" xr3:uid="{00000000-0010-0000-0000-000003000000}" name="Brick Veneer" dataDxfId="15"/>
    <tableColumn id="4" xr3:uid="{00000000-0010-0000-0000-000004000000}" name="Joisted Masonry" dataDxfId="14"/>
    <tableColumn id="5" xr3:uid="{00000000-0010-0000-0000-000005000000}" name="Masonry/Non-Combustible" dataDxfId="13"/>
  </tableColumns>
  <tableStyleInfo name="Sheet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751C8F-D6D1-4B46-AB3E-FB9BD87A2C7A}" name="Finishing" displayName="Finishing" ref="C16:L20" totalsRowShown="0" headerRowBorderDxfId="12" tableBorderDxfId="11" totalsRowBorderDxfId="10">
  <autoFilter ref="C16:L20" xr:uid="{0B751C8F-D6D1-4B46-AB3E-FB9BD87A2C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189D4F7-06E7-440A-90B3-C4A8FABE1AEC}" name="S-Number" dataDxfId="9"/>
    <tableColumn id="2" xr3:uid="{4B72FA28-B7B0-4037-B3FE-A7D6A5B10022}" name="Storeys" dataDxfId="8"/>
    <tableColumn id="3" xr3:uid="{89666FD5-0829-4BDF-B9DF-EC8B044C8C3C}" name="P-Years" dataDxfId="7"/>
    <tableColumn id="4" xr3:uid="{F8BF9729-F42A-42EA-A30B-7B24CC03C2B0}" name="Plumbing" dataDxfId="6"/>
    <tableColumn id="5" xr3:uid="{66BE114E-A7A3-4430-AEC6-F80970991916}" name="R-Years" dataDxfId="5"/>
    <tableColumn id="6" xr3:uid="{7A65C096-9248-43E4-9AF3-DC358D5FFD69}" name="Roof" dataDxfId="4"/>
    <tableColumn id="7" xr3:uid="{458F6766-19CD-4F18-86C6-6ECC19F02719}" name="E-Type" dataDxfId="3"/>
    <tableColumn id="8" xr3:uid="{2410A94A-27EC-41F3-AA90-169DC44254CA}" name="Electrical" dataDxfId="2"/>
    <tableColumn id="9" xr3:uid="{3D411633-4DA9-45DB-A4E2-967C2608FD7F}" name="H-Years" dataDxfId="1"/>
    <tableColumn id="10" xr3:uid="{3250A5E2-E9F9-46B9-91F0-A6EB59E2337B}" name="HVAC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DE5C-72B8-4AD4-8CB0-5BD0CC14EDE1}">
  <dimension ref="A1:P991"/>
  <sheetViews>
    <sheetView tabSelected="1" workbookViewId="0">
      <selection activeCell="I16" sqref="I16"/>
    </sheetView>
  </sheetViews>
  <sheetFormatPr defaultColWidth="12.5703125" defaultRowHeight="15" customHeight="1" x14ac:dyDescent="0.2"/>
  <cols>
    <col min="1" max="1" width="20.140625" style="46" customWidth="1"/>
    <col min="2" max="2" width="25.7109375" style="46" customWidth="1"/>
    <col min="3" max="3" width="11" style="46" customWidth="1"/>
    <col min="4" max="4" width="26.140625" style="46" customWidth="1"/>
    <col min="5" max="5" width="17.5703125" style="46" customWidth="1"/>
    <col min="6" max="6" width="16.140625" style="46" customWidth="1"/>
    <col min="7" max="7" width="20.140625" style="46" customWidth="1"/>
    <col min="8" max="8" width="10.140625" style="46" customWidth="1"/>
    <col min="9" max="9" width="11.140625" style="46" customWidth="1"/>
    <col min="10" max="15" width="8.5703125" style="46" customWidth="1"/>
    <col min="16" max="16" width="20.140625" style="46" customWidth="1"/>
    <col min="17" max="25" width="8.5703125" style="46" customWidth="1"/>
    <col min="26" max="16384" width="12.5703125" style="46"/>
  </cols>
  <sheetData>
    <row r="1" spans="1:8" ht="24" customHeight="1" x14ac:dyDescent="0.25">
      <c r="A1" s="44" t="s">
        <v>44</v>
      </c>
      <c r="B1" s="45" t="s">
        <v>45</v>
      </c>
      <c r="D1" s="62" t="s">
        <v>26</v>
      </c>
      <c r="E1" s="63"/>
      <c r="G1" s="65"/>
      <c r="H1" s="66"/>
    </row>
    <row r="2" spans="1:8" ht="24" customHeight="1" x14ac:dyDescent="0.2">
      <c r="A2" s="47" t="s">
        <v>0</v>
      </c>
      <c r="B2" s="48">
        <v>700000</v>
      </c>
      <c r="D2" s="49" t="s">
        <v>0</v>
      </c>
      <c r="E2" s="50">
        <f>B2</f>
        <v>700000</v>
      </c>
      <c r="F2" s="47"/>
    </row>
    <row r="3" spans="1:8" ht="24" customHeight="1" x14ac:dyDescent="0.2">
      <c r="A3" s="47" t="s">
        <v>40</v>
      </c>
      <c r="B3" s="3" t="s">
        <v>20</v>
      </c>
      <c r="D3" s="67" t="s">
        <v>2</v>
      </c>
      <c r="E3" s="68" cm="1">
        <f t="array" ref="E3">_xlfn.XLOOKUP(Input[[#This Row],[Property Details]],Building[Age],_xlfn.XLOOKUP(B4,Building[#Headers],Building[#Data]))</f>
        <v>3.0999999999999999E-3</v>
      </c>
      <c r="F3" s="47"/>
    </row>
    <row r="4" spans="1:8" ht="24" customHeight="1" x14ac:dyDescent="0.2">
      <c r="A4" s="47" t="s">
        <v>3</v>
      </c>
      <c r="B4" s="43" t="s">
        <v>16</v>
      </c>
      <c r="D4" s="67"/>
      <c r="E4" s="68"/>
      <c r="F4" s="47"/>
      <c r="G4" s="64"/>
    </row>
    <row r="5" spans="1:8" ht="24" customHeight="1" x14ac:dyDescent="0.2">
      <c r="A5" s="51" t="s">
        <v>39</v>
      </c>
      <c r="B5" s="43">
        <v>2</v>
      </c>
      <c r="D5" s="49" t="s">
        <v>39</v>
      </c>
      <c r="E5" s="52">
        <f>_xlfn.XLOOKUP(Input[[#This Row],[Property Details]],Finishing[S-Number],Finishing[Storeys])</f>
        <v>1E-4</v>
      </c>
      <c r="F5" s="47"/>
    </row>
    <row r="6" spans="1:8" ht="24" customHeight="1" x14ac:dyDescent="0.2">
      <c r="A6" s="47" t="s">
        <v>41</v>
      </c>
      <c r="B6" s="3" t="s">
        <v>23</v>
      </c>
      <c r="D6" s="49" t="s">
        <v>5</v>
      </c>
      <c r="E6" s="52">
        <f>_xlfn.XLOOKUP(Input[[#This Row],[Property Details]],Finishing[P-Years],Finishing[Plumbing])</f>
        <v>1E-4</v>
      </c>
      <c r="F6" s="47"/>
    </row>
    <row r="7" spans="1:8" ht="24" customHeight="1" x14ac:dyDescent="0.2">
      <c r="A7" s="47" t="s">
        <v>42</v>
      </c>
      <c r="B7" s="3" t="s">
        <v>19</v>
      </c>
      <c r="D7" s="49" t="s">
        <v>7</v>
      </c>
      <c r="E7" s="52">
        <f>_xlfn.XLOOKUP(Input[[#This Row],[Property Details]],Finishing[R-Years],Finishing[Roof])</f>
        <v>4.0000000000000002E-4</v>
      </c>
      <c r="F7" s="47"/>
    </row>
    <row r="8" spans="1:8" ht="24" customHeight="1" x14ac:dyDescent="0.2">
      <c r="A8" s="47" t="s">
        <v>43</v>
      </c>
      <c r="B8" s="43" t="s">
        <v>46</v>
      </c>
      <c r="D8" s="49" t="s">
        <v>43</v>
      </c>
      <c r="E8" s="52">
        <f>_xlfn.XLOOKUP(Input[[#This Row],[Property Details]],Factors!I17:I19,Factors!J17:J19)</f>
        <v>1E-3</v>
      </c>
      <c r="F8" s="47"/>
    </row>
    <row r="9" spans="1:8" ht="24" customHeight="1" thickBot="1" x14ac:dyDescent="0.25">
      <c r="A9" s="47" t="s">
        <v>11</v>
      </c>
      <c r="B9" s="3" t="s">
        <v>12</v>
      </c>
      <c r="D9" s="53" t="s">
        <v>11</v>
      </c>
      <c r="E9" s="54">
        <f>_xlfn.XLOOKUP(Input[[#This Row],[Property Details]],Finishing[H-Years],Finishing[HVAC])</f>
        <v>0</v>
      </c>
      <c r="F9" s="47"/>
    </row>
    <row r="10" spans="1:8" ht="24" customHeight="1" thickTop="1" thickBot="1" x14ac:dyDescent="0.25"/>
    <row r="11" spans="1:8" ht="24" customHeight="1" thickBot="1" x14ac:dyDescent="0.3">
      <c r="D11" s="55" t="s">
        <v>27</v>
      </c>
      <c r="E11" s="56">
        <f>SUM(E3:E9)*E2</f>
        <v>3289.9999999999995</v>
      </c>
      <c r="G11" s="57"/>
    </row>
    <row r="12" spans="1:8" ht="15.75" customHeight="1" x14ac:dyDescent="0.2">
      <c r="E12" s="58"/>
      <c r="F12" s="58"/>
      <c r="G12" s="59"/>
    </row>
    <row r="13" spans="1:8" ht="15.75" customHeight="1" x14ac:dyDescent="0.2"/>
    <row r="14" spans="1:8" ht="15.75" customHeight="1" x14ac:dyDescent="0.2">
      <c r="E14" s="58"/>
    </row>
    <row r="15" spans="1:8" ht="15.75" customHeight="1" x14ac:dyDescent="0.2"/>
    <row r="16" spans="1:8" ht="15.75" customHeight="1" x14ac:dyDescent="0.2"/>
    <row r="17" spans="1:16" ht="15.75" customHeight="1" x14ac:dyDescent="0.2">
      <c r="A17" s="60"/>
    </row>
    <row r="18" spans="1:16" ht="15.75" customHeight="1" x14ac:dyDescent="0.2"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</row>
    <row r="19" spans="1:16" ht="15.75" customHeight="1" x14ac:dyDescent="0.2"/>
    <row r="20" spans="1:16" ht="15.75" customHeight="1" x14ac:dyDescent="0.2"/>
    <row r="21" spans="1:16" ht="15.75" customHeight="1" x14ac:dyDescent="0.2"/>
    <row r="22" spans="1:16" ht="15.75" customHeight="1" x14ac:dyDescent="0.2"/>
    <row r="23" spans="1:16" ht="15.75" customHeight="1" x14ac:dyDescent="0.2"/>
    <row r="24" spans="1:16" ht="15.75" customHeight="1" x14ac:dyDescent="0.2"/>
    <row r="25" spans="1:16" ht="15.75" customHeight="1" x14ac:dyDescent="0.2"/>
    <row r="26" spans="1:16" ht="15.75" customHeight="1" x14ac:dyDescent="0.2"/>
    <row r="27" spans="1:16" ht="15.75" customHeight="1" x14ac:dyDescent="0.2"/>
    <row r="28" spans="1:16" ht="15.75" customHeight="1" x14ac:dyDescent="0.2"/>
    <row r="29" spans="1:16" ht="15.75" customHeight="1" x14ac:dyDescent="0.2"/>
    <row r="30" spans="1:16" ht="15.75" customHeight="1" x14ac:dyDescent="0.2"/>
    <row r="31" spans="1:16" ht="15.75" customHeight="1" x14ac:dyDescent="0.2"/>
    <row r="32" spans="1:16" ht="15.75" customHeight="1" x14ac:dyDescent="0.2"/>
    <row r="33" s="46" customFormat="1" ht="15.75" customHeight="1" x14ac:dyDescent="0.2"/>
    <row r="34" s="46" customFormat="1" ht="15.75" customHeight="1" x14ac:dyDescent="0.2"/>
    <row r="35" s="46" customFormat="1" ht="15.75" customHeight="1" x14ac:dyDescent="0.2"/>
    <row r="36" s="46" customFormat="1" ht="15.75" customHeight="1" x14ac:dyDescent="0.2"/>
    <row r="37" s="46" customFormat="1" ht="15.75" customHeight="1" x14ac:dyDescent="0.2"/>
    <row r="38" s="46" customFormat="1" ht="15.75" customHeight="1" x14ac:dyDescent="0.2"/>
    <row r="39" s="46" customFormat="1" ht="15.75" customHeight="1" x14ac:dyDescent="0.2"/>
    <row r="40" s="46" customFormat="1" ht="15.75" customHeight="1" x14ac:dyDescent="0.2"/>
    <row r="41" s="46" customFormat="1" ht="15.75" customHeight="1" x14ac:dyDescent="0.2"/>
    <row r="42" s="46" customFormat="1" ht="15.75" customHeight="1" x14ac:dyDescent="0.2"/>
    <row r="43" s="46" customFormat="1" ht="15.75" customHeight="1" x14ac:dyDescent="0.2"/>
    <row r="44" s="46" customFormat="1" ht="15.75" customHeight="1" x14ac:dyDescent="0.2"/>
    <row r="45" s="46" customFormat="1" ht="15.75" customHeight="1" x14ac:dyDescent="0.2"/>
    <row r="46" s="46" customFormat="1" ht="15.75" customHeight="1" x14ac:dyDescent="0.2"/>
    <row r="47" s="46" customFormat="1" ht="15.75" customHeight="1" x14ac:dyDescent="0.2"/>
    <row r="48" s="46" customFormat="1" ht="15.75" customHeight="1" x14ac:dyDescent="0.2"/>
    <row r="49" s="46" customFormat="1" ht="15.75" customHeight="1" x14ac:dyDescent="0.2"/>
    <row r="50" s="46" customFormat="1" ht="15.75" customHeight="1" x14ac:dyDescent="0.2"/>
    <row r="51" s="46" customFormat="1" ht="15.75" customHeight="1" x14ac:dyDescent="0.2"/>
    <row r="52" s="46" customFormat="1" ht="15.75" customHeight="1" x14ac:dyDescent="0.2"/>
    <row r="53" s="46" customFormat="1" ht="15.75" customHeight="1" x14ac:dyDescent="0.2"/>
    <row r="54" s="46" customFormat="1" ht="15.75" customHeight="1" x14ac:dyDescent="0.2"/>
    <row r="55" s="46" customFormat="1" ht="15.75" customHeight="1" x14ac:dyDescent="0.2"/>
    <row r="56" s="46" customFormat="1" ht="15.75" customHeight="1" x14ac:dyDescent="0.2"/>
    <row r="57" s="46" customFormat="1" ht="15.75" customHeight="1" x14ac:dyDescent="0.2"/>
    <row r="58" s="46" customFormat="1" ht="15.75" customHeight="1" x14ac:dyDescent="0.2"/>
    <row r="59" s="46" customFormat="1" ht="15.75" customHeight="1" x14ac:dyDescent="0.2"/>
    <row r="60" s="46" customFormat="1" ht="15.75" customHeight="1" x14ac:dyDescent="0.2"/>
    <row r="61" s="46" customFormat="1" ht="15.75" customHeight="1" x14ac:dyDescent="0.2"/>
    <row r="62" s="46" customFormat="1" ht="15.75" customHeight="1" x14ac:dyDescent="0.2"/>
    <row r="63" s="46" customFormat="1" ht="15.75" customHeight="1" x14ac:dyDescent="0.2"/>
    <row r="64" s="46" customFormat="1" ht="15.75" customHeight="1" x14ac:dyDescent="0.2"/>
    <row r="65" s="46" customFormat="1" ht="15.75" customHeight="1" x14ac:dyDescent="0.2"/>
    <row r="66" s="46" customFormat="1" ht="15.75" customHeight="1" x14ac:dyDescent="0.2"/>
    <row r="67" s="46" customFormat="1" ht="15.75" customHeight="1" x14ac:dyDescent="0.2"/>
    <row r="68" s="46" customFormat="1" ht="15.75" customHeight="1" x14ac:dyDescent="0.2"/>
    <row r="69" s="46" customFormat="1" ht="15.75" customHeight="1" x14ac:dyDescent="0.2"/>
    <row r="70" s="46" customFormat="1" ht="15.75" customHeight="1" x14ac:dyDescent="0.2"/>
    <row r="71" s="46" customFormat="1" ht="15.75" customHeight="1" x14ac:dyDescent="0.2"/>
    <row r="72" s="46" customFormat="1" ht="15.75" customHeight="1" x14ac:dyDescent="0.2"/>
    <row r="73" s="46" customFormat="1" ht="15.75" customHeight="1" x14ac:dyDescent="0.2"/>
    <row r="74" s="46" customFormat="1" ht="15.75" customHeight="1" x14ac:dyDescent="0.2"/>
    <row r="75" s="46" customFormat="1" ht="15.75" customHeight="1" x14ac:dyDescent="0.2"/>
    <row r="76" s="46" customFormat="1" ht="15.75" customHeight="1" x14ac:dyDescent="0.2"/>
    <row r="77" s="46" customFormat="1" ht="15.75" customHeight="1" x14ac:dyDescent="0.2"/>
    <row r="78" s="46" customFormat="1" ht="15.75" customHeight="1" x14ac:dyDescent="0.2"/>
    <row r="79" s="46" customFormat="1" ht="15.75" customHeight="1" x14ac:dyDescent="0.2"/>
    <row r="80" s="46" customFormat="1" ht="15.75" customHeight="1" x14ac:dyDescent="0.2"/>
    <row r="81" s="46" customFormat="1" ht="15.75" customHeight="1" x14ac:dyDescent="0.2"/>
    <row r="82" s="46" customFormat="1" ht="15.75" customHeight="1" x14ac:dyDescent="0.2"/>
    <row r="83" s="46" customFormat="1" ht="15.75" customHeight="1" x14ac:dyDescent="0.2"/>
    <row r="84" s="46" customFormat="1" ht="15.75" customHeight="1" x14ac:dyDescent="0.2"/>
    <row r="85" s="46" customFormat="1" ht="15.75" customHeight="1" x14ac:dyDescent="0.2"/>
    <row r="86" s="46" customFormat="1" ht="15.75" customHeight="1" x14ac:dyDescent="0.2"/>
    <row r="87" s="46" customFormat="1" ht="15.75" customHeight="1" x14ac:dyDescent="0.2"/>
    <row r="88" s="46" customFormat="1" ht="15.75" customHeight="1" x14ac:dyDescent="0.2"/>
    <row r="89" s="46" customFormat="1" ht="15.75" customHeight="1" x14ac:dyDescent="0.2"/>
    <row r="90" s="46" customFormat="1" ht="15.75" customHeight="1" x14ac:dyDescent="0.2"/>
    <row r="91" s="46" customFormat="1" ht="15.75" customHeight="1" x14ac:dyDescent="0.2"/>
    <row r="92" s="46" customFormat="1" ht="15.75" customHeight="1" x14ac:dyDescent="0.2"/>
    <row r="93" s="46" customFormat="1" ht="15.75" customHeight="1" x14ac:dyDescent="0.2"/>
    <row r="94" s="46" customFormat="1" ht="15.75" customHeight="1" x14ac:dyDescent="0.2"/>
    <row r="95" s="46" customFormat="1" ht="15.75" customHeight="1" x14ac:dyDescent="0.2"/>
    <row r="96" s="46" customFormat="1" ht="15.75" customHeight="1" x14ac:dyDescent="0.2"/>
    <row r="97" s="46" customFormat="1" ht="15.75" customHeight="1" x14ac:dyDescent="0.2"/>
    <row r="98" s="46" customFormat="1" ht="15.75" customHeight="1" x14ac:dyDescent="0.2"/>
    <row r="99" s="46" customFormat="1" ht="15.75" customHeight="1" x14ac:dyDescent="0.2"/>
    <row r="100" s="46" customFormat="1" ht="15.75" customHeight="1" x14ac:dyDescent="0.2"/>
    <row r="101" s="46" customFormat="1" ht="15.75" customHeight="1" x14ac:dyDescent="0.2"/>
    <row r="102" s="46" customFormat="1" ht="15.75" customHeight="1" x14ac:dyDescent="0.2"/>
    <row r="103" s="46" customFormat="1" ht="15.75" customHeight="1" x14ac:dyDescent="0.2"/>
    <row r="104" s="46" customFormat="1" ht="15.75" customHeight="1" x14ac:dyDescent="0.2"/>
    <row r="105" s="46" customFormat="1" ht="15.75" customHeight="1" x14ac:dyDescent="0.2"/>
    <row r="106" s="46" customFormat="1" ht="15.75" customHeight="1" x14ac:dyDescent="0.2"/>
    <row r="107" s="46" customFormat="1" ht="15.75" customHeight="1" x14ac:dyDescent="0.2"/>
    <row r="108" s="46" customFormat="1" ht="15.75" customHeight="1" x14ac:dyDescent="0.2"/>
    <row r="109" s="46" customFormat="1" ht="15.75" customHeight="1" x14ac:dyDescent="0.2"/>
    <row r="110" s="46" customFormat="1" ht="15.75" customHeight="1" x14ac:dyDescent="0.2"/>
    <row r="111" s="46" customFormat="1" ht="15.75" customHeight="1" x14ac:dyDescent="0.2"/>
    <row r="112" s="46" customFormat="1" ht="15.75" customHeight="1" x14ac:dyDescent="0.2"/>
    <row r="113" s="46" customFormat="1" ht="15.75" customHeight="1" x14ac:dyDescent="0.2"/>
    <row r="114" s="46" customFormat="1" ht="15.75" customHeight="1" x14ac:dyDescent="0.2"/>
    <row r="115" s="46" customFormat="1" ht="15.75" customHeight="1" x14ac:dyDescent="0.2"/>
    <row r="116" s="46" customFormat="1" ht="15.75" customHeight="1" x14ac:dyDescent="0.2"/>
    <row r="117" s="46" customFormat="1" ht="15.75" customHeight="1" x14ac:dyDescent="0.2"/>
    <row r="118" s="46" customFormat="1" ht="15.75" customHeight="1" x14ac:dyDescent="0.2"/>
    <row r="119" s="46" customFormat="1" ht="15.75" customHeight="1" x14ac:dyDescent="0.2"/>
    <row r="120" s="46" customFormat="1" ht="15.75" customHeight="1" x14ac:dyDescent="0.2"/>
    <row r="121" s="46" customFormat="1" ht="15.75" customHeight="1" x14ac:dyDescent="0.2"/>
    <row r="122" s="46" customFormat="1" ht="15.75" customHeight="1" x14ac:dyDescent="0.2"/>
    <row r="123" s="46" customFormat="1" ht="15.75" customHeight="1" x14ac:dyDescent="0.2"/>
    <row r="124" s="46" customFormat="1" ht="15.75" customHeight="1" x14ac:dyDescent="0.2"/>
    <row r="125" s="46" customFormat="1" ht="15.75" customHeight="1" x14ac:dyDescent="0.2"/>
    <row r="126" s="46" customFormat="1" ht="15.75" customHeight="1" x14ac:dyDescent="0.2"/>
    <row r="127" s="46" customFormat="1" ht="15.75" customHeight="1" x14ac:dyDescent="0.2"/>
    <row r="128" s="46" customFormat="1" ht="15.75" customHeight="1" x14ac:dyDescent="0.2"/>
    <row r="129" s="46" customFormat="1" ht="15.75" customHeight="1" x14ac:dyDescent="0.2"/>
    <row r="130" s="46" customFormat="1" ht="15.75" customHeight="1" x14ac:dyDescent="0.2"/>
    <row r="131" s="46" customFormat="1" ht="15.75" customHeight="1" x14ac:dyDescent="0.2"/>
    <row r="132" s="46" customFormat="1" ht="15.75" customHeight="1" x14ac:dyDescent="0.2"/>
    <row r="133" s="46" customFormat="1" ht="15.75" customHeight="1" x14ac:dyDescent="0.2"/>
    <row r="134" s="46" customFormat="1" ht="15.75" customHeight="1" x14ac:dyDescent="0.2"/>
    <row r="135" s="46" customFormat="1" ht="15.75" customHeight="1" x14ac:dyDescent="0.2"/>
    <row r="136" s="46" customFormat="1" ht="15.75" customHeight="1" x14ac:dyDescent="0.2"/>
    <row r="137" s="46" customFormat="1" ht="15.75" customHeight="1" x14ac:dyDescent="0.2"/>
    <row r="138" s="46" customFormat="1" ht="15.75" customHeight="1" x14ac:dyDescent="0.2"/>
    <row r="139" s="46" customFormat="1" ht="15.75" customHeight="1" x14ac:dyDescent="0.2"/>
    <row r="140" s="46" customFormat="1" ht="15.75" customHeight="1" x14ac:dyDescent="0.2"/>
    <row r="141" s="46" customFormat="1" ht="15.75" customHeight="1" x14ac:dyDescent="0.2"/>
    <row r="142" s="46" customFormat="1" ht="15.75" customHeight="1" x14ac:dyDescent="0.2"/>
    <row r="143" s="46" customFormat="1" ht="15.75" customHeight="1" x14ac:dyDescent="0.2"/>
    <row r="144" s="46" customFormat="1" ht="15.75" customHeight="1" x14ac:dyDescent="0.2"/>
    <row r="145" s="46" customFormat="1" ht="15.75" customHeight="1" x14ac:dyDescent="0.2"/>
    <row r="146" s="46" customFormat="1" ht="15.75" customHeight="1" x14ac:dyDescent="0.2"/>
    <row r="147" s="46" customFormat="1" ht="15.75" customHeight="1" x14ac:dyDescent="0.2"/>
    <row r="148" s="46" customFormat="1" ht="15.75" customHeight="1" x14ac:dyDescent="0.2"/>
    <row r="149" s="46" customFormat="1" ht="15.75" customHeight="1" x14ac:dyDescent="0.2"/>
    <row r="150" s="46" customFormat="1" ht="15.75" customHeight="1" x14ac:dyDescent="0.2"/>
    <row r="151" s="46" customFormat="1" ht="15.75" customHeight="1" x14ac:dyDescent="0.2"/>
    <row r="152" s="46" customFormat="1" ht="15.75" customHeight="1" x14ac:dyDescent="0.2"/>
    <row r="153" s="46" customFormat="1" ht="15.75" customHeight="1" x14ac:dyDescent="0.2"/>
    <row r="154" s="46" customFormat="1" ht="15.75" customHeight="1" x14ac:dyDescent="0.2"/>
    <row r="155" s="46" customFormat="1" ht="15.75" customHeight="1" x14ac:dyDescent="0.2"/>
    <row r="156" s="46" customFormat="1" ht="15.75" customHeight="1" x14ac:dyDescent="0.2"/>
    <row r="157" s="46" customFormat="1" ht="15.75" customHeight="1" x14ac:dyDescent="0.2"/>
    <row r="158" s="46" customFormat="1" ht="15.75" customHeight="1" x14ac:dyDescent="0.2"/>
    <row r="159" s="46" customFormat="1" ht="15.75" customHeight="1" x14ac:dyDescent="0.2"/>
    <row r="160" s="46" customFormat="1" ht="15.75" customHeight="1" x14ac:dyDescent="0.2"/>
    <row r="161" s="46" customFormat="1" ht="15.75" customHeight="1" x14ac:dyDescent="0.2"/>
    <row r="162" s="46" customFormat="1" ht="15.75" customHeight="1" x14ac:dyDescent="0.2"/>
    <row r="163" s="46" customFormat="1" ht="15.75" customHeight="1" x14ac:dyDescent="0.2"/>
    <row r="164" s="46" customFormat="1" ht="15.75" customHeight="1" x14ac:dyDescent="0.2"/>
    <row r="165" s="46" customFormat="1" ht="15.75" customHeight="1" x14ac:dyDescent="0.2"/>
    <row r="166" s="46" customFormat="1" ht="15.75" customHeight="1" x14ac:dyDescent="0.2"/>
    <row r="167" s="46" customFormat="1" ht="15.75" customHeight="1" x14ac:dyDescent="0.2"/>
    <row r="168" s="46" customFormat="1" ht="15.75" customHeight="1" x14ac:dyDescent="0.2"/>
    <row r="169" s="46" customFormat="1" ht="15.75" customHeight="1" x14ac:dyDescent="0.2"/>
    <row r="170" s="46" customFormat="1" ht="15.75" customHeight="1" x14ac:dyDescent="0.2"/>
    <row r="171" s="46" customFormat="1" ht="15.75" customHeight="1" x14ac:dyDescent="0.2"/>
    <row r="172" s="46" customFormat="1" ht="15.75" customHeight="1" x14ac:dyDescent="0.2"/>
    <row r="173" s="46" customFormat="1" ht="15.75" customHeight="1" x14ac:dyDescent="0.2"/>
    <row r="174" s="46" customFormat="1" ht="15.75" customHeight="1" x14ac:dyDescent="0.2"/>
    <row r="175" s="46" customFormat="1" ht="15.75" customHeight="1" x14ac:dyDescent="0.2"/>
    <row r="176" s="46" customFormat="1" ht="15.75" customHeight="1" x14ac:dyDescent="0.2"/>
    <row r="177" s="46" customFormat="1" ht="15.75" customHeight="1" x14ac:dyDescent="0.2"/>
    <row r="178" s="46" customFormat="1" ht="15.75" customHeight="1" x14ac:dyDescent="0.2"/>
    <row r="179" s="46" customFormat="1" ht="15.75" customHeight="1" x14ac:dyDescent="0.2"/>
    <row r="180" s="46" customFormat="1" ht="15.75" customHeight="1" x14ac:dyDescent="0.2"/>
    <row r="181" s="46" customFormat="1" ht="15.75" customHeight="1" x14ac:dyDescent="0.2"/>
    <row r="182" s="46" customFormat="1" ht="15.75" customHeight="1" x14ac:dyDescent="0.2"/>
    <row r="183" s="46" customFormat="1" ht="15.75" customHeight="1" x14ac:dyDescent="0.2"/>
    <row r="184" s="46" customFormat="1" ht="15.75" customHeight="1" x14ac:dyDescent="0.2"/>
    <row r="185" s="46" customFormat="1" ht="15.75" customHeight="1" x14ac:dyDescent="0.2"/>
    <row r="186" s="46" customFormat="1" ht="15.75" customHeight="1" x14ac:dyDescent="0.2"/>
    <row r="187" s="46" customFormat="1" ht="15.75" customHeight="1" x14ac:dyDescent="0.2"/>
    <row r="188" s="46" customFormat="1" ht="15.75" customHeight="1" x14ac:dyDescent="0.2"/>
    <row r="189" s="46" customFormat="1" ht="15.75" customHeight="1" x14ac:dyDescent="0.2"/>
    <row r="190" s="46" customFormat="1" ht="15.75" customHeight="1" x14ac:dyDescent="0.2"/>
    <row r="191" s="46" customFormat="1" ht="15.75" customHeight="1" x14ac:dyDescent="0.2"/>
    <row r="192" s="46" customFormat="1" ht="15.75" customHeight="1" x14ac:dyDescent="0.2"/>
    <row r="193" s="46" customFormat="1" ht="15.75" customHeight="1" x14ac:dyDescent="0.2"/>
    <row r="194" s="46" customFormat="1" ht="15.75" customHeight="1" x14ac:dyDescent="0.2"/>
    <row r="195" s="46" customFormat="1" ht="15.75" customHeight="1" x14ac:dyDescent="0.2"/>
    <row r="196" s="46" customFormat="1" ht="15.75" customHeight="1" x14ac:dyDescent="0.2"/>
    <row r="197" s="46" customFormat="1" ht="15.75" customHeight="1" x14ac:dyDescent="0.2"/>
    <row r="198" s="46" customFormat="1" ht="15.75" customHeight="1" x14ac:dyDescent="0.2"/>
    <row r="199" s="46" customFormat="1" ht="15.75" customHeight="1" x14ac:dyDescent="0.2"/>
    <row r="200" s="46" customFormat="1" ht="15.75" customHeight="1" x14ac:dyDescent="0.2"/>
    <row r="201" s="46" customFormat="1" ht="15.75" customHeight="1" x14ac:dyDescent="0.2"/>
    <row r="202" s="46" customFormat="1" ht="15.75" customHeight="1" x14ac:dyDescent="0.2"/>
    <row r="203" s="46" customFormat="1" ht="15.75" customHeight="1" x14ac:dyDescent="0.2"/>
    <row r="204" s="46" customFormat="1" ht="15.75" customHeight="1" x14ac:dyDescent="0.2"/>
    <row r="205" s="46" customFormat="1" ht="15.75" customHeight="1" x14ac:dyDescent="0.2"/>
    <row r="206" s="46" customFormat="1" ht="15.75" customHeight="1" x14ac:dyDescent="0.2"/>
    <row r="207" s="46" customFormat="1" ht="15.75" customHeight="1" x14ac:dyDescent="0.2"/>
    <row r="208" s="46" customFormat="1" ht="15.75" customHeight="1" x14ac:dyDescent="0.2"/>
    <row r="209" s="46" customFormat="1" ht="15.75" customHeight="1" x14ac:dyDescent="0.2"/>
    <row r="210" s="46" customFormat="1" ht="15.75" customHeight="1" x14ac:dyDescent="0.2"/>
    <row r="211" s="46" customFormat="1" ht="15.75" customHeight="1" x14ac:dyDescent="0.2"/>
    <row r="212" s="46" customFormat="1" ht="15.75" customHeight="1" x14ac:dyDescent="0.2"/>
    <row r="213" s="46" customFormat="1" ht="15.75" customHeight="1" x14ac:dyDescent="0.2"/>
    <row r="214" s="46" customFormat="1" ht="15.75" customHeight="1" x14ac:dyDescent="0.2"/>
    <row r="215" s="46" customFormat="1" ht="15.75" customHeight="1" x14ac:dyDescent="0.2"/>
    <row r="216" s="46" customFormat="1" ht="15.75" customHeight="1" x14ac:dyDescent="0.2"/>
    <row r="217" s="46" customFormat="1" ht="15.75" customHeight="1" x14ac:dyDescent="0.2"/>
    <row r="218" s="46" customFormat="1" ht="15.75" customHeight="1" x14ac:dyDescent="0.2"/>
    <row r="219" s="46" customFormat="1" ht="15.75" customHeight="1" x14ac:dyDescent="0.2"/>
    <row r="220" s="46" customFormat="1" ht="15.75" customHeight="1" x14ac:dyDescent="0.2"/>
    <row r="221" s="46" customFormat="1" ht="15.75" customHeight="1" x14ac:dyDescent="0.2"/>
    <row r="222" s="46" customFormat="1" ht="15.75" customHeight="1" x14ac:dyDescent="0.2"/>
    <row r="223" s="46" customFormat="1" ht="15.75" customHeight="1" x14ac:dyDescent="0.2"/>
    <row r="224" s="46" customFormat="1" ht="15.75" customHeight="1" x14ac:dyDescent="0.2"/>
    <row r="225" s="46" customFormat="1" ht="15.75" customHeight="1" x14ac:dyDescent="0.2"/>
    <row r="226" s="46" customFormat="1" ht="15.75" customHeight="1" x14ac:dyDescent="0.2"/>
    <row r="227" s="46" customFormat="1" ht="15.75" customHeight="1" x14ac:dyDescent="0.2"/>
    <row r="228" s="46" customFormat="1" ht="15.75" customHeight="1" x14ac:dyDescent="0.2"/>
    <row r="229" s="46" customFormat="1" ht="15.75" customHeight="1" x14ac:dyDescent="0.2"/>
    <row r="230" s="46" customFormat="1" ht="15.75" customHeight="1" x14ac:dyDescent="0.2"/>
    <row r="231" s="46" customFormat="1" ht="15.75" customHeight="1" x14ac:dyDescent="0.2"/>
    <row r="232" s="46" customFormat="1" ht="15.75" customHeight="1" x14ac:dyDescent="0.2"/>
    <row r="233" s="46" customFormat="1" ht="15.75" customHeight="1" x14ac:dyDescent="0.2"/>
    <row r="234" s="46" customFormat="1" ht="15.75" customHeight="1" x14ac:dyDescent="0.2"/>
    <row r="235" s="46" customFormat="1" ht="15.75" customHeight="1" x14ac:dyDescent="0.2"/>
    <row r="236" s="46" customFormat="1" ht="15.75" customHeight="1" x14ac:dyDescent="0.2"/>
    <row r="237" s="46" customFormat="1" ht="15.75" customHeight="1" x14ac:dyDescent="0.2"/>
    <row r="238" s="46" customFormat="1" ht="15.75" customHeight="1" x14ac:dyDescent="0.2"/>
    <row r="239" s="46" customFormat="1" ht="15.75" customHeight="1" x14ac:dyDescent="0.2"/>
    <row r="240" s="46" customFormat="1" ht="15.75" customHeight="1" x14ac:dyDescent="0.2"/>
    <row r="241" s="46" customFormat="1" ht="15.75" customHeight="1" x14ac:dyDescent="0.2"/>
    <row r="242" s="46" customFormat="1" ht="15.75" customHeight="1" x14ac:dyDescent="0.2"/>
    <row r="243" s="46" customFormat="1" ht="15.75" customHeight="1" x14ac:dyDescent="0.2"/>
    <row r="244" s="46" customFormat="1" ht="15.75" customHeight="1" x14ac:dyDescent="0.2"/>
    <row r="245" s="46" customFormat="1" ht="15.75" customHeight="1" x14ac:dyDescent="0.2"/>
    <row r="246" s="46" customFormat="1" ht="15.75" customHeight="1" x14ac:dyDescent="0.2"/>
    <row r="247" s="46" customFormat="1" ht="15.75" customHeight="1" x14ac:dyDescent="0.2"/>
    <row r="248" s="46" customFormat="1" ht="15.75" customHeight="1" x14ac:dyDescent="0.2"/>
    <row r="249" s="46" customFormat="1" ht="15.75" customHeight="1" x14ac:dyDescent="0.2"/>
    <row r="250" s="46" customFormat="1" ht="15.75" customHeight="1" x14ac:dyDescent="0.2"/>
    <row r="251" s="46" customFormat="1" ht="15.75" customHeight="1" x14ac:dyDescent="0.2"/>
    <row r="252" s="46" customFormat="1" ht="15.75" customHeight="1" x14ac:dyDescent="0.2"/>
    <row r="253" s="46" customFormat="1" ht="15.75" customHeight="1" x14ac:dyDescent="0.2"/>
    <row r="254" s="46" customFormat="1" ht="15.75" customHeight="1" x14ac:dyDescent="0.2"/>
    <row r="255" s="46" customFormat="1" ht="15.75" customHeight="1" x14ac:dyDescent="0.2"/>
    <row r="256" s="46" customFormat="1" ht="15.75" customHeight="1" x14ac:dyDescent="0.2"/>
    <row r="257" s="46" customFormat="1" ht="15.75" customHeight="1" x14ac:dyDescent="0.2"/>
    <row r="258" s="46" customFormat="1" ht="15.75" customHeight="1" x14ac:dyDescent="0.2"/>
    <row r="259" s="46" customFormat="1" ht="15.75" customHeight="1" x14ac:dyDescent="0.2"/>
    <row r="260" s="46" customFormat="1" ht="15.75" customHeight="1" x14ac:dyDescent="0.2"/>
    <row r="261" s="46" customFormat="1" ht="15.75" customHeight="1" x14ac:dyDescent="0.2"/>
    <row r="262" s="46" customFormat="1" ht="15.75" customHeight="1" x14ac:dyDescent="0.2"/>
    <row r="263" s="46" customFormat="1" ht="15.75" customHeight="1" x14ac:dyDescent="0.2"/>
    <row r="264" s="46" customFormat="1" ht="15.75" customHeight="1" x14ac:dyDescent="0.2"/>
    <row r="265" s="46" customFormat="1" ht="15.75" customHeight="1" x14ac:dyDescent="0.2"/>
    <row r="266" s="46" customFormat="1" ht="15.75" customHeight="1" x14ac:dyDescent="0.2"/>
    <row r="267" s="46" customFormat="1" ht="15.75" customHeight="1" x14ac:dyDescent="0.2"/>
    <row r="268" s="46" customFormat="1" ht="15.75" customHeight="1" x14ac:dyDescent="0.2"/>
    <row r="269" s="46" customFormat="1" ht="15.75" customHeight="1" x14ac:dyDescent="0.2"/>
    <row r="270" s="46" customFormat="1" ht="15.75" customHeight="1" x14ac:dyDescent="0.2"/>
    <row r="271" s="46" customFormat="1" ht="15.75" customHeight="1" x14ac:dyDescent="0.2"/>
    <row r="272" s="46" customFormat="1" ht="15.75" customHeight="1" x14ac:dyDescent="0.2"/>
    <row r="273" s="46" customFormat="1" ht="15.75" customHeight="1" x14ac:dyDescent="0.2"/>
    <row r="274" s="46" customFormat="1" ht="15.75" customHeight="1" x14ac:dyDescent="0.2"/>
    <row r="275" s="46" customFormat="1" ht="15.75" customHeight="1" x14ac:dyDescent="0.2"/>
    <row r="276" s="46" customFormat="1" ht="15.75" customHeight="1" x14ac:dyDescent="0.2"/>
    <row r="277" s="46" customFormat="1" ht="15.75" customHeight="1" x14ac:dyDescent="0.2"/>
    <row r="278" s="46" customFormat="1" ht="15.75" customHeight="1" x14ac:dyDescent="0.2"/>
    <row r="279" s="46" customFormat="1" ht="15.75" customHeight="1" x14ac:dyDescent="0.2"/>
    <row r="280" s="46" customFormat="1" ht="15.75" customHeight="1" x14ac:dyDescent="0.2"/>
    <row r="281" s="46" customFormat="1" ht="15.75" customHeight="1" x14ac:dyDescent="0.2"/>
    <row r="282" s="46" customFormat="1" ht="15.75" customHeight="1" x14ac:dyDescent="0.2"/>
    <row r="283" s="46" customFormat="1" ht="15.75" customHeight="1" x14ac:dyDescent="0.2"/>
    <row r="284" s="46" customFormat="1" ht="15.75" customHeight="1" x14ac:dyDescent="0.2"/>
    <row r="285" s="46" customFormat="1" ht="15.75" customHeight="1" x14ac:dyDescent="0.2"/>
    <row r="286" s="46" customFormat="1" ht="15.75" customHeight="1" x14ac:dyDescent="0.2"/>
    <row r="287" s="46" customFormat="1" ht="15.75" customHeight="1" x14ac:dyDescent="0.2"/>
    <row r="288" s="46" customFormat="1" ht="15.75" customHeight="1" x14ac:dyDescent="0.2"/>
    <row r="289" s="46" customFormat="1" ht="15.75" customHeight="1" x14ac:dyDescent="0.2"/>
    <row r="290" s="46" customFormat="1" ht="15.75" customHeight="1" x14ac:dyDescent="0.2"/>
    <row r="291" s="46" customFormat="1" ht="15.75" customHeight="1" x14ac:dyDescent="0.2"/>
    <row r="292" s="46" customFormat="1" ht="15.75" customHeight="1" x14ac:dyDescent="0.2"/>
    <row r="293" s="46" customFormat="1" ht="15.75" customHeight="1" x14ac:dyDescent="0.2"/>
    <row r="294" s="46" customFormat="1" ht="15.75" customHeight="1" x14ac:dyDescent="0.2"/>
    <row r="295" s="46" customFormat="1" ht="15.75" customHeight="1" x14ac:dyDescent="0.2"/>
    <row r="296" s="46" customFormat="1" ht="15.75" customHeight="1" x14ac:dyDescent="0.2"/>
    <row r="297" s="46" customFormat="1" ht="15.75" customHeight="1" x14ac:dyDescent="0.2"/>
    <row r="298" s="46" customFormat="1" ht="15.75" customHeight="1" x14ac:dyDescent="0.2"/>
    <row r="299" s="46" customFormat="1" ht="15.75" customHeight="1" x14ac:dyDescent="0.2"/>
    <row r="300" s="46" customFormat="1" ht="15.75" customHeight="1" x14ac:dyDescent="0.2"/>
    <row r="301" s="46" customFormat="1" ht="15.75" customHeight="1" x14ac:dyDescent="0.2"/>
    <row r="302" s="46" customFormat="1" ht="15.75" customHeight="1" x14ac:dyDescent="0.2"/>
    <row r="303" s="46" customFormat="1" ht="15.75" customHeight="1" x14ac:dyDescent="0.2"/>
    <row r="304" s="46" customFormat="1" ht="15.75" customHeight="1" x14ac:dyDescent="0.2"/>
    <row r="305" s="46" customFormat="1" ht="15.75" customHeight="1" x14ac:dyDescent="0.2"/>
    <row r="306" s="46" customFormat="1" ht="15.75" customHeight="1" x14ac:dyDescent="0.2"/>
    <row r="307" s="46" customFormat="1" ht="15.75" customHeight="1" x14ac:dyDescent="0.2"/>
    <row r="308" s="46" customFormat="1" ht="15.75" customHeight="1" x14ac:dyDescent="0.2"/>
    <row r="309" s="46" customFormat="1" ht="15.75" customHeight="1" x14ac:dyDescent="0.2"/>
    <row r="310" s="46" customFormat="1" ht="15.75" customHeight="1" x14ac:dyDescent="0.2"/>
    <row r="311" s="46" customFormat="1" ht="15.75" customHeight="1" x14ac:dyDescent="0.2"/>
    <row r="312" s="46" customFormat="1" ht="15.75" customHeight="1" x14ac:dyDescent="0.2"/>
    <row r="313" s="46" customFormat="1" ht="15.75" customHeight="1" x14ac:dyDescent="0.2"/>
    <row r="314" s="46" customFormat="1" ht="15.75" customHeight="1" x14ac:dyDescent="0.2"/>
    <row r="315" s="46" customFormat="1" ht="15.75" customHeight="1" x14ac:dyDescent="0.2"/>
    <row r="316" s="46" customFormat="1" ht="15.75" customHeight="1" x14ac:dyDescent="0.2"/>
    <row r="317" s="46" customFormat="1" ht="15.75" customHeight="1" x14ac:dyDescent="0.2"/>
    <row r="318" s="46" customFormat="1" ht="15.75" customHeight="1" x14ac:dyDescent="0.2"/>
    <row r="319" s="46" customFormat="1" ht="15.75" customHeight="1" x14ac:dyDescent="0.2"/>
    <row r="320" s="46" customFormat="1" ht="15.75" customHeight="1" x14ac:dyDescent="0.2"/>
    <row r="321" s="46" customFormat="1" ht="15.75" customHeight="1" x14ac:dyDescent="0.2"/>
    <row r="322" s="46" customFormat="1" ht="15.75" customHeight="1" x14ac:dyDescent="0.2"/>
    <row r="323" s="46" customFormat="1" ht="15.75" customHeight="1" x14ac:dyDescent="0.2"/>
    <row r="324" s="46" customFormat="1" ht="15.75" customHeight="1" x14ac:dyDescent="0.2"/>
    <row r="325" s="46" customFormat="1" ht="15.75" customHeight="1" x14ac:dyDescent="0.2"/>
    <row r="326" s="46" customFormat="1" ht="15.75" customHeight="1" x14ac:dyDescent="0.2"/>
    <row r="327" s="46" customFormat="1" ht="15.75" customHeight="1" x14ac:dyDescent="0.2"/>
    <row r="328" s="46" customFormat="1" ht="15.75" customHeight="1" x14ac:dyDescent="0.2"/>
    <row r="329" s="46" customFormat="1" ht="15.75" customHeight="1" x14ac:dyDescent="0.2"/>
    <row r="330" s="46" customFormat="1" ht="15.75" customHeight="1" x14ac:dyDescent="0.2"/>
    <row r="331" s="46" customFormat="1" ht="15.75" customHeight="1" x14ac:dyDescent="0.2"/>
    <row r="332" s="46" customFormat="1" ht="15.75" customHeight="1" x14ac:dyDescent="0.2"/>
    <row r="333" s="46" customFormat="1" ht="15.75" customHeight="1" x14ac:dyDescent="0.2"/>
    <row r="334" s="46" customFormat="1" ht="15.75" customHeight="1" x14ac:dyDescent="0.2"/>
    <row r="335" s="46" customFormat="1" ht="15.75" customHeight="1" x14ac:dyDescent="0.2"/>
    <row r="336" s="46" customFormat="1" ht="15.75" customHeight="1" x14ac:dyDescent="0.2"/>
    <row r="337" s="46" customFormat="1" ht="15.75" customHeight="1" x14ac:dyDescent="0.2"/>
    <row r="338" s="46" customFormat="1" ht="15.75" customHeight="1" x14ac:dyDescent="0.2"/>
    <row r="339" s="46" customFormat="1" ht="15.75" customHeight="1" x14ac:dyDescent="0.2"/>
    <row r="340" s="46" customFormat="1" ht="15.75" customHeight="1" x14ac:dyDescent="0.2"/>
    <row r="341" s="46" customFormat="1" ht="15.75" customHeight="1" x14ac:dyDescent="0.2"/>
    <row r="342" s="46" customFormat="1" ht="15.75" customHeight="1" x14ac:dyDescent="0.2"/>
    <row r="343" s="46" customFormat="1" ht="15.75" customHeight="1" x14ac:dyDescent="0.2"/>
    <row r="344" s="46" customFormat="1" ht="15.75" customHeight="1" x14ac:dyDescent="0.2"/>
    <row r="345" s="46" customFormat="1" ht="15.75" customHeight="1" x14ac:dyDescent="0.2"/>
    <row r="346" s="46" customFormat="1" ht="15.75" customHeight="1" x14ac:dyDescent="0.2"/>
    <row r="347" s="46" customFormat="1" ht="15.75" customHeight="1" x14ac:dyDescent="0.2"/>
    <row r="348" s="46" customFormat="1" ht="15.75" customHeight="1" x14ac:dyDescent="0.2"/>
    <row r="349" s="46" customFormat="1" ht="15.75" customHeight="1" x14ac:dyDescent="0.2"/>
    <row r="350" s="46" customFormat="1" ht="15.75" customHeight="1" x14ac:dyDescent="0.2"/>
    <row r="351" s="46" customFormat="1" ht="15.75" customHeight="1" x14ac:dyDescent="0.2"/>
    <row r="352" s="46" customFormat="1" ht="15.75" customHeight="1" x14ac:dyDescent="0.2"/>
    <row r="353" s="46" customFormat="1" ht="15.75" customHeight="1" x14ac:dyDescent="0.2"/>
    <row r="354" s="46" customFormat="1" ht="15.75" customHeight="1" x14ac:dyDescent="0.2"/>
    <row r="355" s="46" customFormat="1" ht="15.75" customHeight="1" x14ac:dyDescent="0.2"/>
    <row r="356" s="46" customFormat="1" ht="15.75" customHeight="1" x14ac:dyDescent="0.2"/>
    <row r="357" s="46" customFormat="1" ht="15.75" customHeight="1" x14ac:dyDescent="0.2"/>
    <row r="358" s="46" customFormat="1" ht="15.75" customHeight="1" x14ac:dyDescent="0.2"/>
    <row r="359" s="46" customFormat="1" ht="15.75" customHeight="1" x14ac:dyDescent="0.2"/>
    <row r="360" s="46" customFormat="1" ht="15.75" customHeight="1" x14ac:dyDescent="0.2"/>
    <row r="361" s="46" customFormat="1" ht="15.75" customHeight="1" x14ac:dyDescent="0.2"/>
    <row r="362" s="46" customFormat="1" ht="15.75" customHeight="1" x14ac:dyDescent="0.2"/>
    <row r="363" s="46" customFormat="1" ht="15.75" customHeight="1" x14ac:dyDescent="0.2"/>
    <row r="364" s="46" customFormat="1" ht="15.75" customHeight="1" x14ac:dyDescent="0.2"/>
    <row r="365" s="46" customFormat="1" ht="15.75" customHeight="1" x14ac:dyDescent="0.2"/>
    <row r="366" s="46" customFormat="1" ht="15.75" customHeight="1" x14ac:dyDescent="0.2"/>
    <row r="367" s="46" customFormat="1" ht="15.75" customHeight="1" x14ac:dyDescent="0.2"/>
    <row r="368" s="46" customFormat="1" ht="15.75" customHeight="1" x14ac:dyDescent="0.2"/>
    <row r="369" s="46" customFormat="1" ht="15.75" customHeight="1" x14ac:dyDescent="0.2"/>
    <row r="370" s="46" customFormat="1" ht="15.75" customHeight="1" x14ac:dyDescent="0.2"/>
    <row r="371" s="46" customFormat="1" ht="15.75" customHeight="1" x14ac:dyDescent="0.2"/>
    <row r="372" s="46" customFormat="1" ht="15.75" customHeight="1" x14ac:dyDescent="0.2"/>
    <row r="373" s="46" customFormat="1" ht="15.75" customHeight="1" x14ac:dyDescent="0.2"/>
    <row r="374" s="46" customFormat="1" ht="15.75" customHeight="1" x14ac:dyDescent="0.2"/>
    <row r="375" s="46" customFormat="1" ht="15.75" customHeight="1" x14ac:dyDescent="0.2"/>
    <row r="376" s="46" customFormat="1" ht="15.75" customHeight="1" x14ac:dyDescent="0.2"/>
    <row r="377" s="46" customFormat="1" ht="15.75" customHeight="1" x14ac:dyDescent="0.2"/>
    <row r="378" s="46" customFormat="1" ht="15.75" customHeight="1" x14ac:dyDescent="0.2"/>
    <row r="379" s="46" customFormat="1" ht="15.75" customHeight="1" x14ac:dyDescent="0.2"/>
    <row r="380" s="46" customFormat="1" ht="15.75" customHeight="1" x14ac:dyDescent="0.2"/>
    <row r="381" s="46" customFormat="1" ht="15.75" customHeight="1" x14ac:dyDescent="0.2"/>
    <row r="382" s="46" customFormat="1" ht="15.75" customHeight="1" x14ac:dyDescent="0.2"/>
    <row r="383" s="46" customFormat="1" ht="15.75" customHeight="1" x14ac:dyDescent="0.2"/>
    <row r="384" s="46" customFormat="1" ht="15.75" customHeight="1" x14ac:dyDescent="0.2"/>
    <row r="385" s="46" customFormat="1" ht="15.75" customHeight="1" x14ac:dyDescent="0.2"/>
    <row r="386" s="46" customFormat="1" ht="15.75" customHeight="1" x14ac:dyDescent="0.2"/>
    <row r="387" s="46" customFormat="1" ht="15.75" customHeight="1" x14ac:dyDescent="0.2"/>
    <row r="388" s="46" customFormat="1" ht="15.75" customHeight="1" x14ac:dyDescent="0.2"/>
    <row r="389" s="46" customFormat="1" ht="15.75" customHeight="1" x14ac:dyDescent="0.2"/>
    <row r="390" s="46" customFormat="1" ht="15.75" customHeight="1" x14ac:dyDescent="0.2"/>
    <row r="391" s="46" customFormat="1" ht="15.75" customHeight="1" x14ac:dyDescent="0.2"/>
    <row r="392" s="46" customFormat="1" ht="15.75" customHeight="1" x14ac:dyDescent="0.2"/>
    <row r="393" s="46" customFormat="1" ht="15.75" customHeight="1" x14ac:dyDescent="0.2"/>
    <row r="394" s="46" customFormat="1" ht="15.75" customHeight="1" x14ac:dyDescent="0.2"/>
    <row r="395" s="46" customFormat="1" ht="15.75" customHeight="1" x14ac:dyDescent="0.2"/>
    <row r="396" s="46" customFormat="1" ht="15.75" customHeight="1" x14ac:dyDescent="0.2"/>
    <row r="397" s="46" customFormat="1" ht="15.75" customHeight="1" x14ac:dyDescent="0.2"/>
    <row r="398" s="46" customFormat="1" ht="15.75" customHeight="1" x14ac:dyDescent="0.2"/>
    <row r="399" s="46" customFormat="1" ht="15.75" customHeight="1" x14ac:dyDescent="0.2"/>
    <row r="400" s="46" customFormat="1" ht="15.75" customHeight="1" x14ac:dyDescent="0.2"/>
    <row r="401" s="46" customFormat="1" ht="15.75" customHeight="1" x14ac:dyDescent="0.2"/>
    <row r="402" s="46" customFormat="1" ht="15.75" customHeight="1" x14ac:dyDescent="0.2"/>
    <row r="403" s="46" customFormat="1" ht="15.75" customHeight="1" x14ac:dyDescent="0.2"/>
    <row r="404" s="46" customFormat="1" ht="15.75" customHeight="1" x14ac:dyDescent="0.2"/>
    <row r="405" s="46" customFormat="1" ht="15.75" customHeight="1" x14ac:dyDescent="0.2"/>
    <row r="406" s="46" customFormat="1" ht="15.75" customHeight="1" x14ac:dyDescent="0.2"/>
    <row r="407" s="46" customFormat="1" ht="15.75" customHeight="1" x14ac:dyDescent="0.2"/>
    <row r="408" s="46" customFormat="1" ht="15.75" customHeight="1" x14ac:dyDescent="0.2"/>
    <row r="409" s="46" customFormat="1" ht="15.75" customHeight="1" x14ac:dyDescent="0.2"/>
    <row r="410" s="46" customFormat="1" ht="15.75" customHeight="1" x14ac:dyDescent="0.2"/>
    <row r="411" s="46" customFormat="1" ht="15.75" customHeight="1" x14ac:dyDescent="0.2"/>
    <row r="412" s="46" customFormat="1" ht="15.75" customHeight="1" x14ac:dyDescent="0.2"/>
    <row r="413" s="46" customFormat="1" ht="15.75" customHeight="1" x14ac:dyDescent="0.2"/>
    <row r="414" s="46" customFormat="1" ht="15.75" customHeight="1" x14ac:dyDescent="0.2"/>
    <row r="415" s="46" customFormat="1" ht="15.75" customHeight="1" x14ac:dyDescent="0.2"/>
    <row r="416" s="46" customFormat="1" ht="15.75" customHeight="1" x14ac:dyDescent="0.2"/>
    <row r="417" s="46" customFormat="1" ht="15.75" customHeight="1" x14ac:dyDescent="0.2"/>
    <row r="418" s="46" customFormat="1" ht="15.75" customHeight="1" x14ac:dyDescent="0.2"/>
    <row r="419" s="46" customFormat="1" ht="15.75" customHeight="1" x14ac:dyDescent="0.2"/>
    <row r="420" s="46" customFormat="1" ht="15.75" customHeight="1" x14ac:dyDescent="0.2"/>
    <row r="421" s="46" customFormat="1" ht="15.75" customHeight="1" x14ac:dyDescent="0.2"/>
    <row r="422" s="46" customFormat="1" ht="15.75" customHeight="1" x14ac:dyDescent="0.2"/>
    <row r="423" s="46" customFormat="1" ht="15.75" customHeight="1" x14ac:dyDescent="0.2"/>
    <row r="424" s="46" customFormat="1" ht="15.75" customHeight="1" x14ac:dyDescent="0.2"/>
    <row r="425" s="46" customFormat="1" ht="15.75" customHeight="1" x14ac:dyDescent="0.2"/>
    <row r="426" s="46" customFormat="1" ht="15.75" customHeight="1" x14ac:dyDescent="0.2"/>
    <row r="427" s="46" customFormat="1" ht="15.75" customHeight="1" x14ac:dyDescent="0.2"/>
    <row r="428" s="46" customFormat="1" ht="15.75" customHeight="1" x14ac:dyDescent="0.2"/>
    <row r="429" s="46" customFormat="1" ht="15.75" customHeight="1" x14ac:dyDescent="0.2"/>
    <row r="430" s="46" customFormat="1" ht="15.75" customHeight="1" x14ac:dyDescent="0.2"/>
    <row r="431" s="46" customFormat="1" ht="15.75" customHeight="1" x14ac:dyDescent="0.2"/>
    <row r="432" s="46" customFormat="1" ht="15.75" customHeight="1" x14ac:dyDescent="0.2"/>
    <row r="433" s="46" customFormat="1" ht="15.75" customHeight="1" x14ac:dyDescent="0.2"/>
    <row r="434" s="46" customFormat="1" ht="15.75" customHeight="1" x14ac:dyDescent="0.2"/>
    <row r="435" s="46" customFormat="1" ht="15.75" customHeight="1" x14ac:dyDescent="0.2"/>
    <row r="436" s="46" customFormat="1" ht="15.75" customHeight="1" x14ac:dyDescent="0.2"/>
    <row r="437" s="46" customFormat="1" ht="15.75" customHeight="1" x14ac:dyDescent="0.2"/>
    <row r="438" s="46" customFormat="1" ht="15.75" customHeight="1" x14ac:dyDescent="0.2"/>
    <row r="439" s="46" customFormat="1" ht="15.75" customHeight="1" x14ac:dyDescent="0.2"/>
    <row r="440" s="46" customFormat="1" ht="15.75" customHeight="1" x14ac:dyDescent="0.2"/>
    <row r="441" s="46" customFormat="1" ht="15.75" customHeight="1" x14ac:dyDescent="0.2"/>
    <row r="442" s="46" customFormat="1" ht="15.75" customHeight="1" x14ac:dyDescent="0.2"/>
    <row r="443" s="46" customFormat="1" ht="15.75" customHeight="1" x14ac:dyDescent="0.2"/>
    <row r="444" s="46" customFormat="1" ht="15.75" customHeight="1" x14ac:dyDescent="0.2"/>
    <row r="445" s="46" customFormat="1" ht="15.75" customHeight="1" x14ac:dyDescent="0.2"/>
    <row r="446" s="46" customFormat="1" ht="15.75" customHeight="1" x14ac:dyDescent="0.2"/>
    <row r="447" s="46" customFormat="1" ht="15.75" customHeight="1" x14ac:dyDescent="0.2"/>
    <row r="448" s="46" customFormat="1" ht="15.75" customHeight="1" x14ac:dyDescent="0.2"/>
    <row r="449" s="46" customFormat="1" ht="15.75" customHeight="1" x14ac:dyDescent="0.2"/>
    <row r="450" s="46" customFormat="1" ht="15.75" customHeight="1" x14ac:dyDescent="0.2"/>
    <row r="451" s="46" customFormat="1" ht="15.75" customHeight="1" x14ac:dyDescent="0.2"/>
    <row r="452" s="46" customFormat="1" ht="15.75" customHeight="1" x14ac:dyDescent="0.2"/>
    <row r="453" s="46" customFormat="1" ht="15.75" customHeight="1" x14ac:dyDescent="0.2"/>
    <row r="454" s="46" customFormat="1" ht="15.75" customHeight="1" x14ac:dyDescent="0.2"/>
    <row r="455" s="46" customFormat="1" ht="15.75" customHeight="1" x14ac:dyDescent="0.2"/>
    <row r="456" s="46" customFormat="1" ht="15.75" customHeight="1" x14ac:dyDescent="0.2"/>
    <row r="457" s="46" customFormat="1" ht="15.75" customHeight="1" x14ac:dyDescent="0.2"/>
    <row r="458" s="46" customFormat="1" ht="15.75" customHeight="1" x14ac:dyDescent="0.2"/>
    <row r="459" s="46" customFormat="1" ht="15.75" customHeight="1" x14ac:dyDescent="0.2"/>
    <row r="460" s="46" customFormat="1" ht="15.75" customHeight="1" x14ac:dyDescent="0.2"/>
    <row r="461" s="46" customFormat="1" ht="15.75" customHeight="1" x14ac:dyDescent="0.2"/>
    <row r="462" s="46" customFormat="1" ht="15.75" customHeight="1" x14ac:dyDescent="0.2"/>
    <row r="463" s="46" customFormat="1" ht="15.75" customHeight="1" x14ac:dyDescent="0.2"/>
    <row r="464" s="46" customFormat="1" ht="15.75" customHeight="1" x14ac:dyDescent="0.2"/>
    <row r="465" s="46" customFormat="1" ht="15.75" customHeight="1" x14ac:dyDescent="0.2"/>
    <row r="466" s="46" customFormat="1" ht="15.75" customHeight="1" x14ac:dyDescent="0.2"/>
    <row r="467" s="46" customFormat="1" ht="15.75" customHeight="1" x14ac:dyDescent="0.2"/>
    <row r="468" s="46" customFormat="1" ht="15.75" customHeight="1" x14ac:dyDescent="0.2"/>
    <row r="469" s="46" customFormat="1" ht="15.75" customHeight="1" x14ac:dyDescent="0.2"/>
    <row r="470" s="46" customFormat="1" ht="15.75" customHeight="1" x14ac:dyDescent="0.2"/>
    <row r="471" s="46" customFormat="1" ht="15.75" customHeight="1" x14ac:dyDescent="0.2"/>
    <row r="472" s="46" customFormat="1" ht="15.75" customHeight="1" x14ac:dyDescent="0.2"/>
    <row r="473" s="46" customFormat="1" ht="15.75" customHeight="1" x14ac:dyDescent="0.2"/>
    <row r="474" s="46" customFormat="1" ht="15.75" customHeight="1" x14ac:dyDescent="0.2"/>
    <row r="475" s="46" customFormat="1" ht="15.75" customHeight="1" x14ac:dyDescent="0.2"/>
    <row r="476" s="46" customFormat="1" ht="15.75" customHeight="1" x14ac:dyDescent="0.2"/>
    <row r="477" s="46" customFormat="1" ht="15.75" customHeight="1" x14ac:dyDescent="0.2"/>
    <row r="478" s="46" customFormat="1" ht="15.75" customHeight="1" x14ac:dyDescent="0.2"/>
    <row r="479" s="46" customFormat="1" ht="15.75" customHeight="1" x14ac:dyDescent="0.2"/>
    <row r="480" s="46" customFormat="1" ht="15.75" customHeight="1" x14ac:dyDescent="0.2"/>
    <row r="481" s="46" customFormat="1" ht="15.75" customHeight="1" x14ac:dyDescent="0.2"/>
    <row r="482" s="46" customFormat="1" ht="15.75" customHeight="1" x14ac:dyDescent="0.2"/>
    <row r="483" s="46" customFormat="1" ht="15.75" customHeight="1" x14ac:dyDescent="0.2"/>
    <row r="484" s="46" customFormat="1" ht="15.75" customHeight="1" x14ac:dyDescent="0.2"/>
    <row r="485" s="46" customFormat="1" ht="15.75" customHeight="1" x14ac:dyDescent="0.2"/>
    <row r="486" s="46" customFormat="1" ht="15.75" customHeight="1" x14ac:dyDescent="0.2"/>
    <row r="487" s="46" customFormat="1" ht="15.75" customHeight="1" x14ac:dyDescent="0.2"/>
    <row r="488" s="46" customFormat="1" ht="15.75" customHeight="1" x14ac:dyDescent="0.2"/>
    <row r="489" s="46" customFormat="1" ht="15.75" customHeight="1" x14ac:dyDescent="0.2"/>
    <row r="490" s="46" customFormat="1" ht="15.75" customHeight="1" x14ac:dyDescent="0.2"/>
    <row r="491" s="46" customFormat="1" ht="15.75" customHeight="1" x14ac:dyDescent="0.2"/>
    <row r="492" s="46" customFormat="1" ht="15.75" customHeight="1" x14ac:dyDescent="0.2"/>
    <row r="493" s="46" customFormat="1" ht="15.75" customHeight="1" x14ac:dyDescent="0.2"/>
    <row r="494" s="46" customFormat="1" ht="15.75" customHeight="1" x14ac:dyDescent="0.2"/>
    <row r="495" s="46" customFormat="1" ht="15.75" customHeight="1" x14ac:dyDescent="0.2"/>
    <row r="496" s="46" customFormat="1" ht="15.75" customHeight="1" x14ac:dyDescent="0.2"/>
    <row r="497" s="46" customFormat="1" ht="15.75" customHeight="1" x14ac:dyDescent="0.2"/>
    <row r="498" s="46" customFormat="1" ht="15.75" customHeight="1" x14ac:dyDescent="0.2"/>
    <row r="499" s="46" customFormat="1" ht="15.75" customHeight="1" x14ac:dyDescent="0.2"/>
    <row r="500" s="46" customFormat="1" ht="15.75" customHeight="1" x14ac:dyDescent="0.2"/>
    <row r="501" s="46" customFormat="1" ht="15.75" customHeight="1" x14ac:dyDescent="0.2"/>
    <row r="502" s="46" customFormat="1" ht="15.75" customHeight="1" x14ac:dyDescent="0.2"/>
    <row r="503" s="46" customFormat="1" ht="15.75" customHeight="1" x14ac:dyDescent="0.2"/>
    <row r="504" s="46" customFormat="1" ht="15.75" customHeight="1" x14ac:dyDescent="0.2"/>
    <row r="505" s="46" customFormat="1" ht="15.75" customHeight="1" x14ac:dyDescent="0.2"/>
    <row r="506" s="46" customFormat="1" ht="15.75" customHeight="1" x14ac:dyDescent="0.2"/>
    <row r="507" s="46" customFormat="1" ht="15.75" customHeight="1" x14ac:dyDescent="0.2"/>
    <row r="508" s="46" customFormat="1" ht="15.75" customHeight="1" x14ac:dyDescent="0.2"/>
    <row r="509" s="46" customFormat="1" ht="15.75" customHeight="1" x14ac:dyDescent="0.2"/>
    <row r="510" s="46" customFormat="1" ht="15.75" customHeight="1" x14ac:dyDescent="0.2"/>
    <row r="511" s="46" customFormat="1" ht="15.75" customHeight="1" x14ac:dyDescent="0.2"/>
    <row r="512" s="46" customFormat="1" ht="15.75" customHeight="1" x14ac:dyDescent="0.2"/>
    <row r="513" s="46" customFormat="1" ht="15.75" customHeight="1" x14ac:dyDescent="0.2"/>
    <row r="514" s="46" customFormat="1" ht="15.75" customHeight="1" x14ac:dyDescent="0.2"/>
    <row r="515" s="46" customFormat="1" ht="15.75" customHeight="1" x14ac:dyDescent="0.2"/>
    <row r="516" s="46" customFormat="1" ht="15.75" customHeight="1" x14ac:dyDescent="0.2"/>
    <row r="517" s="46" customFormat="1" ht="15.75" customHeight="1" x14ac:dyDescent="0.2"/>
    <row r="518" s="46" customFormat="1" ht="15.75" customHeight="1" x14ac:dyDescent="0.2"/>
    <row r="519" s="46" customFormat="1" ht="15.75" customHeight="1" x14ac:dyDescent="0.2"/>
    <row r="520" s="46" customFormat="1" ht="15.75" customHeight="1" x14ac:dyDescent="0.2"/>
    <row r="521" s="46" customFormat="1" ht="15.75" customHeight="1" x14ac:dyDescent="0.2"/>
    <row r="522" s="46" customFormat="1" ht="15.75" customHeight="1" x14ac:dyDescent="0.2"/>
    <row r="523" s="46" customFormat="1" ht="15.75" customHeight="1" x14ac:dyDescent="0.2"/>
    <row r="524" s="46" customFormat="1" ht="15.75" customHeight="1" x14ac:dyDescent="0.2"/>
    <row r="525" s="46" customFormat="1" ht="15.75" customHeight="1" x14ac:dyDescent="0.2"/>
    <row r="526" s="46" customFormat="1" ht="15.75" customHeight="1" x14ac:dyDescent="0.2"/>
    <row r="527" s="46" customFormat="1" ht="15.75" customHeight="1" x14ac:dyDescent="0.2"/>
    <row r="528" s="46" customFormat="1" ht="15.75" customHeight="1" x14ac:dyDescent="0.2"/>
    <row r="529" s="46" customFormat="1" ht="15.75" customHeight="1" x14ac:dyDescent="0.2"/>
    <row r="530" s="46" customFormat="1" ht="15.75" customHeight="1" x14ac:dyDescent="0.2"/>
    <row r="531" s="46" customFormat="1" ht="15.75" customHeight="1" x14ac:dyDescent="0.2"/>
    <row r="532" s="46" customFormat="1" ht="15.75" customHeight="1" x14ac:dyDescent="0.2"/>
    <row r="533" s="46" customFormat="1" ht="15.75" customHeight="1" x14ac:dyDescent="0.2"/>
    <row r="534" s="46" customFormat="1" ht="15.75" customHeight="1" x14ac:dyDescent="0.2"/>
    <row r="535" s="46" customFormat="1" ht="15.75" customHeight="1" x14ac:dyDescent="0.2"/>
    <row r="536" s="46" customFormat="1" ht="15.75" customHeight="1" x14ac:dyDescent="0.2"/>
    <row r="537" s="46" customFormat="1" ht="15.75" customHeight="1" x14ac:dyDescent="0.2"/>
    <row r="538" s="46" customFormat="1" ht="15.75" customHeight="1" x14ac:dyDescent="0.2"/>
    <row r="539" s="46" customFormat="1" ht="15.75" customHeight="1" x14ac:dyDescent="0.2"/>
    <row r="540" s="46" customFormat="1" ht="15.75" customHeight="1" x14ac:dyDescent="0.2"/>
    <row r="541" s="46" customFormat="1" ht="15.75" customHeight="1" x14ac:dyDescent="0.2"/>
    <row r="542" s="46" customFormat="1" ht="15.75" customHeight="1" x14ac:dyDescent="0.2"/>
    <row r="543" s="46" customFormat="1" ht="15.75" customHeight="1" x14ac:dyDescent="0.2"/>
    <row r="544" s="46" customFormat="1" ht="15.75" customHeight="1" x14ac:dyDescent="0.2"/>
    <row r="545" s="46" customFormat="1" ht="15.75" customHeight="1" x14ac:dyDescent="0.2"/>
    <row r="546" s="46" customFormat="1" ht="15.75" customHeight="1" x14ac:dyDescent="0.2"/>
    <row r="547" s="46" customFormat="1" ht="15.75" customHeight="1" x14ac:dyDescent="0.2"/>
    <row r="548" s="46" customFormat="1" ht="15.75" customHeight="1" x14ac:dyDescent="0.2"/>
    <row r="549" s="46" customFormat="1" ht="15.75" customHeight="1" x14ac:dyDescent="0.2"/>
    <row r="550" s="46" customFormat="1" ht="15.75" customHeight="1" x14ac:dyDescent="0.2"/>
    <row r="551" s="46" customFormat="1" ht="15.75" customHeight="1" x14ac:dyDescent="0.2"/>
    <row r="552" s="46" customFormat="1" ht="15.75" customHeight="1" x14ac:dyDescent="0.2"/>
    <row r="553" s="46" customFormat="1" ht="15.75" customHeight="1" x14ac:dyDescent="0.2"/>
    <row r="554" s="46" customFormat="1" ht="15.75" customHeight="1" x14ac:dyDescent="0.2"/>
    <row r="555" s="46" customFormat="1" ht="15.75" customHeight="1" x14ac:dyDescent="0.2"/>
    <row r="556" s="46" customFormat="1" ht="15.75" customHeight="1" x14ac:dyDescent="0.2"/>
    <row r="557" s="46" customFormat="1" ht="15.75" customHeight="1" x14ac:dyDescent="0.2"/>
    <row r="558" s="46" customFormat="1" ht="15.75" customHeight="1" x14ac:dyDescent="0.2"/>
    <row r="559" s="46" customFormat="1" ht="15.75" customHeight="1" x14ac:dyDescent="0.2"/>
    <row r="560" s="46" customFormat="1" ht="15.75" customHeight="1" x14ac:dyDescent="0.2"/>
    <row r="561" s="46" customFormat="1" ht="15.75" customHeight="1" x14ac:dyDescent="0.2"/>
    <row r="562" s="46" customFormat="1" ht="15.75" customHeight="1" x14ac:dyDescent="0.2"/>
    <row r="563" s="46" customFormat="1" ht="15.75" customHeight="1" x14ac:dyDescent="0.2"/>
    <row r="564" s="46" customFormat="1" ht="15.75" customHeight="1" x14ac:dyDescent="0.2"/>
    <row r="565" s="46" customFormat="1" ht="15.75" customHeight="1" x14ac:dyDescent="0.2"/>
    <row r="566" s="46" customFormat="1" ht="15.75" customHeight="1" x14ac:dyDescent="0.2"/>
    <row r="567" s="46" customFormat="1" ht="15.75" customHeight="1" x14ac:dyDescent="0.2"/>
    <row r="568" s="46" customFormat="1" ht="15.75" customHeight="1" x14ac:dyDescent="0.2"/>
    <row r="569" s="46" customFormat="1" ht="15.75" customHeight="1" x14ac:dyDescent="0.2"/>
    <row r="570" s="46" customFormat="1" ht="15.75" customHeight="1" x14ac:dyDescent="0.2"/>
    <row r="571" s="46" customFormat="1" ht="15.75" customHeight="1" x14ac:dyDescent="0.2"/>
    <row r="572" s="46" customFormat="1" ht="15.75" customHeight="1" x14ac:dyDescent="0.2"/>
    <row r="573" s="46" customFormat="1" ht="15.75" customHeight="1" x14ac:dyDescent="0.2"/>
    <row r="574" s="46" customFormat="1" ht="15.75" customHeight="1" x14ac:dyDescent="0.2"/>
    <row r="575" s="46" customFormat="1" ht="15.75" customHeight="1" x14ac:dyDescent="0.2"/>
    <row r="576" s="46" customFormat="1" ht="15.75" customHeight="1" x14ac:dyDescent="0.2"/>
    <row r="577" s="46" customFormat="1" ht="15.75" customHeight="1" x14ac:dyDescent="0.2"/>
    <row r="578" s="46" customFormat="1" ht="15.75" customHeight="1" x14ac:dyDescent="0.2"/>
    <row r="579" s="46" customFormat="1" ht="15.75" customHeight="1" x14ac:dyDescent="0.2"/>
    <row r="580" s="46" customFormat="1" ht="15.75" customHeight="1" x14ac:dyDescent="0.2"/>
    <row r="581" s="46" customFormat="1" ht="15.75" customHeight="1" x14ac:dyDescent="0.2"/>
    <row r="582" s="46" customFormat="1" ht="15.75" customHeight="1" x14ac:dyDescent="0.2"/>
    <row r="583" s="46" customFormat="1" ht="15.75" customHeight="1" x14ac:dyDescent="0.2"/>
    <row r="584" s="46" customFormat="1" ht="15.75" customHeight="1" x14ac:dyDescent="0.2"/>
    <row r="585" s="46" customFormat="1" ht="15.75" customHeight="1" x14ac:dyDescent="0.2"/>
    <row r="586" s="46" customFormat="1" ht="15.75" customHeight="1" x14ac:dyDescent="0.2"/>
    <row r="587" s="46" customFormat="1" ht="15.75" customHeight="1" x14ac:dyDescent="0.2"/>
    <row r="588" s="46" customFormat="1" ht="15.75" customHeight="1" x14ac:dyDescent="0.2"/>
    <row r="589" s="46" customFormat="1" ht="15.75" customHeight="1" x14ac:dyDescent="0.2"/>
    <row r="590" s="46" customFormat="1" ht="15.75" customHeight="1" x14ac:dyDescent="0.2"/>
    <row r="591" s="46" customFormat="1" ht="15.75" customHeight="1" x14ac:dyDescent="0.2"/>
    <row r="592" s="46" customFormat="1" ht="15.75" customHeight="1" x14ac:dyDescent="0.2"/>
    <row r="593" s="46" customFormat="1" ht="15.75" customHeight="1" x14ac:dyDescent="0.2"/>
    <row r="594" s="46" customFormat="1" ht="15.75" customHeight="1" x14ac:dyDescent="0.2"/>
    <row r="595" s="46" customFormat="1" ht="15.75" customHeight="1" x14ac:dyDescent="0.2"/>
    <row r="596" s="46" customFormat="1" ht="15.75" customHeight="1" x14ac:dyDescent="0.2"/>
    <row r="597" s="46" customFormat="1" ht="15.75" customHeight="1" x14ac:dyDescent="0.2"/>
    <row r="598" s="46" customFormat="1" ht="15.75" customHeight="1" x14ac:dyDescent="0.2"/>
    <row r="599" s="46" customFormat="1" ht="15.75" customHeight="1" x14ac:dyDescent="0.2"/>
    <row r="600" s="46" customFormat="1" ht="15.75" customHeight="1" x14ac:dyDescent="0.2"/>
    <row r="601" s="46" customFormat="1" ht="15.75" customHeight="1" x14ac:dyDescent="0.2"/>
    <row r="602" s="46" customFormat="1" ht="15.75" customHeight="1" x14ac:dyDescent="0.2"/>
    <row r="603" s="46" customFormat="1" ht="15.75" customHeight="1" x14ac:dyDescent="0.2"/>
    <row r="604" s="46" customFormat="1" ht="15.75" customHeight="1" x14ac:dyDescent="0.2"/>
    <row r="605" s="46" customFormat="1" ht="15.75" customHeight="1" x14ac:dyDescent="0.2"/>
    <row r="606" s="46" customFormat="1" ht="15.75" customHeight="1" x14ac:dyDescent="0.2"/>
    <row r="607" s="46" customFormat="1" ht="15.75" customHeight="1" x14ac:dyDescent="0.2"/>
    <row r="608" s="46" customFormat="1" ht="15.75" customHeight="1" x14ac:dyDescent="0.2"/>
    <row r="609" s="46" customFormat="1" ht="15.75" customHeight="1" x14ac:dyDescent="0.2"/>
    <row r="610" s="46" customFormat="1" ht="15.75" customHeight="1" x14ac:dyDescent="0.2"/>
    <row r="611" s="46" customFormat="1" ht="15.75" customHeight="1" x14ac:dyDescent="0.2"/>
    <row r="612" s="46" customFormat="1" ht="15.75" customHeight="1" x14ac:dyDescent="0.2"/>
    <row r="613" s="46" customFormat="1" ht="15.75" customHeight="1" x14ac:dyDescent="0.2"/>
    <row r="614" s="46" customFormat="1" ht="15.75" customHeight="1" x14ac:dyDescent="0.2"/>
    <row r="615" s="46" customFormat="1" ht="15.75" customHeight="1" x14ac:dyDescent="0.2"/>
    <row r="616" s="46" customFormat="1" ht="15.75" customHeight="1" x14ac:dyDescent="0.2"/>
    <row r="617" s="46" customFormat="1" ht="15.75" customHeight="1" x14ac:dyDescent="0.2"/>
    <row r="618" s="46" customFormat="1" ht="15.75" customHeight="1" x14ac:dyDescent="0.2"/>
    <row r="619" s="46" customFormat="1" ht="15.75" customHeight="1" x14ac:dyDescent="0.2"/>
    <row r="620" s="46" customFormat="1" ht="15.75" customHeight="1" x14ac:dyDescent="0.2"/>
    <row r="621" s="46" customFormat="1" ht="15.75" customHeight="1" x14ac:dyDescent="0.2"/>
    <row r="622" s="46" customFormat="1" ht="15.75" customHeight="1" x14ac:dyDescent="0.2"/>
    <row r="623" s="46" customFormat="1" ht="15.75" customHeight="1" x14ac:dyDescent="0.2"/>
    <row r="624" s="46" customFormat="1" ht="15.75" customHeight="1" x14ac:dyDescent="0.2"/>
    <row r="625" s="46" customFormat="1" ht="15.75" customHeight="1" x14ac:dyDescent="0.2"/>
    <row r="626" s="46" customFormat="1" ht="15.75" customHeight="1" x14ac:dyDescent="0.2"/>
    <row r="627" s="46" customFormat="1" ht="15.75" customHeight="1" x14ac:dyDescent="0.2"/>
    <row r="628" s="46" customFormat="1" ht="15.75" customHeight="1" x14ac:dyDescent="0.2"/>
    <row r="629" s="46" customFormat="1" ht="15.75" customHeight="1" x14ac:dyDescent="0.2"/>
    <row r="630" s="46" customFormat="1" ht="15.75" customHeight="1" x14ac:dyDescent="0.2"/>
    <row r="631" s="46" customFormat="1" ht="15.75" customHeight="1" x14ac:dyDescent="0.2"/>
    <row r="632" s="46" customFormat="1" ht="15.75" customHeight="1" x14ac:dyDescent="0.2"/>
    <row r="633" s="46" customFormat="1" ht="15.75" customHeight="1" x14ac:dyDescent="0.2"/>
    <row r="634" s="46" customFormat="1" ht="15.75" customHeight="1" x14ac:dyDescent="0.2"/>
    <row r="635" s="46" customFormat="1" ht="15.75" customHeight="1" x14ac:dyDescent="0.2"/>
    <row r="636" s="46" customFormat="1" ht="15.75" customHeight="1" x14ac:dyDescent="0.2"/>
    <row r="637" s="46" customFormat="1" ht="15.75" customHeight="1" x14ac:dyDescent="0.2"/>
    <row r="638" s="46" customFormat="1" ht="15.75" customHeight="1" x14ac:dyDescent="0.2"/>
    <row r="639" s="46" customFormat="1" ht="15.75" customHeight="1" x14ac:dyDescent="0.2"/>
    <row r="640" s="46" customFormat="1" ht="15.75" customHeight="1" x14ac:dyDescent="0.2"/>
    <row r="641" s="46" customFormat="1" ht="15.75" customHeight="1" x14ac:dyDescent="0.2"/>
    <row r="642" s="46" customFormat="1" ht="15.75" customHeight="1" x14ac:dyDescent="0.2"/>
    <row r="643" s="46" customFormat="1" ht="15.75" customHeight="1" x14ac:dyDescent="0.2"/>
    <row r="644" s="46" customFormat="1" ht="15.75" customHeight="1" x14ac:dyDescent="0.2"/>
    <row r="645" s="46" customFormat="1" ht="15.75" customHeight="1" x14ac:dyDescent="0.2"/>
    <row r="646" s="46" customFormat="1" ht="15.75" customHeight="1" x14ac:dyDescent="0.2"/>
    <row r="647" s="46" customFormat="1" ht="15.75" customHeight="1" x14ac:dyDescent="0.2"/>
    <row r="648" s="46" customFormat="1" ht="15.75" customHeight="1" x14ac:dyDescent="0.2"/>
    <row r="649" s="46" customFormat="1" ht="15.75" customHeight="1" x14ac:dyDescent="0.2"/>
    <row r="650" s="46" customFormat="1" ht="15.75" customHeight="1" x14ac:dyDescent="0.2"/>
    <row r="651" s="46" customFormat="1" ht="15.75" customHeight="1" x14ac:dyDescent="0.2"/>
    <row r="652" s="46" customFormat="1" ht="15.75" customHeight="1" x14ac:dyDescent="0.2"/>
    <row r="653" s="46" customFormat="1" ht="15.75" customHeight="1" x14ac:dyDescent="0.2"/>
    <row r="654" s="46" customFormat="1" ht="15.75" customHeight="1" x14ac:dyDescent="0.2"/>
    <row r="655" s="46" customFormat="1" ht="15.75" customHeight="1" x14ac:dyDescent="0.2"/>
    <row r="656" s="46" customFormat="1" ht="15.75" customHeight="1" x14ac:dyDescent="0.2"/>
    <row r="657" s="46" customFormat="1" ht="15.75" customHeight="1" x14ac:dyDescent="0.2"/>
    <row r="658" s="46" customFormat="1" ht="15.75" customHeight="1" x14ac:dyDescent="0.2"/>
    <row r="659" s="46" customFormat="1" ht="15.75" customHeight="1" x14ac:dyDescent="0.2"/>
    <row r="660" s="46" customFormat="1" ht="15.75" customHeight="1" x14ac:dyDescent="0.2"/>
    <row r="661" s="46" customFormat="1" ht="15.75" customHeight="1" x14ac:dyDescent="0.2"/>
    <row r="662" s="46" customFormat="1" ht="15.75" customHeight="1" x14ac:dyDescent="0.2"/>
    <row r="663" s="46" customFormat="1" ht="15.75" customHeight="1" x14ac:dyDescent="0.2"/>
    <row r="664" s="46" customFormat="1" ht="15.75" customHeight="1" x14ac:dyDescent="0.2"/>
    <row r="665" s="46" customFormat="1" ht="15.75" customHeight="1" x14ac:dyDescent="0.2"/>
    <row r="666" s="46" customFormat="1" ht="15.75" customHeight="1" x14ac:dyDescent="0.2"/>
    <row r="667" s="46" customFormat="1" ht="15.75" customHeight="1" x14ac:dyDescent="0.2"/>
    <row r="668" s="46" customFormat="1" ht="15.75" customHeight="1" x14ac:dyDescent="0.2"/>
    <row r="669" s="46" customFormat="1" ht="15.75" customHeight="1" x14ac:dyDescent="0.2"/>
    <row r="670" s="46" customFormat="1" ht="15.75" customHeight="1" x14ac:dyDescent="0.2"/>
    <row r="671" s="46" customFormat="1" ht="15.75" customHeight="1" x14ac:dyDescent="0.2"/>
    <row r="672" s="46" customFormat="1" ht="15.75" customHeight="1" x14ac:dyDescent="0.2"/>
    <row r="673" s="46" customFormat="1" ht="15.75" customHeight="1" x14ac:dyDescent="0.2"/>
    <row r="674" s="46" customFormat="1" ht="15.75" customHeight="1" x14ac:dyDescent="0.2"/>
    <row r="675" s="46" customFormat="1" ht="15.75" customHeight="1" x14ac:dyDescent="0.2"/>
    <row r="676" s="46" customFormat="1" ht="15.75" customHeight="1" x14ac:dyDescent="0.2"/>
    <row r="677" s="46" customFormat="1" ht="15.75" customHeight="1" x14ac:dyDescent="0.2"/>
    <row r="678" s="46" customFormat="1" ht="15.75" customHeight="1" x14ac:dyDescent="0.2"/>
    <row r="679" s="46" customFormat="1" ht="15.75" customHeight="1" x14ac:dyDescent="0.2"/>
    <row r="680" s="46" customFormat="1" ht="15.75" customHeight="1" x14ac:dyDescent="0.2"/>
    <row r="681" s="46" customFormat="1" ht="15.75" customHeight="1" x14ac:dyDescent="0.2"/>
    <row r="682" s="46" customFormat="1" ht="15.75" customHeight="1" x14ac:dyDescent="0.2"/>
    <row r="683" s="46" customFormat="1" ht="15.75" customHeight="1" x14ac:dyDescent="0.2"/>
    <row r="684" s="46" customFormat="1" ht="15.75" customHeight="1" x14ac:dyDescent="0.2"/>
    <row r="685" s="46" customFormat="1" ht="15.75" customHeight="1" x14ac:dyDescent="0.2"/>
    <row r="686" s="46" customFormat="1" ht="15.75" customHeight="1" x14ac:dyDescent="0.2"/>
    <row r="687" s="46" customFormat="1" ht="15.75" customHeight="1" x14ac:dyDescent="0.2"/>
    <row r="688" s="46" customFormat="1" ht="15.75" customHeight="1" x14ac:dyDescent="0.2"/>
    <row r="689" s="46" customFormat="1" ht="15.75" customHeight="1" x14ac:dyDescent="0.2"/>
    <row r="690" s="46" customFormat="1" ht="15.75" customHeight="1" x14ac:dyDescent="0.2"/>
    <row r="691" s="46" customFormat="1" ht="15.75" customHeight="1" x14ac:dyDescent="0.2"/>
    <row r="692" s="46" customFormat="1" ht="15.75" customHeight="1" x14ac:dyDescent="0.2"/>
    <row r="693" s="46" customFormat="1" ht="15.75" customHeight="1" x14ac:dyDescent="0.2"/>
    <row r="694" s="46" customFormat="1" ht="15.75" customHeight="1" x14ac:dyDescent="0.2"/>
    <row r="695" s="46" customFormat="1" ht="15.75" customHeight="1" x14ac:dyDescent="0.2"/>
    <row r="696" s="46" customFormat="1" ht="15.75" customHeight="1" x14ac:dyDescent="0.2"/>
    <row r="697" s="46" customFormat="1" ht="15.75" customHeight="1" x14ac:dyDescent="0.2"/>
    <row r="698" s="46" customFormat="1" ht="15.75" customHeight="1" x14ac:dyDescent="0.2"/>
    <row r="699" s="46" customFormat="1" ht="15.75" customHeight="1" x14ac:dyDescent="0.2"/>
    <row r="700" s="46" customFormat="1" ht="15.75" customHeight="1" x14ac:dyDescent="0.2"/>
    <row r="701" s="46" customFormat="1" ht="15.75" customHeight="1" x14ac:dyDescent="0.2"/>
    <row r="702" s="46" customFormat="1" ht="15.75" customHeight="1" x14ac:dyDescent="0.2"/>
    <row r="703" s="46" customFormat="1" ht="15.75" customHeight="1" x14ac:dyDescent="0.2"/>
    <row r="704" s="46" customFormat="1" ht="15.75" customHeight="1" x14ac:dyDescent="0.2"/>
    <row r="705" s="46" customFormat="1" ht="15.75" customHeight="1" x14ac:dyDescent="0.2"/>
    <row r="706" s="46" customFormat="1" ht="15.75" customHeight="1" x14ac:dyDescent="0.2"/>
    <row r="707" s="46" customFormat="1" ht="15.75" customHeight="1" x14ac:dyDescent="0.2"/>
    <row r="708" s="46" customFormat="1" ht="15.75" customHeight="1" x14ac:dyDescent="0.2"/>
    <row r="709" s="46" customFormat="1" ht="15.75" customHeight="1" x14ac:dyDescent="0.2"/>
    <row r="710" s="46" customFormat="1" ht="15.75" customHeight="1" x14ac:dyDescent="0.2"/>
    <row r="711" s="46" customFormat="1" ht="15.75" customHeight="1" x14ac:dyDescent="0.2"/>
    <row r="712" s="46" customFormat="1" ht="15.75" customHeight="1" x14ac:dyDescent="0.2"/>
    <row r="713" s="46" customFormat="1" ht="15.75" customHeight="1" x14ac:dyDescent="0.2"/>
    <row r="714" s="46" customFormat="1" ht="15.75" customHeight="1" x14ac:dyDescent="0.2"/>
    <row r="715" s="46" customFormat="1" ht="15.75" customHeight="1" x14ac:dyDescent="0.2"/>
    <row r="716" s="46" customFormat="1" ht="15.75" customHeight="1" x14ac:dyDescent="0.2"/>
    <row r="717" s="46" customFormat="1" ht="15.75" customHeight="1" x14ac:dyDescent="0.2"/>
    <row r="718" s="46" customFormat="1" ht="15.75" customHeight="1" x14ac:dyDescent="0.2"/>
    <row r="719" s="46" customFormat="1" ht="15.75" customHeight="1" x14ac:dyDescent="0.2"/>
    <row r="720" s="46" customFormat="1" ht="15.75" customHeight="1" x14ac:dyDescent="0.2"/>
    <row r="721" s="46" customFormat="1" ht="15.75" customHeight="1" x14ac:dyDescent="0.2"/>
    <row r="722" s="46" customFormat="1" ht="15.75" customHeight="1" x14ac:dyDescent="0.2"/>
    <row r="723" s="46" customFormat="1" ht="15.75" customHeight="1" x14ac:dyDescent="0.2"/>
    <row r="724" s="46" customFormat="1" ht="15.75" customHeight="1" x14ac:dyDescent="0.2"/>
    <row r="725" s="46" customFormat="1" ht="15.75" customHeight="1" x14ac:dyDescent="0.2"/>
    <row r="726" s="46" customFormat="1" ht="15.75" customHeight="1" x14ac:dyDescent="0.2"/>
    <row r="727" s="46" customFormat="1" ht="15.75" customHeight="1" x14ac:dyDescent="0.2"/>
    <row r="728" s="46" customFormat="1" ht="15.75" customHeight="1" x14ac:dyDescent="0.2"/>
    <row r="729" s="46" customFormat="1" ht="15.75" customHeight="1" x14ac:dyDescent="0.2"/>
    <row r="730" s="46" customFormat="1" ht="15.75" customHeight="1" x14ac:dyDescent="0.2"/>
    <row r="731" s="46" customFormat="1" ht="15.75" customHeight="1" x14ac:dyDescent="0.2"/>
    <row r="732" s="46" customFormat="1" ht="15.75" customHeight="1" x14ac:dyDescent="0.2"/>
    <row r="733" s="46" customFormat="1" ht="15.75" customHeight="1" x14ac:dyDescent="0.2"/>
    <row r="734" s="46" customFormat="1" ht="15.75" customHeight="1" x14ac:dyDescent="0.2"/>
    <row r="735" s="46" customFormat="1" ht="15.75" customHeight="1" x14ac:dyDescent="0.2"/>
    <row r="736" s="46" customFormat="1" ht="15.75" customHeight="1" x14ac:dyDescent="0.2"/>
    <row r="737" s="46" customFormat="1" ht="15.75" customHeight="1" x14ac:dyDescent="0.2"/>
    <row r="738" s="46" customFormat="1" ht="15.75" customHeight="1" x14ac:dyDescent="0.2"/>
    <row r="739" s="46" customFormat="1" ht="15.75" customHeight="1" x14ac:dyDescent="0.2"/>
    <row r="740" s="46" customFormat="1" ht="15.75" customHeight="1" x14ac:dyDescent="0.2"/>
    <row r="741" s="46" customFormat="1" ht="15.75" customHeight="1" x14ac:dyDescent="0.2"/>
    <row r="742" s="46" customFormat="1" ht="15.75" customHeight="1" x14ac:dyDescent="0.2"/>
    <row r="743" s="46" customFormat="1" ht="15.75" customHeight="1" x14ac:dyDescent="0.2"/>
    <row r="744" s="46" customFormat="1" ht="15.75" customHeight="1" x14ac:dyDescent="0.2"/>
    <row r="745" s="46" customFormat="1" ht="15.75" customHeight="1" x14ac:dyDescent="0.2"/>
    <row r="746" s="46" customFormat="1" ht="15.75" customHeight="1" x14ac:dyDescent="0.2"/>
    <row r="747" s="46" customFormat="1" ht="15.75" customHeight="1" x14ac:dyDescent="0.2"/>
    <row r="748" s="46" customFormat="1" ht="15.75" customHeight="1" x14ac:dyDescent="0.2"/>
    <row r="749" s="46" customFormat="1" ht="15.75" customHeight="1" x14ac:dyDescent="0.2"/>
    <row r="750" s="46" customFormat="1" ht="15.75" customHeight="1" x14ac:dyDescent="0.2"/>
    <row r="751" s="46" customFormat="1" ht="15.75" customHeight="1" x14ac:dyDescent="0.2"/>
    <row r="752" s="46" customFormat="1" ht="15.75" customHeight="1" x14ac:dyDescent="0.2"/>
    <row r="753" s="46" customFormat="1" ht="15.75" customHeight="1" x14ac:dyDescent="0.2"/>
    <row r="754" s="46" customFormat="1" ht="15.75" customHeight="1" x14ac:dyDescent="0.2"/>
    <row r="755" s="46" customFormat="1" ht="15.75" customHeight="1" x14ac:dyDescent="0.2"/>
    <row r="756" s="46" customFormat="1" ht="15.75" customHeight="1" x14ac:dyDescent="0.2"/>
    <row r="757" s="46" customFormat="1" ht="15.75" customHeight="1" x14ac:dyDescent="0.2"/>
    <row r="758" s="46" customFormat="1" ht="15.75" customHeight="1" x14ac:dyDescent="0.2"/>
    <row r="759" s="46" customFormat="1" ht="15.75" customHeight="1" x14ac:dyDescent="0.2"/>
    <row r="760" s="46" customFormat="1" ht="15.75" customHeight="1" x14ac:dyDescent="0.2"/>
    <row r="761" s="46" customFormat="1" ht="15.75" customHeight="1" x14ac:dyDescent="0.2"/>
    <row r="762" s="46" customFormat="1" ht="15.75" customHeight="1" x14ac:dyDescent="0.2"/>
    <row r="763" s="46" customFormat="1" ht="15.75" customHeight="1" x14ac:dyDescent="0.2"/>
    <row r="764" s="46" customFormat="1" ht="15.75" customHeight="1" x14ac:dyDescent="0.2"/>
    <row r="765" s="46" customFormat="1" ht="15.75" customHeight="1" x14ac:dyDescent="0.2"/>
    <row r="766" s="46" customFormat="1" ht="15.75" customHeight="1" x14ac:dyDescent="0.2"/>
    <row r="767" s="46" customFormat="1" ht="15.75" customHeight="1" x14ac:dyDescent="0.2"/>
    <row r="768" s="46" customFormat="1" ht="15.75" customHeight="1" x14ac:dyDescent="0.2"/>
    <row r="769" s="46" customFormat="1" ht="15.75" customHeight="1" x14ac:dyDescent="0.2"/>
    <row r="770" s="46" customFormat="1" ht="15.75" customHeight="1" x14ac:dyDescent="0.2"/>
    <row r="771" s="46" customFormat="1" ht="15.75" customHeight="1" x14ac:dyDescent="0.2"/>
    <row r="772" s="46" customFormat="1" ht="15.75" customHeight="1" x14ac:dyDescent="0.2"/>
    <row r="773" s="46" customFormat="1" ht="15.75" customHeight="1" x14ac:dyDescent="0.2"/>
    <row r="774" s="46" customFormat="1" ht="15.75" customHeight="1" x14ac:dyDescent="0.2"/>
    <row r="775" s="46" customFormat="1" ht="15.75" customHeight="1" x14ac:dyDescent="0.2"/>
    <row r="776" s="46" customFormat="1" ht="15.75" customHeight="1" x14ac:dyDescent="0.2"/>
    <row r="777" s="46" customFormat="1" ht="15.75" customHeight="1" x14ac:dyDescent="0.2"/>
    <row r="778" s="46" customFormat="1" ht="15.75" customHeight="1" x14ac:dyDescent="0.2"/>
    <row r="779" s="46" customFormat="1" ht="15.75" customHeight="1" x14ac:dyDescent="0.2"/>
    <row r="780" s="46" customFormat="1" ht="15.75" customHeight="1" x14ac:dyDescent="0.2"/>
    <row r="781" s="46" customFormat="1" ht="15.75" customHeight="1" x14ac:dyDescent="0.2"/>
    <row r="782" s="46" customFormat="1" ht="15.75" customHeight="1" x14ac:dyDescent="0.2"/>
    <row r="783" s="46" customFormat="1" ht="15.75" customHeight="1" x14ac:dyDescent="0.2"/>
    <row r="784" s="46" customFormat="1" ht="15.75" customHeight="1" x14ac:dyDescent="0.2"/>
    <row r="785" s="46" customFormat="1" ht="15.75" customHeight="1" x14ac:dyDescent="0.2"/>
    <row r="786" s="46" customFormat="1" ht="15.75" customHeight="1" x14ac:dyDescent="0.2"/>
    <row r="787" s="46" customFormat="1" ht="15.75" customHeight="1" x14ac:dyDescent="0.2"/>
    <row r="788" s="46" customFormat="1" ht="15.75" customHeight="1" x14ac:dyDescent="0.2"/>
    <row r="789" s="46" customFormat="1" ht="15.75" customHeight="1" x14ac:dyDescent="0.2"/>
    <row r="790" s="46" customFormat="1" ht="15.75" customHeight="1" x14ac:dyDescent="0.2"/>
    <row r="791" s="46" customFormat="1" ht="15.75" customHeight="1" x14ac:dyDescent="0.2"/>
    <row r="792" s="46" customFormat="1" ht="15.75" customHeight="1" x14ac:dyDescent="0.2"/>
    <row r="793" s="46" customFormat="1" ht="15.75" customHeight="1" x14ac:dyDescent="0.2"/>
    <row r="794" s="46" customFormat="1" ht="15.75" customHeight="1" x14ac:dyDescent="0.2"/>
    <row r="795" s="46" customFormat="1" ht="15.75" customHeight="1" x14ac:dyDescent="0.2"/>
    <row r="796" s="46" customFormat="1" ht="15.75" customHeight="1" x14ac:dyDescent="0.2"/>
    <row r="797" s="46" customFormat="1" ht="15.75" customHeight="1" x14ac:dyDescent="0.2"/>
    <row r="798" s="46" customFormat="1" ht="15.75" customHeight="1" x14ac:dyDescent="0.2"/>
    <row r="799" s="46" customFormat="1" ht="15.75" customHeight="1" x14ac:dyDescent="0.2"/>
    <row r="800" s="46" customFormat="1" ht="15.75" customHeight="1" x14ac:dyDescent="0.2"/>
    <row r="801" s="46" customFormat="1" ht="15.75" customHeight="1" x14ac:dyDescent="0.2"/>
    <row r="802" s="46" customFormat="1" ht="15.75" customHeight="1" x14ac:dyDescent="0.2"/>
    <row r="803" s="46" customFormat="1" ht="15.75" customHeight="1" x14ac:dyDescent="0.2"/>
    <row r="804" s="46" customFormat="1" ht="15.75" customHeight="1" x14ac:dyDescent="0.2"/>
    <row r="805" s="46" customFormat="1" ht="15.75" customHeight="1" x14ac:dyDescent="0.2"/>
    <row r="806" s="46" customFormat="1" ht="15.75" customHeight="1" x14ac:dyDescent="0.2"/>
    <row r="807" s="46" customFormat="1" ht="15.75" customHeight="1" x14ac:dyDescent="0.2"/>
    <row r="808" s="46" customFormat="1" ht="15.75" customHeight="1" x14ac:dyDescent="0.2"/>
    <row r="809" s="46" customFormat="1" ht="15.75" customHeight="1" x14ac:dyDescent="0.2"/>
    <row r="810" s="46" customFormat="1" ht="15.75" customHeight="1" x14ac:dyDescent="0.2"/>
    <row r="811" s="46" customFormat="1" ht="15.75" customHeight="1" x14ac:dyDescent="0.2"/>
    <row r="812" s="46" customFormat="1" ht="15.75" customHeight="1" x14ac:dyDescent="0.2"/>
    <row r="813" s="46" customFormat="1" ht="15.75" customHeight="1" x14ac:dyDescent="0.2"/>
    <row r="814" s="46" customFormat="1" ht="15.75" customHeight="1" x14ac:dyDescent="0.2"/>
    <row r="815" s="46" customFormat="1" ht="15.75" customHeight="1" x14ac:dyDescent="0.2"/>
    <row r="816" s="46" customFormat="1" ht="15.75" customHeight="1" x14ac:dyDescent="0.2"/>
    <row r="817" s="46" customFormat="1" ht="15.75" customHeight="1" x14ac:dyDescent="0.2"/>
    <row r="818" s="46" customFormat="1" ht="15.75" customHeight="1" x14ac:dyDescent="0.2"/>
    <row r="819" s="46" customFormat="1" ht="15.75" customHeight="1" x14ac:dyDescent="0.2"/>
    <row r="820" s="46" customFormat="1" ht="15.75" customHeight="1" x14ac:dyDescent="0.2"/>
    <row r="821" s="46" customFormat="1" ht="15.75" customHeight="1" x14ac:dyDescent="0.2"/>
    <row r="822" s="46" customFormat="1" ht="15.75" customHeight="1" x14ac:dyDescent="0.2"/>
    <row r="823" s="46" customFormat="1" ht="15.75" customHeight="1" x14ac:dyDescent="0.2"/>
    <row r="824" s="46" customFormat="1" ht="15.75" customHeight="1" x14ac:dyDescent="0.2"/>
    <row r="825" s="46" customFormat="1" ht="15.75" customHeight="1" x14ac:dyDescent="0.2"/>
    <row r="826" s="46" customFormat="1" ht="15.75" customHeight="1" x14ac:dyDescent="0.2"/>
    <row r="827" s="46" customFormat="1" ht="15.75" customHeight="1" x14ac:dyDescent="0.2"/>
    <row r="828" s="46" customFormat="1" ht="15.75" customHeight="1" x14ac:dyDescent="0.2"/>
    <row r="829" s="46" customFormat="1" ht="15.75" customHeight="1" x14ac:dyDescent="0.2"/>
    <row r="830" s="46" customFormat="1" ht="15.75" customHeight="1" x14ac:dyDescent="0.2"/>
    <row r="831" s="46" customFormat="1" ht="15.75" customHeight="1" x14ac:dyDescent="0.2"/>
    <row r="832" s="46" customFormat="1" ht="15.75" customHeight="1" x14ac:dyDescent="0.2"/>
    <row r="833" s="46" customFormat="1" ht="15.75" customHeight="1" x14ac:dyDescent="0.2"/>
    <row r="834" s="46" customFormat="1" ht="15.75" customHeight="1" x14ac:dyDescent="0.2"/>
    <row r="835" s="46" customFormat="1" ht="15.75" customHeight="1" x14ac:dyDescent="0.2"/>
    <row r="836" s="46" customFormat="1" ht="15.75" customHeight="1" x14ac:dyDescent="0.2"/>
    <row r="837" s="46" customFormat="1" ht="15.75" customHeight="1" x14ac:dyDescent="0.2"/>
    <row r="838" s="46" customFormat="1" ht="15.75" customHeight="1" x14ac:dyDescent="0.2"/>
    <row r="839" s="46" customFormat="1" ht="15.75" customHeight="1" x14ac:dyDescent="0.2"/>
    <row r="840" s="46" customFormat="1" ht="15.75" customHeight="1" x14ac:dyDescent="0.2"/>
    <row r="841" s="46" customFormat="1" ht="15.75" customHeight="1" x14ac:dyDescent="0.2"/>
    <row r="842" s="46" customFormat="1" ht="15.75" customHeight="1" x14ac:dyDescent="0.2"/>
    <row r="843" s="46" customFormat="1" ht="15.75" customHeight="1" x14ac:dyDescent="0.2"/>
    <row r="844" s="46" customFormat="1" ht="15.75" customHeight="1" x14ac:dyDescent="0.2"/>
    <row r="845" s="46" customFormat="1" ht="15.75" customHeight="1" x14ac:dyDescent="0.2"/>
    <row r="846" s="46" customFormat="1" ht="15.75" customHeight="1" x14ac:dyDescent="0.2"/>
    <row r="847" s="46" customFormat="1" ht="15.75" customHeight="1" x14ac:dyDescent="0.2"/>
    <row r="848" s="46" customFormat="1" ht="15.75" customHeight="1" x14ac:dyDescent="0.2"/>
    <row r="849" s="46" customFormat="1" ht="15.75" customHeight="1" x14ac:dyDescent="0.2"/>
    <row r="850" s="46" customFormat="1" ht="15.75" customHeight="1" x14ac:dyDescent="0.2"/>
    <row r="851" s="46" customFormat="1" ht="15.75" customHeight="1" x14ac:dyDescent="0.2"/>
    <row r="852" s="46" customFormat="1" ht="15.75" customHeight="1" x14ac:dyDescent="0.2"/>
    <row r="853" s="46" customFormat="1" ht="15.75" customHeight="1" x14ac:dyDescent="0.2"/>
    <row r="854" s="46" customFormat="1" ht="15.75" customHeight="1" x14ac:dyDescent="0.2"/>
    <row r="855" s="46" customFormat="1" ht="15.75" customHeight="1" x14ac:dyDescent="0.2"/>
    <row r="856" s="46" customFormat="1" ht="15.75" customHeight="1" x14ac:dyDescent="0.2"/>
    <row r="857" s="46" customFormat="1" ht="15.75" customHeight="1" x14ac:dyDescent="0.2"/>
    <row r="858" s="46" customFormat="1" ht="15.75" customHeight="1" x14ac:dyDescent="0.2"/>
    <row r="859" s="46" customFormat="1" ht="15.75" customHeight="1" x14ac:dyDescent="0.2"/>
    <row r="860" s="46" customFormat="1" ht="15.75" customHeight="1" x14ac:dyDescent="0.2"/>
    <row r="861" s="46" customFormat="1" ht="15.75" customHeight="1" x14ac:dyDescent="0.2"/>
    <row r="862" s="46" customFormat="1" ht="15.75" customHeight="1" x14ac:dyDescent="0.2"/>
    <row r="863" s="46" customFormat="1" ht="15.75" customHeight="1" x14ac:dyDescent="0.2"/>
    <row r="864" s="46" customFormat="1" ht="15.75" customHeight="1" x14ac:dyDescent="0.2"/>
    <row r="865" s="46" customFormat="1" ht="15.75" customHeight="1" x14ac:dyDescent="0.2"/>
    <row r="866" s="46" customFormat="1" ht="15.75" customHeight="1" x14ac:dyDescent="0.2"/>
    <row r="867" s="46" customFormat="1" ht="15.75" customHeight="1" x14ac:dyDescent="0.2"/>
    <row r="868" s="46" customFormat="1" ht="15.75" customHeight="1" x14ac:dyDescent="0.2"/>
    <row r="869" s="46" customFormat="1" ht="15.75" customHeight="1" x14ac:dyDescent="0.2"/>
    <row r="870" s="46" customFormat="1" ht="15.75" customHeight="1" x14ac:dyDescent="0.2"/>
    <row r="871" s="46" customFormat="1" ht="15.75" customHeight="1" x14ac:dyDescent="0.2"/>
    <row r="872" s="46" customFormat="1" ht="15.75" customHeight="1" x14ac:dyDescent="0.2"/>
    <row r="873" s="46" customFormat="1" ht="15.75" customHeight="1" x14ac:dyDescent="0.2"/>
    <row r="874" s="46" customFormat="1" ht="15.75" customHeight="1" x14ac:dyDescent="0.2"/>
    <row r="875" s="46" customFormat="1" ht="15.75" customHeight="1" x14ac:dyDescent="0.2"/>
    <row r="876" s="46" customFormat="1" ht="15.75" customHeight="1" x14ac:dyDescent="0.2"/>
    <row r="877" s="46" customFormat="1" ht="15.75" customHeight="1" x14ac:dyDescent="0.2"/>
    <row r="878" s="46" customFormat="1" ht="15.75" customHeight="1" x14ac:dyDescent="0.2"/>
    <row r="879" s="46" customFormat="1" ht="15.75" customHeight="1" x14ac:dyDescent="0.2"/>
    <row r="880" s="46" customFormat="1" ht="15.75" customHeight="1" x14ac:dyDescent="0.2"/>
    <row r="881" s="46" customFormat="1" ht="15.75" customHeight="1" x14ac:dyDescent="0.2"/>
    <row r="882" s="46" customFormat="1" ht="15.75" customHeight="1" x14ac:dyDescent="0.2"/>
    <row r="883" s="46" customFormat="1" ht="15.75" customHeight="1" x14ac:dyDescent="0.2"/>
    <row r="884" s="46" customFormat="1" ht="15.75" customHeight="1" x14ac:dyDescent="0.2"/>
    <row r="885" s="46" customFormat="1" ht="15.75" customHeight="1" x14ac:dyDescent="0.2"/>
    <row r="886" s="46" customFormat="1" ht="15.75" customHeight="1" x14ac:dyDescent="0.2"/>
    <row r="887" s="46" customFormat="1" ht="15.75" customHeight="1" x14ac:dyDescent="0.2"/>
    <row r="888" s="46" customFormat="1" ht="15.75" customHeight="1" x14ac:dyDescent="0.2"/>
    <row r="889" s="46" customFormat="1" ht="15.75" customHeight="1" x14ac:dyDescent="0.2"/>
    <row r="890" s="46" customFormat="1" ht="15.75" customHeight="1" x14ac:dyDescent="0.2"/>
    <row r="891" s="46" customFormat="1" ht="15.75" customHeight="1" x14ac:dyDescent="0.2"/>
    <row r="892" s="46" customFormat="1" ht="15.75" customHeight="1" x14ac:dyDescent="0.2"/>
    <row r="893" s="46" customFormat="1" ht="15.75" customHeight="1" x14ac:dyDescent="0.2"/>
    <row r="894" s="46" customFormat="1" ht="15.75" customHeight="1" x14ac:dyDescent="0.2"/>
    <row r="895" s="46" customFormat="1" ht="15.75" customHeight="1" x14ac:dyDescent="0.2"/>
    <row r="896" s="46" customFormat="1" ht="15.75" customHeight="1" x14ac:dyDescent="0.2"/>
    <row r="897" s="46" customFormat="1" ht="15.75" customHeight="1" x14ac:dyDescent="0.2"/>
    <row r="898" s="46" customFormat="1" ht="15.75" customHeight="1" x14ac:dyDescent="0.2"/>
    <row r="899" s="46" customFormat="1" ht="15.75" customHeight="1" x14ac:dyDescent="0.2"/>
    <row r="900" s="46" customFormat="1" ht="15.75" customHeight="1" x14ac:dyDescent="0.2"/>
    <row r="901" s="46" customFormat="1" ht="15.75" customHeight="1" x14ac:dyDescent="0.2"/>
    <row r="902" s="46" customFormat="1" ht="15.75" customHeight="1" x14ac:dyDescent="0.2"/>
    <row r="903" s="46" customFormat="1" ht="15.75" customHeight="1" x14ac:dyDescent="0.2"/>
    <row r="904" s="46" customFormat="1" ht="15.75" customHeight="1" x14ac:dyDescent="0.2"/>
    <row r="905" s="46" customFormat="1" ht="15.75" customHeight="1" x14ac:dyDescent="0.2"/>
    <row r="906" s="46" customFormat="1" ht="15.75" customHeight="1" x14ac:dyDescent="0.2"/>
    <row r="907" s="46" customFormat="1" ht="15.75" customHeight="1" x14ac:dyDescent="0.2"/>
    <row r="908" s="46" customFormat="1" ht="15.75" customHeight="1" x14ac:dyDescent="0.2"/>
    <row r="909" s="46" customFormat="1" ht="15.75" customHeight="1" x14ac:dyDescent="0.2"/>
    <row r="910" s="46" customFormat="1" ht="15.75" customHeight="1" x14ac:dyDescent="0.2"/>
    <row r="911" s="46" customFormat="1" ht="15.75" customHeight="1" x14ac:dyDescent="0.2"/>
    <row r="912" s="46" customFormat="1" ht="15.75" customHeight="1" x14ac:dyDescent="0.2"/>
    <row r="913" s="46" customFormat="1" ht="15.75" customHeight="1" x14ac:dyDescent="0.2"/>
    <row r="914" s="46" customFormat="1" ht="15.75" customHeight="1" x14ac:dyDescent="0.2"/>
    <row r="915" s="46" customFormat="1" ht="15.75" customHeight="1" x14ac:dyDescent="0.2"/>
    <row r="916" s="46" customFormat="1" ht="15.75" customHeight="1" x14ac:dyDescent="0.2"/>
    <row r="917" s="46" customFormat="1" ht="15.75" customHeight="1" x14ac:dyDescent="0.2"/>
    <row r="918" s="46" customFormat="1" ht="15.75" customHeight="1" x14ac:dyDescent="0.2"/>
    <row r="919" s="46" customFormat="1" ht="15.75" customHeight="1" x14ac:dyDescent="0.2"/>
    <row r="920" s="46" customFormat="1" ht="15.75" customHeight="1" x14ac:dyDescent="0.2"/>
    <row r="921" s="46" customFormat="1" ht="15.75" customHeight="1" x14ac:dyDescent="0.2"/>
    <row r="922" s="46" customFormat="1" ht="15.75" customHeight="1" x14ac:dyDescent="0.2"/>
    <row r="923" s="46" customFormat="1" ht="15.75" customHeight="1" x14ac:dyDescent="0.2"/>
    <row r="924" s="46" customFormat="1" ht="15.75" customHeight="1" x14ac:dyDescent="0.2"/>
    <row r="925" s="46" customFormat="1" ht="15.75" customHeight="1" x14ac:dyDescent="0.2"/>
    <row r="926" s="46" customFormat="1" ht="15.75" customHeight="1" x14ac:dyDescent="0.2"/>
    <row r="927" s="46" customFormat="1" ht="15.75" customHeight="1" x14ac:dyDescent="0.2"/>
    <row r="928" s="46" customFormat="1" ht="15.75" customHeight="1" x14ac:dyDescent="0.2"/>
    <row r="929" s="46" customFormat="1" ht="15.75" customHeight="1" x14ac:dyDescent="0.2"/>
    <row r="930" s="46" customFormat="1" ht="15.75" customHeight="1" x14ac:dyDescent="0.2"/>
    <row r="931" s="46" customFormat="1" ht="15.75" customHeight="1" x14ac:dyDescent="0.2"/>
    <row r="932" s="46" customFormat="1" ht="15.75" customHeight="1" x14ac:dyDescent="0.2"/>
    <row r="933" s="46" customFormat="1" ht="15.75" customHeight="1" x14ac:dyDescent="0.2"/>
    <row r="934" s="46" customFormat="1" ht="15.75" customHeight="1" x14ac:dyDescent="0.2"/>
    <row r="935" s="46" customFormat="1" ht="15.75" customHeight="1" x14ac:dyDescent="0.2"/>
    <row r="936" s="46" customFormat="1" ht="15.75" customHeight="1" x14ac:dyDescent="0.2"/>
    <row r="937" s="46" customFormat="1" ht="15.75" customHeight="1" x14ac:dyDescent="0.2"/>
    <row r="938" s="46" customFormat="1" ht="15.75" customHeight="1" x14ac:dyDescent="0.2"/>
    <row r="939" s="46" customFormat="1" ht="15.75" customHeight="1" x14ac:dyDescent="0.2"/>
    <row r="940" s="46" customFormat="1" ht="15.75" customHeight="1" x14ac:dyDescent="0.2"/>
    <row r="941" s="46" customFormat="1" ht="15.75" customHeight="1" x14ac:dyDescent="0.2"/>
    <row r="942" s="46" customFormat="1" ht="15.75" customHeight="1" x14ac:dyDescent="0.2"/>
    <row r="943" s="46" customFormat="1" ht="15.75" customHeight="1" x14ac:dyDescent="0.2"/>
    <row r="944" s="46" customFormat="1" ht="15.75" customHeight="1" x14ac:dyDescent="0.2"/>
    <row r="945" s="46" customFormat="1" ht="15.75" customHeight="1" x14ac:dyDescent="0.2"/>
    <row r="946" s="46" customFormat="1" ht="15.75" customHeight="1" x14ac:dyDescent="0.2"/>
    <row r="947" s="46" customFormat="1" ht="15.75" customHeight="1" x14ac:dyDescent="0.2"/>
    <row r="948" s="46" customFormat="1" ht="15.75" customHeight="1" x14ac:dyDescent="0.2"/>
    <row r="949" s="46" customFormat="1" ht="15.75" customHeight="1" x14ac:dyDescent="0.2"/>
    <row r="950" s="46" customFormat="1" ht="15.75" customHeight="1" x14ac:dyDescent="0.2"/>
    <row r="951" s="46" customFormat="1" ht="15.75" customHeight="1" x14ac:dyDescent="0.2"/>
    <row r="952" s="46" customFormat="1" ht="15.75" customHeight="1" x14ac:dyDescent="0.2"/>
    <row r="953" s="46" customFormat="1" ht="15.75" customHeight="1" x14ac:dyDescent="0.2"/>
    <row r="954" s="46" customFormat="1" ht="15.75" customHeight="1" x14ac:dyDescent="0.2"/>
    <row r="955" s="46" customFormat="1" ht="15.75" customHeight="1" x14ac:dyDescent="0.2"/>
    <row r="956" s="46" customFormat="1" ht="15.75" customHeight="1" x14ac:dyDescent="0.2"/>
    <row r="957" s="46" customFormat="1" ht="15.75" customHeight="1" x14ac:dyDescent="0.2"/>
    <row r="958" s="46" customFormat="1" ht="15.75" customHeight="1" x14ac:dyDescent="0.2"/>
    <row r="959" s="46" customFormat="1" ht="15.75" customHeight="1" x14ac:dyDescent="0.2"/>
    <row r="960" s="46" customFormat="1" ht="15.75" customHeight="1" x14ac:dyDescent="0.2"/>
    <row r="961" s="46" customFormat="1" ht="15.75" customHeight="1" x14ac:dyDescent="0.2"/>
    <row r="962" s="46" customFormat="1" ht="15.75" customHeight="1" x14ac:dyDescent="0.2"/>
    <row r="963" s="46" customFormat="1" ht="15.75" customHeight="1" x14ac:dyDescent="0.2"/>
    <row r="964" s="46" customFormat="1" ht="15.75" customHeight="1" x14ac:dyDescent="0.2"/>
    <row r="965" s="46" customFormat="1" ht="15.75" customHeight="1" x14ac:dyDescent="0.2"/>
    <row r="966" s="46" customFormat="1" ht="15.75" customHeight="1" x14ac:dyDescent="0.2"/>
    <row r="967" s="46" customFormat="1" ht="15.75" customHeight="1" x14ac:dyDescent="0.2"/>
    <row r="968" s="46" customFormat="1" ht="15.75" customHeight="1" x14ac:dyDescent="0.2"/>
    <row r="969" s="46" customFormat="1" ht="15.75" customHeight="1" x14ac:dyDescent="0.2"/>
    <row r="970" s="46" customFormat="1" ht="15.75" customHeight="1" x14ac:dyDescent="0.2"/>
    <row r="971" s="46" customFormat="1" ht="15.75" customHeight="1" x14ac:dyDescent="0.2"/>
    <row r="972" s="46" customFormat="1" ht="15.75" customHeight="1" x14ac:dyDescent="0.2"/>
    <row r="973" s="46" customFormat="1" ht="15.75" customHeight="1" x14ac:dyDescent="0.2"/>
    <row r="974" s="46" customFormat="1" ht="15.75" customHeight="1" x14ac:dyDescent="0.2"/>
    <row r="975" s="46" customFormat="1" ht="15.75" customHeight="1" x14ac:dyDescent="0.2"/>
    <row r="976" s="46" customFormat="1" ht="15.75" customHeight="1" x14ac:dyDescent="0.2"/>
    <row r="977" s="46" customFormat="1" ht="15.75" customHeight="1" x14ac:dyDescent="0.2"/>
    <row r="978" s="46" customFormat="1" ht="15.75" customHeight="1" x14ac:dyDescent="0.2"/>
    <row r="979" s="46" customFormat="1" ht="15.75" customHeight="1" x14ac:dyDescent="0.2"/>
    <row r="980" s="46" customFormat="1" ht="15.75" customHeight="1" x14ac:dyDescent="0.2"/>
    <row r="981" s="46" customFormat="1" ht="15.75" customHeight="1" x14ac:dyDescent="0.2"/>
    <row r="982" s="46" customFormat="1" ht="15.75" customHeight="1" x14ac:dyDescent="0.2"/>
    <row r="983" s="46" customFormat="1" ht="15.75" customHeight="1" x14ac:dyDescent="0.2"/>
    <row r="984" s="46" customFormat="1" ht="15.75" customHeight="1" x14ac:dyDescent="0.2"/>
    <row r="985" s="46" customFormat="1" ht="15.75" customHeight="1" x14ac:dyDescent="0.2"/>
    <row r="986" s="46" customFormat="1" ht="15.75" customHeight="1" x14ac:dyDescent="0.2"/>
    <row r="987" s="46" customFormat="1" ht="15.75" customHeight="1" x14ac:dyDescent="0.2"/>
    <row r="988" s="46" customFormat="1" ht="15.75" customHeight="1" x14ac:dyDescent="0.2"/>
    <row r="989" s="46" customFormat="1" ht="15.75" customHeight="1" x14ac:dyDescent="0.2"/>
    <row r="990" s="46" customFormat="1" ht="15.75" customHeight="1" x14ac:dyDescent="0.2"/>
    <row r="991" s="46" customFormat="1" ht="15.75" customHeight="1" x14ac:dyDescent="0.2"/>
  </sheetData>
  <mergeCells count="3">
    <mergeCell ref="G1:H1"/>
    <mergeCell ref="D3:D4"/>
    <mergeCell ref="E3:E4"/>
  </mergeCell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EF814B9-BE2E-4CAA-9833-CC8F1521EB8F}">
          <x14:formula1>
            <xm:f>Factors!$C$6:$C$12</xm:f>
          </x14:formula1>
          <xm:sqref>B3</xm:sqref>
        </x14:dataValidation>
        <x14:dataValidation type="list" allowBlank="1" showInputMessage="1" showErrorMessage="1" xr:uid="{15F976A9-DCD5-48C6-A342-9016E999728C}">
          <x14:formula1>
            <xm:f>Factors!$D$5:$G$5</xm:f>
          </x14:formula1>
          <xm:sqref>B4</xm:sqref>
        </x14:dataValidation>
        <x14:dataValidation type="list" allowBlank="1" showInputMessage="1" showErrorMessage="1" xr:uid="{BA08E017-A399-45C2-A7B2-D948AD32FBE2}">
          <x14:formula1>
            <xm:f>Factors!$C$17:$C$20</xm:f>
          </x14:formula1>
          <xm:sqref>B5</xm:sqref>
        </x14:dataValidation>
        <x14:dataValidation type="list" allowBlank="1" showInputMessage="1" showErrorMessage="1" xr:uid="{01591A7A-EBCE-4227-86CB-851D3E248A14}">
          <x14:formula1>
            <xm:f>Factors!$E$17:$E$20</xm:f>
          </x14:formula1>
          <xm:sqref>B6</xm:sqref>
        </x14:dataValidation>
        <x14:dataValidation type="list" allowBlank="1" showInputMessage="1" showErrorMessage="1" xr:uid="{EE1E4FD9-C077-424B-BE28-FD8CA0E2E38B}">
          <x14:formula1>
            <xm:f>Factors!$G$17:$G$20</xm:f>
          </x14:formula1>
          <xm:sqref>B7</xm:sqref>
        </x14:dataValidation>
        <x14:dataValidation type="list" allowBlank="1" showInputMessage="1" showErrorMessage="1" xr:uid="{6AC723F5-4652-41DF-AADC-C9391B10718B}">
          <x14:formula1>
            <xm:f>Factors!$I$17:$I$19</xm:f>
          </x14:formula1>
          <xm:sqref>B8</xm:sqref>
        </x14:dataValidation>
        <x14:dataValidation type="list" allowBlank="1" showInputMessage="1" showErrorMessage="1" xr:uid="{0B187EA5-EA2F-4CF3-99BF-EEF0F4D183CC}">
          <x14:formula1>
            <xm:f>Factors!$K$17:$K$19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L1000"/>
  <sheetViews>
    <sheetView workbookViewId="0">
      <selection activeCell="F23" sqref="F23"/>
    </sheetView>
  </sheetViews>
  <sheetFormatPr defaultColWidth="12.5703125" defaultRowHeight="15" customHeight="1" x14ac:dyDescent="0.25"/>
  <cols>
    <col min="1" max="2" width="8.5703125" customWidth="1"/>
    <col min="3" max="12" width="12.28515625" customWidth="1"/>
    <col min="13" max="26" width="8.5703125" customWidth="1"/>
  </cols>
  <sheetData>
    <row r="3" spans="3:12" x14ac:dyDescent="0.25">
      <c r="C3" s="1"/>
    </row>
    <row r="5" spans="3:12" ht="45" x14ac:dyDescent="0.25">
      <c r="C5" s="6" t="s">
        <v>13</v>
      </c>
      <c r="D5" s="6" t="s">
        <v>14</v>
      </c>
      <c r="E5" s="7" t="s">
        <v>4</v>
      </c>
      <c r="F5" s="7" t="s">
        <v>15</v>
      </c>
      <c r="G5" s="7" t="s">
        <v>16</v>
      </c>
    </row>
    <row r="6" spans="3:12" ht="16.149999999999999" customHeight="1" x14ac:dyDescent="0.25">
      <c r="C6" s="38" t="s">
        <v>1</v>
      </c>
      <c r="D6" s="39">
        <v>3.5000000000000001E-3</v>
      </c>
      <c r="E6" s="39">
        <v>3.3E-3</v>
      </c>
      <c r="F6" s="40">
        <v>3.0000000000000001E-3</v>
      </c>
      <c r="G6" s="39">
        <v>2.7000000000000001E-3</v>
      </c>
    </row>
    <row r="7" spans="3:12" ht="16.149999999999999" customHeight="1" x14ac:dyDescent="0.25">
      <c r="C7" s="41" t="s">
        <v>17</v>
      </c>
      <c r="D7" s="39">
        <v>3.5999999999999999E-3</v>
      </c>
      <c r="E7" s="39">
        <v>3.3999999999999998E-3</v>
      </c>
      <c r="F7" s="39">
        <v>3.0999999999999999E-3</v>
      </c>
      <c r="G7" s="39">
        <v>2.8E-3</v>
      </c>
    </row>
    <row r="8" spans="3:12" ht="16.149999999999999" customHeight="1" x14ac:dyDescent="0.25">
      <c r="C8" s="42" t="s">
        <v>18</v>
      </c>
      <c r="D8" s="39">
        <v>3.7000000000000002E-3</v>
      </c>
      <c r="E8" s="39">
        <v>3.5000000000000001E-3</v>
      </c>
      <c r="F8" s="39">
        <v>3.2000000000000002E-3</v>
      </c>
      <c r="G8" s="39">
        <v>2.8999999999999998E-3</v>
      </c>
    </row>
    <row r="9" spans="3:12" ht="16.149999999999999" customHeight="1" x14ac:dyDescent="0.25">
      <c r="C9" s="42" t="s">
        <v>19</v>
      </c>
      <c r="D9" s="39">
        <v>3.8E-3</v>
      </c>
      <c r="E9" s="39">
        <v>3.5999999999999999E-3</v>
      </c>
      <c r="F9" s="39">
        <v>3.3E-3</v>
      </c>
      <c r="G9" s="40">
        <v>3.0000000000000001E-3</v>
      </c>
    </row>
    <row r="10" spans="3:12" ht="16.149999999999999" customHeight="1" x14ac:dyDescent="0.25">
      <c r="C10" s="42" t="s">
        <v>20</v>
      </c>
      <c r="D10" s="39">
        <v>3.8999999999999998E-3</v>
      </c>
      <c r="E10" s="39">
        <v>3.7000000000000002E-3</v>
      </c>
      <c r="F10" s="39">
        <v>3.3999999999999998E-3</v>
      </c>
      <c r="G10" s="39">
        <v>3.0999999999999999E-3</v>
      </c>
    </row>
    <row r="11" spans="3:12" ht="16.149999999999999" customHeight="1" x14ac:dyDescent="0.25">
      <c r="C11" s="42" t="s">
        <v>21</v>
      </c>
      <c r="D11" s="40">
        <v>4.0000000000000001E-3</v>
      </c>
      <c r="E11" s="39">
        <v>3.8E-3</v>
      </c>
      <c r="F11" s="39">
        <v>3.5000000000000001E-3</v>
      </c>
      <c r="G11" s="39">
        <v>3.2000000000000002E-3</v>
      </c>
    </row>
    <row r="12" spans="3:12" ht="16.149999999999999" customHeight="1" x14ac:dyDescent="0.25">
      <c r="C12" s="38" t="s">
        <v>22</v>
      </c>
      <c r="D12" s="39">
        <v>4.1999999999999997E-3</v>
      </c>
      <c r="E12" s="39">
        <v>4.0000000000000002E-4</v>
      </c>
      <c r="F12" s="39">
        <v>3.7000000000000002E-3</v>
      </c>
      <c r="G12" s="39">
        <v>3.5000000000000001E-3</v>
      </c>
    </row>
    <row r="13" spans="3:12" ht="16.149999999999999" customHeight="1" x14ac:dyDescent="0.25">
      <c r="D13" s="2"/>
      <c r="E13" s="2"/>
      <c r="F13" s="2"/>
      <c r="G13" s="2"/>
    </row>
    <row r="14" spans="3:12" ht="16.149999999999999" customHeight="1" x14ac:dyDescent="0.25"/>
    <row r="15" spans="3:12" ht="16.149999999999999" customHeight="1" x14ac:dyDescent="0.25"/>
    <row r="16" spans="3:12" ht="16.149999999999999" customHeight="1" x14ac:dyDescent="0.25">
      <c r="C16" s="18" t="s">
        <v>37</v>
      </c>
      <c r="D16" s="19" t="s">
        <v>36</v>
      </c>
      <c r="E16" s="20" t="s">
        <v>31</v>
      </c>
      <c r="F16" s="21" t="s">
        <v>29</v>
      </c>
      <c r="G16" s="22" t="s">
        <v>33</v>
      </c>
      <c r="H16" s="23" t="s">
        <v>38</v>
      </c>
      <c r="I16" s="24" t="s">
        <v>32</v>
      </c>
      <c r="J16" s="25" t="s">
        <v>9</v>
      </c>
      <c r="K16" s="26" t="s">
        <v>35</v>
      </c>
      <c r="L16" s="27" t="s">
        <v>30</v>
      </c>
    </row>
    <row r="17" spans="3:12" ht="16.149999999999999" customHeight="1" x14ac:dyDescent="0.25">
      <c r="C17" s="15">
        <v>1</v>
      </c>
      <c r="D17" s="16">
        <v>0</v>
      </c>
      <c r="E17" s="8" t="s">
        <v>6</v>
      </c>
      <c r="F17" s="9">
        <v>0</v>
      </c>
      <c r="G17" s="12" t="s">
        <v>8</v>
      </c>
      <c r="H17" s="13">
        <v>0</v>
      </c>
      <c r="I17" s="10" t="s">
        <v>10</v>
      </c>
      <c r="J17" s="11">
        <v>0</v>
      </c>
      <c r="K17" s="14" t="s">
        <v>12</v>
      </c>
      <c r="L17" s="17">
        <v>0</v>
      </c>
    </row>
    <row r="18" spans="3:12" ht="16.149999999999999" customHeight="1" x14ac:dyDescent="0.25">
      <c r="C18" s="15">
        <v>2</v>
      </c>
      <c r="D18" s="16">
        <v>1E-4</v>
      </c>
      <c r="E18" s="8" t="s">
        <v>23</v>
      </c>
      <c r="F18" s="9">
        <v>1E-4</v>
      </c>
      <c r="G18" s="12" t="s">
        <v>18</v>
      </c>
      <c r="H18" s="13">
        <v>2.0000000000000001E-4</v>
      </c>
      <c r="I18" s="10" t="s">
        <v>28</v>
      </c>
      <c r="J18" s="11">
        <v>4.0000000000000002E-4</v>
      </c>
      <c r="K18" s="14" t="s">
        <v>24</v>
      </c>
      <c r="L18" s="17">
        <v>1E-4</v>
      </c>
    </row>
    <row r="19" spans="3:12" ht="16.149999999999999" customHeight="1" x14ac:dyDescent="0.25">
      <c r="C19" s="15">
        <v>3</v>
      </c>
      <c r="D19" s="16">
        <v>2.0000000000000001E-4</v>
      </c>
      <c r="E19" s="8" t="s">
        <v>24</v>
      </c>
      <c r="F19" s="9">
        <v>2.0000000000000001E-4</v>
      </c>
      <c r="G19" s="12" t="s">
        <v>19</v>
      </c>
      <c r="H19" s="13">
        <v>4.0000000000000002E-4</v>
      </c>
      <c r="I19" s="10" t="s">
        <v>46</v>
      </c>
      <c r="J19" s="11">
        <v>1E-3</v>
      </c>
      <c r="K19" s="14" t="s">
        <v>25</v>
      </c>
      <c r="L19" s="17">
        <v>2.0000000000000001E-4</v>
      </c>
    </row>
    <row r="20" spans="3:12" ht="16.149999999999999" customHeight="1" x14ac:dyDescent="0.25">
      <c r="C20" s="28" t="s">
        <v>47</v>
      </c>
      <c r="D20" s="29">
        <v>2.9999999999999997E-4</v>
      </c>
      <c r="E20" s="30" t="s">
        <v>25</v>
      </c>
      <c r="F20" s="31">
        <v>4.0000000000000002E-4</v>
      </c>
      <c r="G20" s="32" t="s">
        <v>34</v>
      </c>
      <c r="H20" s="33">
        <v>5.0000000000000001E-4</v>
      </c>
      <c r="I20" s="34"/>
      <c r="J20" s="35"/>
      <c r="K20" s="36"/>
      <c r="L20" s="37"/>
    </row>
    <row r="21" spans="3:12" ht="15.75" customHeight="1" x14ac:dyDescent="0.25">
      <c r="C21" s="5"/>
    </row>
    <row r="22" spans="3:12" ht="15.75" customHeight="1" x14ac:dyDescent="0.25">
      <c r="C22" s="5"/>
    </row>
    <row r="23" spans="3:12" ht="15.75" customHeight="1" x14ac:dyDescent="0.25">
      <c r="C23" s="5"/>
    </row>
    <row r="24" spans="3:12" ht="15.75" customHeight="1" x14ac:dyDescent="0.25">
      <c r="C24" s="5"/>
    </row>
    <row r="25" spans="3:12" ht="15.75" customHeight="1" x14ac:dyDescent="0.25">
      <c r="C25" s="5"/>
    </row>
    <row r="26" spans="3:12" ht="15.75" customHeight="1" x14ac:dyDescent="0.25">
      <c r="C26" s="5"/>
    </row>
    <row r="27" spans="3:12" ht="15.75" customHeight="1" x14ac:dyDescent="0.25">
      <c r="C27" s="5"/>
      <c r="D27" s="4"/>
    </row>
    <row r="28" spans="3:12" ht="15.75" customHeight="1" x14ac:dyDescent="0.25"/>
    <row r="29" spans="3:12" ht="15.75" customHeight="1" x14ac:dyDescent="0.25"/>
    <row r="30" spans="3:12" ht="15.75" customHeight="1" x14ac:dyDescent="0.25"/>
    <row r="31" spans="3:12" ht="15.75" customHeight="1" x14ac:dyDescent="0.25"/>
    <row r="32" spans="3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" footer="0"/>
  <pageSetup orientation="landscape" r:id="rId1"/>
  <ignoredErrors>
    <ignoredError sqref="C9 E18 G19" twoDigitTextYear="1"/>
  </ignoredError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Dace</dc:creator>
  <cp:lastModifiedBy>Тарас Андрійович Осипчук</cp:lastModifiedBy>
  <dcterms:created xsi:type="dcterms:W3CDTF">2024-03-25T20:35:42Z</dcterms:created>
  <dcterms:modified xsi:type="dcterms:W3CDTF">2026-06-29T17:18:29Z</dcterms:modified>
</cp:coreProperties>
</file>