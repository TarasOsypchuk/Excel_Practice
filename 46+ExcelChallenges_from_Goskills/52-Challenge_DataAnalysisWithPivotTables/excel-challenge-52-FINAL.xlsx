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pivotTables/pivotTable5.xml" ContentType="application/vnd.openxmlformats-officedocument.spreadsheetml.pivotTable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featurePropertyBag/featurePropertyBag.xml" ContentType="application/vnd.ms-excel.featurepropertyba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filterPrivacy="1"/>
  <xr:revisionPtr revIDLastSave="0" documentId="13_ncr:1_{F37BDE7D-921F-4E9D-855F-4E8BB2DE9897}" xr6:coauthVersionLast="47" xr6:coauthVersionMax="47" xr10:uidLastSave="{00000000-0000-0000-0000-000000000000}"/>
  <bookViews>
    <workbookView xWindow="-120" yWindow="-120" windowWidth="29040" windowHeight="15720" tabRatio="475" activeTab="3" xr2:uid="{00000000-000D-0000-FFFF-FFFF00000000}"/>
  </bookViews>
  <sheets>
    <sheet name="Challenge" sheetId="4" r:id="rId1"/>
    <sheet name="Dataset" sheetId="8" r:id="rId2"/>
    <sheet name="Ratios" sheetId="13" r:id="rId3"/>
    <sheet name="Totals" sheetId="14" r:id="rId4"/>
  </sheets>
  <definedNames>
    <definedName name="_xlnm._FilterDatabase" localSheetId="1" hidden="1">Dataset!$B$3:$J$1096</definedName>
    <definedName name="Amount_Financed">#REF!</definedName>
    <definedName name="Dataset">Dataset!$B$3:$K$1096</definedName>
    <definedName name="Down_Payment">#REF!</definedName>
    <definedName name="Interest_Rate">#REF!</definedName>
    <definedName name="Loan_Date">#REF!</definedName>
    <definedName name="Monthly_Payment">#REF!</definedName>
    <definedName name="_xlnm.Print_Area" localSheetId="1">Dataset!$B$1:$K$1096</definedName>
    <definedName name="_xlnm.Print_Titles" localSheetId="1">Dataset!$1:$3</definedName>
    <definedName name="Purchase_Price">#REF!</definedName>
    <definedName name="Term">#REF!</definedName>
  </definedNames>
  <calcPr calcId="191029"/>
  <pivotCaches>
    <pivotCache cacheId="1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6" i="8" l="1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104" i="8"/>
  <c r="H105" i="8"/>
  <c r="H106" i="8"/>
  <c r="H107" i="8"/>
  <c r="H108" i="8"/>
  <c r="H109" i="8"/>
  <c r="H110" i="8"/>
  <c r="H111" i="8"/>
  <c r="H112" i="8"/>
  <c r="H113" i="8"/>
  <c r="H114" i="8"/>
  <c r="H115" i="8"/>
  <c r="H116" i="8"/>
  <c r="H117" i="8"/>
  <c r="H118" i="8"/>
  <c r="H119" i="8"/>
  <c r="H120" i="8"/>
  <c r="H121" i="8"/>
  <c r="H122" i="8"/>
  <c r="H123" i="8"/>
  <c r="H124" i="8"/>
  <c r="H125" i="8"/>
  <c r="H126" i="8"/>
  <c r="H127" i="8"/>
  <c r="H128" i="8"/>
  <c r="H129" i="8"/>
  <c r="H130" i="8"/>
  <c r="H131" i="8"/>
  <c r="H132" i="8"/>
  <c r="H133" i="8"/>
  <c r="H134" i="8"/>
  <c r="H135" i="8"/>
  <c r="H136" i="8"/>
  <c r="H137" i="8"/>
  <c r="H138" i="8"/>
  <c r="H139" i="8"/>
  <c r="H140" i="8"/>
  <c r="H141" i="8"/>
  <c r="H142" i="8"/>
  <c r="H143" i="8"/>
  <c r="H144" i="8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3" i="8"/>
  <c r="H174" i="8"/>
  <c r="H175" i="8"/>
  <c r="H176" i="8"/>
  <c r="H177" i="8"/>
  <c r="H178" i="8"/>
  <c r="H179" i="8"/>
  <c r="H180" i="8"/>
  <c r="H181" i="8"/>
  <c r="H182" i="8"/>
  <c r="H183" i="8"/>
  <c r="H184" i="8"/>
  <c r="H185" i="8"/>
  <c r="H186" i="8"/>
  <c r="H187" i="8"/>
  <c r="H188" i="8"/>
  <c r="H189" i="8"/>
  <c r="H190" i="8"/>
  <c r="H191" i="8"/>
  <c r="H192" i="8"/>
  <c r="H193" i="8"/>
  <c r="H194" i="8"/>
  <c r="H195" i="8"/>
  <c r="H196" i="8"/>
  <c r="H197" i="8"/>
  <c r="H198" i="8"/>
  <c r="H199" i="8"/>
  <c r="H200" i="8"/>
  <c r="H201" i="8"/>
  <c r="H202" i="8"/>
  <c r="H203" i="8"/>
  <c r="H204" i="8"/>
  <c r="H205" i="8"/>
  <c r="H206" i="8"/>
  <c r="H207" i="8"/>
  <c r="H208" i="8"/>
  <c r="H209" i="8"/>
  <c r="H210" i="8"/>
  <c r="H211" i="8"/>
  <c r="H212" i="8"/>
  <c r="H213" i="8"/>
  <c r="H214" i="8"/>
  <c r="H215" i="8"/>
  <c r="H216" i="8"/>
  <c r="H217" i="8"/>
  <c r="H218" i="8"/>
  <c r="H219" i="8"/>
  <c r="H220" i="8"/>
  <c r="H221" i="8"/>
  <c r="H222" i="8"/>
  <c r="H223" i="8"/>
  <c r="H224" i="8"/>
  <c r="H225" i="8"/>
  <c r="H226" i="8"/>
  <c r="H227" i="8"/>
  <c r="H228" i="8"/>
  <c r="H229" i="8"/>
  <c r="H230" i="8"/>
  <c r="H231" i="8"/>
  <c r="H232" i="8"/>
  <c r="H233" i="8"/>
  <c r="H234" i="8"/>
  <c r="H235" i="8"/>
  <c r="H236" i="8"/>
  <c r="H237" i="8"/>
  <c r="H238" i="8"/>
  <c r="H239" i="8"/>
  <c r="H240" i="8"/>
  <c r="H241" i="8"/>
  <c r="H242" i="8"/>
  <c r="H243" i="8"/>
  <c r="H244" i="8"/>
  <c r="H245" i="8"/>
  <c r="H246" i="8"/>
  <c r="H247" i="8"/>
  <c r="H248" i="8"/>
  <c r="H249" i="8"/>
  <c r="H250" i="8"/>
  <c r="H251" i="8"/>
  <c r="H252" i="8"/>
  <c r="H253" i="8"/>
  <c r="H254" i="8"/>
  <c r="H255" i="8"/>
  <c r="H256" i="8"/>
  <c r="H257" i="8"/>
  <c r="H258" i="8"/>
  <c r="H259" i="8"/>
  <c r="H260" i="8"/>
  <c r="H261" i="8"/>
  <c r="H262" i="8"/>
  <c r="H263" i="8"/>
  <c r="H264" i="8"/>
  <c r="H265" i="8"/>
  <c r="H266" i="8"/>
  <c r="H267" i="8"/>
  <c r="H268" i="8"/>
  <c r="H269" i="8"/>
  <c r="H270" i="8"/>
  <c r="H271" i="8"/>
  <c r="H272" i="8"/>
  <c r="H273" i="8"/>
  <c r="H274" i="8"/>
  <c r="H275" i="8"/>
  <c r="H276" i="8"/>
  <c r="H277" i="8"/>
  <c r="H278" i="8"/>
  <c r="H279" i="8"/>
  <c r="H280" i="8"/>
  <c r="H281" i="8"/>
  <c r="H282" i="8"/>
  <c r="H283" i="8"/>
  <c r="H284" i="8"/>
  <c r="H285" i="8"/>
  <c r="H286" i="8"/>
  <c r="H287" i="8"/>
  <c r="H288" i="8"/>
  <c r="H289" i="8"/>
  <c r="H290" i="8"/>
  <c r="H291" i="8"/>
  <c r="H292" i="8"/>
  <c r="H293" i="8"/>
  <c r="H294" i="8"/>
  <c r="H295" i="8"/>
  <c r="H296" i="8"/>
  <c r="H297" i="8"/>
  <c r="H298" i="8"/>
  <c r="H299" i="8"/>
  <c r="H300" i="8"/>
  <c r="H301" i="8"/>
  <c r="H302" i="8"/>
  <c r="H303" i="8"/>
  <c r="H304" i="8"/>
  <c r="H305" i="8"/>
  <c r="H306" i="8"/>
  <c r="H307" i="8"/>
  <c r="H308" i="8"/>
  <c r="H309" i="8"/>
  <c r="H310" i="8"/>
  <c r="H311" i="8"/>
  <c r="H312" i="8"/>
  <c r="H313" i="8"/>
  <c r="H314" i="8"/>
  <c r="H315" i="8"/>
  <c r="H316" i="8"/>
  <c r="H317" i="8"/>
  <c r="H318" i="8"/>
  <c r="H319" i="8"/>
  <c r="H320" i="8"/>
  <c r="H321" i="8"/>
  <c r="H322" i="8"/>
  <c r="H323" i="8"/>
  <c r="H324" i="8"/>
  <c r="H325" i="8"/>
  <c r="H326" i="8"/>
  <c r="H327" i="8"/>
  <c r="H328" i="8"/>
  <c r="H329" i="8"/>
  <c r="H330" i="8"/>
  <c r="H331" i="8"/>
  <c r="H332" i="8"/>
  <c r="H333" i="8"/>
  <c r="H334" i="8"/>
  <c r="H335" i="8"/>
  <c r="H336" i="8"/>
  <c r="H337" i="8"/>
  <c r="H338" i="8"/>
  <c r="H339" i="8"/>
  <c r="H340" i="8"/>
  <c r="H341" i="8"/>
  <c r="H342" i="8"/>
  <c r="H343" i="8"/>
  <c r="H344" i="8"/>
  <c r="H345" i="8"/>
  <c r="H346" i="8"/>
  <c r="H347" i="8"/>
  <c r="H348" i="8"/>
  <c r="H349" i="8"/>
  <c r="H350" i="8"/>
  <c r="H351" i="8"/>
  <c r="H352" i="8"/>
  <c r="H353" i="8"/>
  <c r="H354" i="8"/>
  <c r="H355" i="8"/>
  <c r="H356" i="8"/>
  <c r="H357" i="8"/>
  <c r="H358" i="8"/>
  <c r="H359" i="8"/>
  <c r="H360" i="8"/>
  <c r="H361" i="8"/>
  <c r="H362" i="8"/>
  <c r="H363" i="8"/>
  <c r="H364" i="8"/>
  <c r="H365" i="8"/>
  <c r="H366" i="8"/>
  <c r="H367" i="8"/>
  <c r="H368" i="8"/>
  <c r="H369" i="8"/>
  <c r="H370" i="8"/>
  <c r="H371" i="8"/>
  <c r="H372" i="8"/>
  <c r="H373" i="8"/>
  <c r="H374" i="8"/>
  <c r="H375" i="8"/>
  <c r="H376" i="8"/>
  <c r="H377" i="8"/>
  <c r="H378" i="8"/>
  <c r="H379" i="8"/>
  <c r="H380" i="8"/>
  <c r="H381" i="8"/>
  <c r="H382" i="8"/>
  <c r="H383" i="8"/>
  <c r="H384" i="8"/>
  <c r="H385" i="8"/>
  <c r="H386" i="8"/>
  <c r="H387" i="8"/>
  <c r="H388" i="8"/>
  <c r="H389" i="8"/>
  <c r="H390" i="8"/>
  <c r="H391" i="8"/>
  <c r="H392" i="8"/>
  <c r="H393" i="8"/>
  <c r="H394" i="8"/>
  <c r="H395" i="8"/>
  <c r="H396" i="8"/>
  <c r="H397" i="8"/>
  <c r="H398" i="8"/>
  <c r="H399" i="8"/>
  <c r="H400" i="8"/>
  <c r="H401" i="8"/>
  <c r="H402" i="8"/>
  <c r="H403" i="8"/>
  <c r="H404" i="8"/>
  <c r="H405" i="8"/>
  <c r="H406" i="8"/>
  <c r="H407" i="8"/>
  <c r="H408" i="8"/>
  <c r="H409" i="8"/>
  <c r="H410" i="8"/>
  <c r="H411" i="8"/>
  <c r="H412" i="8"/>
  <c r="H413" i="8"/>
  <c r="H414" i="8"/>
  <c r="H415" i="8"/>
  <c r="H416" i="8"/>
  <c r="H417" i="8"/>
  <c r="H418" i="8"/>
  <c r="H419" i="8"/>
  <c r="H420" i="8"/>
  <c r="H421" i="8"/>
  <c r="H422" i="8"/>
  <c r="H423" i="8"/>
  <c r="H424" i="8"/>
  <c r="H425" i="8"/>
  <c r="H426" i="8"/>
  <c r="H427" i="8"/>
  <c r="H428" i="8"/>
  <c r="H429" i="8"/>
  <c r="H430" i="8"/>
  <c r="H431" i="8"/>
  <c r="H432" i="8"/>
  <c r="H433" i="8"/>
  <c r="H434" i="8"/>
  <c r="H435" i="8"/>
  <c r="H436" i="8"/>
  <c r="H437" i="8"/>
  <c r="H438" i="8"/>
  <c r="H439" i="8"/>
  <c r="H440" i="8"/>
  <c r="H441" i="8"/>
  <c r="H442" i="8"/>
  <c r="H443" i="8"/>
  <c r="H444" i="8"/>
  <c r="H445" i="8"/>
  <c r="H446" i="8"/>
  <c r="H447" i="8"/>
  <c r="H448" i="8"/>
  <c r="H449" i="8"/>
  <c r="H450" i="8"/>
  <c r="H451" i="8"/>
  <c r="H452" i="8"/>
  <c r="H453" i="8"/>
  <c r="H454" i="8"/>
  <c r="H455" i="8"/>
  <c r="H456" i="8"/>
  <c r="H457" i="8"/>
  <c r="H458" i="8"/>
  <c r="H459" i="8"/>
  <c r="H460" i="8"/>
  <c r="H461" i="8"/>
  <c r="H462" i="8"/>
  <c r="H463" i="8"/>
  <c r="H464" i="8"/>
  <c r="H465" i="8"/>
  <c r="H466" i="8"/>
  <c r="H467" i="8"/>
  <c r="H468" i="8"/>
  <c r="H469" i="8"/>
  <c r="H470" i="8"/>
  <c r="H471" i="8"/>
  <c r="H472" i="8"/>
  <c r="H473" i="8"/>
  <c r="H474" i="8"/>
  <c r="H475" i="8"/>
  <c r="H476" i="8"/>
  <c r="H477" i="8"/>
  <c r="H478" i="8"/>
  <c r="H479" i="8"/>
  <c r="H480" i="8"/>
  <c r="H481" i="8"/>
  <c r="H482" i="8"/>
  <c r="H483" i="8"/>
  <c r="H484" i="8"/>
  <c r="H485" i="8"/>
  <c r="H486" i="8"/>
  <c r="H487" i="8"/>
  <c r="H488" i="8"/>
  <c r="H489" i="8"/>
  <c r="H490" i="8"/>
  <c r="H491" i="8"/>
  <c r="H492" i="8"/>
  <c r="H493" i="8"/>
  <c r="H494" i="8"/>
  <c r="H495" i="8"/>
  <c r="H496" i="8"/>
  <c r="H497" i="8"/>
  <c r="H498" i="8"/>
  <c r="H499" i="8"/>
  <c r="H500" i="8"/>
  <c r="H501" i="8"/>
  <c r="H502" i="8"/>
  <c r="H503" i="8"/>
  <c r="H504" i="8"/>
  <c r="H505" i="8"/>
  <c r="H506" i="8"/>
  <c r="H507" i="8"/>
  <c r="H508" i="8"/>
  <c r="H509" i="8"/>
  <c r="H510" i="8"/>
  <c r="H511" i="8"/>
  <c r="H512" i="8"/>
  <c r="H513" i="8"/>
  <c r="H514" i="8"/>
  <c r="H515" i="8"/>
  <c r="H516" i="8"/>
  <c r="H517" i="8"/>
  <c r="H518" i="8"/>
  <c r="H519" i="8"/>
  <c r="H520" i="8"/>
  <c r="H521" i="8"/>
  <c r="H522" i="8"/>
  <c r="H523" i="8"/>
  <c r="H524" i="8"/>
  <c r="H525" i="8"/>
  <c r="H526" i="8"/>
  <c r="H527" i="8"/>
  <c r="H528" i="8"/>
  <c r="H529" i="8"/>
  <c r="H530" i="8"/>
  <c r="H531" i="8"/>
  <c r="H532" i="8"/>
  <c r="H533" i="8"/>
  <c r="H534" i="8"/>
  <c r="H535" i="8"/>
  <c r="H536" i="8"/>
  <c r="H537" i="8"/>
  <c r="H538" i="8"/>
  <c r="H539" i="8"/>
  <c r="H540" i="8"/>
  <c r="H541" i="8"/>
  <c r="H542" i="8"/>
  <c r="H543" i="8"/>
  <c r="H544" i="8"/>
  <c r="H545" i="8"/>
  <c r="H546" i="8"/>
  <c r="H547" i="8"/>
  <c r="H548" i="8"/>
  <c r="H549" i="8"/>
  <c r="H550" i="8"/>
  <c r="H551" i="8"/>
  <c r="H552" i="8"/>
  <c r="H553" i="8"/>
  <c r="H554" i="8"/>
  <c r="H555" i="8"/>
  <c r="H556" i="8"/>
  <c r="H557" i="8"/>
  <c r="H558" i="8"/>
  <c r="H559" i="8"/>
  <c r="H560" i="8"/>
  <c r="H561" i="8"/>
  <c r="H562" i="8"/>
  <c r="H563" i="8"/>
  <c r="H564" i="8"/>
  <c r="H565" i="8"/>
  <c r="H566" i="8"/>
  <c r="H567" i="8"/>
  <c r="H568" i="8"/>
  <c r="H569" i="8"/>
  <c r="H570" i="8"/>
  <c r="H571" i="8"/>
  <c r="H572" i="8"/>
  <c r="H573" i="8"/>
  <c r="H574" i="8"/>
  <c r="H575" i="8"/>
  <c r="H576" i="8"/>
  <c r="H577" i="8"/>
  <c r="H578" i="8"/>
  <c r="H579" i="8"/>
  <c r="H580" i="8"/>
  <c r="H581" i="8"/>
  <c r="H582" i="8"/>
  <c r="H583" i="8"/>
  <c r="H584" i="8"/>
  <c r="H585" i="8"/>
  <c r="H586" i="8"/>
  <c r="H587" i="8"/>
  <c r="H588" i="8"/>
  <c r="H589" i="8"/>
  <c r="H590" i="8"/>
  <c r="H591" i="8"/>
  <c r="H592" i="8"/>
  <c r="H593" i="8"/>
  <c r="H594" i="8"/>
  <c r="H595" i="8"/>
  <c r="H596" i="8"/>
  <c r="H597" i="8"/>
  <c r="H598" i="8"/>
  <c r="H599" i="8"/>
  <c r="H600" i="8"/>
  <c r="H601" i="8"/>
  <c r="H602" i="8"/>
  <c r="H603" i="8"/>
  <c r="H604" i="8"/>
  <c r="H605" i="8"/>
  <c r="H606" i="8"/>
  <c r="H607" i="8"/>
  <c r="H608" i="8"/>
  <c r="H609" i="8"/>
  <c r="H610" i="8"/>
  <c r="H611" i="8"/>
  <c r="H612" i="8"/>
  <c r="H613" i="8"/>
  <c r="H614" i="8"/>
  <c r="H615" i="8"/>
  <c r="H616" i="8"/>
  <c r="H617" i="8"/>
  <c r="H618" i="8"/>
  <c r="H619" i="8"/>
  <c r="H620" i="8"/>
  <c r="H621" i="8"/>
  <c r="H622" i="8"/>
  <c r="H623" i="8"/>
  <c r="H624" i="8"/>
  <c r="H625" i="8"/>
  <c r="H626" i="8"/>
  <c r="H627" i="8"/>
  <c r="H628" i="8"/>
  <c r="H629" i="8"/>
  <c r="H630" i="8"/>
  <c r="H631" i="8"/>
  <c r="H632" i="8"/>
  <c r="H633" i="8"/>
  <c r="H634" i="8"/>
  <c r="H635" i="8"/>
  <c r="H636" i="8"/>
  <c r="H637" i="8"/>
  <c r="H638" i="8"/>
  <c r="H639" i="8"/>
  <c r="H640" i="8"/>
  <c r="H641" i="8"/>
  <c r="H642" i="8"/>
  <c r="H643" i="8"/>
  <c r="H644" i="8"/>
  <c r="H645" i="8"/>
  <c r="H646" i="8"/>
  <c r="H647" i="8"/>
  <c r="H648" i="8"/>
  <c r="H649" i="8"/>
  <c r="H650" i="8"/>
  <c r="H651" i="8"/>
  <c r="H652" i="8"/>
  <c r="H653" i="8"/>
  <c r="H654" i="8"/>
  <c r="H655" i="8"/>
  <c r="H656" i="8"/>
  <c r="H657" i="8"/>
  <c r="H658" i="8"/>
  <c r="H659" i="8"/>
  <c r="H660" i="8"/>
  <c r="H661" i="8"/>
  <c r="H662" i="8"/>
  <c r="H663" i="8"/>
  <c r="H664" i="8"/>
  <c r="H665" i="8"/>
  <c r="H666" i="8"/>
  <c r="H667" i="8"/>
  <c r="H668" i="8"/>
  <c r="H669" i="8"/>
  <c r="H670" i="8"/>
  <c r="H671" i="8"/>
  <c r="H672" i="8"/>
  <c r="H673" i="8"/>
  <c r="H674" i="8"/>
  <c r="H675" i="8"/>
  <c r="H676" i="8"/>
  <c r="H677" i="8"/>
  <c r="H678" i="8"/>
  <c r="H679" i="8"/>
  <c r="H680" i="8"/>
  <c r="H681" i="8"/>
  <c r="H682" i="8"/>
  <c r="H683" i="8"/>
  <c r="H684" i="8"/>
  <c r="H685" i="8"/>
  <c r="H686" i="8"/>
  <c r="H687" i="8"/>
  <c r="H688" i="8"/>
  <c r="H689" i="8"/>
  <c r="H690" i="8"/>
  <c r="H691" i="8"/>
  <c r="H692" i="8"/>
  <c r="H693" i="8"/>
  <c r="H694" i="8"/>
  <c r="H695" i="8"/>
  <c r="H696" i="8"/>
  <c r="H697" i="8"/>
  <c r="H698" i="8"/>
  <c r="H699" i="8"/>
  <c r="H700" i="8"/>
  <c r="H701" i="8"/>
  <c r="H702" i="8"/>
  <c r="H703" i="8"/>
  <c r="H704" i="8"/>
  <c r="H705" i="8"/>
  <c r="H706" i="8"/>
  <c r="H707" i="8"/>
  <c r="H708" i="8"/>
  <c r="H709" i="8"/>
  <c r="H710" i="8"/>
  <c r="H711" i="8"/>
  <c r="H712" i="8"/>
  <c r="H713" i="8"/>
  <c r="H714" i="8"/>
  <c r="H715" i="8"/>
  <c r="H716" i="8"/>
  <c r="H717" i="8"/>
  <c r="H718" i="8"/>
  <c r="H719" i="8"/>
  <c r="H720" i="8"/>
  <c r="H721" i="8"/>
  <c r="H722" i="8"/>
  <c r="H723" i="8"/>
  <c r="H724" i="8"/>
  <c r="H725" i="8"/>
  <c r="H726" i="8"/>
  <c r="H727" i="8"/>
  <c r="H728" i="8"/>
  <c r="H729" i="8"/>
  <c r="H730" i="8"/>
  <c r="H731" i="8"/>
  <c r="H732" i="8"/>
  <c r="H733" i="8"/>
  <c r="H734" i="8"/>
  <c r="H735" i="8"/>
  <c r="H736" i="8"/>
  <c r="H737" i="8"/>
  <c r="H738" i="8"/>
  <c r="H739" i="8"/>
  <c r="H740" i="8"/>
  <c r="H741" i="8"/>
  <c r="H742" i="8"/>
  <c r="H743" i="8"/>
  <c r="H744" i="8"/>
  <c r="H745" i="8"/>
  <c r="H746" i="8"/>
  <c r="H747" i="8"/>
  <c r="H748" i="8"/>
  <c r="H749" i="8"/>
  <c r="H750" i="8"/>
  <c r="H751" i="8"/>
  <c r="H752" i="8"/>
  <c r="H753" i="8"/>
  <c r="H754" i="8"/>
  <c r="H755" i="8"/>
  <c r="H756" i="8"/>
  <c r="H757" i="8"/>
  <c r="H758" i="8"/>
  <c r="H759" i="8"/>
  <c r="H760" i="8"/>
  <c r="H761" i="8"/>
  <c r="H762" i="8"/>
  <c r="H763" i="8"/>
  <c r="H764" i="8"/>
  <c r="H765" i="8"/>
  <c r="H766" i="8"/>
  <c r="H767" i="8"/>
  <c r="H768" i="8"/>
  <c r="H769" i="8"/>
  <c r="H770" i="8"/>
  <c r="H771" i="8"/>
  <c r="H772" i="8"/>
  <c r="H773" i="8"/>
  <c r="H774" i="8"/>
  <c r="H775" i="8"/>
  <c r="H776" i="8"/>
  <c r="H777" i="8"/>
  <c r="H778" i="8"/>
  <c r="H779" i="8"/>
  <c r="H780" i="8"/>
  <c r="H781" i="8"/>
  <c r="H782" i="8"/>
  <c r="H783" i="8"/>
  <c r="H784" i="8"/>
  <c r="H785" i="8"/>
  <c r="H786" i="8"/>
  <c r="H787" i="8"/>
  <c r="H788" i="8"/>
  <c r="H789" i="8"/>
  <c r="H790" i="8"/>
  <c r="H791" i="8"/>
  <c r="H792" i="8"/>
  <c r="H793" i="8"/>
  <c r="H794" i="8"/>
  <c r="H795" i="8"/>
  <c r="H796" i="8"/>
  <c r="H797" i="8"/>
  <c r="H798" i="8"/>
  <c r="H799" i="8"/>
  <c r="H800" i="8"/>
  <c r="H801" i="8"/>
  <c r="H802" i="8"/>
  <c r="H803" i="8"/>
  <c r="H804" i="8"/>
  <c r="H805" i="8"/>
  <c r="H806" i="8"/>
  <c r="H807" i="8"/>
  <c r="H808" i="8"/>
  <c r="H809" i="8"/>
  <c r="H810" i="8"/>
  <c r="H811" i="8"/>
  <c r="H812" i="8"/>
  <c r="H813" i="8"/>
  <c r="H814" i="8"/>
  <c r="H815" i="8"/>
  <c r="H816" i="8"/>
  <c r="H817" i="8"/>
  <c r="H818" i="8"/>
  <c r="H819" i="8"/>
  <c r="H820" i="8"/>
  <c r="H821" i="8"/>
  <c r="H822" i="8"/>
  <c r="H823" i="8"/>
  <c r="H824" i="8"/>
  <c r="H825" i="8"/>
  <c r="H826" i="8"/>
  <c r="H827" i="8"/>
  <c r="H828" i="8"/>
  <c r="H829" i="8"/>
  <c r="H830" i="8"/>
  <c r="H831" i="8"/>
  <c r="H832" i="8"/>
  <c r="H833" i="8"/>
  <c r="H834" i="8"/>
  <c r="H835" i="8"/>
  <c r="H836" i="8"/>
  <c r="H837" i="8"/>
  <c r="H838" i="8"/>
  <c r="H839" i="8"/>
  <c r="H840" i="8"/>
  <c r="H841" i="8"/>
  <c r="H842" i="8"/>
  <c r="H843" i="8"/>
  <c r="H844" i="8"/>
  <c r="H845" i="8"/>
  <c r="H846" i="8"/>
  <c r="H847" i="8"/>
  <c r="H848" i="8"/>
  <c r="H849" i="8"/>
  <c r="H850" i="8"/>
  <c r="H851" i="8"/>
  <c r="H852" i="8"/>
  <c r="H853" i="8"/>
  <c r="H854" i="8"/>
  <c r="H855" i="8"/>
  <c r="H856" i="8"/>
  <c r="H857" i="8"/>
  <c r="H858" i="8"/>
  <c r="H859" i="8"/>
  <c r="H860" i="8"/>
  <c r="H861" i="8"/>
  <c r="H862" i="8"/>
  <c r="H863" i="8"/>
  <c r="H864" i="8"/>
  <c r="H865" i="8"/>
  <c r="H866" i="8"/>
  <c r="H867" i="8"/>
  <c r="H868" i="8"/>
  <c r="H869" i="8"/>
  <c r="H870" i="8"/>
  <c r="H871" i="8"/>
  <c r="H872" i="8"/>
  <c r="H873" i="8"/>
  <c r="H874" i="8"/>
  <c r="H875" i="8"/>
  <c r="H876" i="8"/>
  <c r="H877" i="8"/>
  <c r="H878" i="8"/>
  <c r="H879" i="8"/>
  <c r="H880" i="8"/>
  <c r="H881" i="8"/>
  <c r="H882" i="8"/>
  <c r="H883" i="8"/>
  <c r="H884" i="8"/>
  <c r="H885" i="8"/>
  <c r="H886" i="8"/>
  <c r="H887" i="8"/>
  <c r="H888" i="8"/>
  <c r="H889" i="8"/>
  <c r="H890" i="8"/>
  <c r="H891" i="8"/>
  <c r="H892" i="8"/>
  <c r="H893" i="8"/>
  <c r="H894" i="8"/>
  <c r="H895" i="8"/>
  <c r="H896" i="8"/>
  <c r="H897" i="8"/>
  <c r="H898" i="8"/>
  <c r="H899" i="8"/>
  <c r="H900" i="8"/>
  <c r="H901" i="8"/>
  <c r="H902" i="8"/>
  <c r="H903" i="8"/>
  <c r="H904" i="8"/>
  <c r="H905" i="8"/>
  <c r="H906" i="8"/>
  <c r="H907" i="8"/>
  <c r="H908" i="8"/>
  <c r="H909" i="8"/>
  <c r="H910" i="8"/>
  <c r="H911" i="8"/>
  <c r="H912" i="8"/>
  <c r="H913" i="8"/>
  <c r="H914" i="8"/>
  <c r="H915" i="8"/>
  <c r="H916" i="8"/>
  <c r="H917" i="8"/>
  <c r="H918" i="8"/>
  <c r="H919" i="8"/>
  <c r="H920" i="8"/>
  <c r="H921" i="8"/>
  <c r="H922" i="8"/>
  <c r="H923" i="8"/>
  <c r="H924" i="8"/>
  <c r="H925" i="8"/>
  <c r="H926" i="8"/>
  <c r="H927" i="8"/>
  <c r="H928" i="8"/>
  <c r="H929" i="8"/>
  <c r="H930" i="8"/>
  <c r="H931" i="8"/>
  <c r="H932" i="8"/>
  <c r="H933" i="8"/>
  <c r="H934" i="8"/>
  <c r="H935" i="8"/>
  <c r="H936" i="8"/>
  <c r="H937" i="8"/>
  <c r="H938" i="8"/>
  <c r="H939" i="8"/>
  <c r="H940" i="8"/>
  <c r="H941" i="8"/>
  <c r="H942" i="8"/>
  <c r="H943" i="8"/>
  <c r="H944" i="8"/>
  <c r="H945" i="8"/>
  <c r="H946" i="8"/>
  <c r="H947" i="8"/>
  <c r="H948" i="8"/>
  <c r="H949" i="8"/>
  <c r="H950" i="8"/>
  <c r="H951" i="8"/>
  <c r="H952" i="8"/>
  <c r="H953" i="8"/>
  <c r="H954" i="8"/>
  <c r="H955" i="8"/>
  <c r="H956" i="8"/>
  <c r="H957" i="8"/>
  <c r="H958" i="8"/>
  <c r="H959" i="8"/>
  <c r="H960" i="8"/>
  <c r="H961" i="8"/>
  <c r="H962" i="8"/>
  <c r="H963" i="8"/>
  <c r="H964" i="8"/>
  <c r="H965" i="8"/>
  <c r="H966" i="8"/>
  <c r="H967" i="8"/>
  <c r="H968" i="8"/>
  <c r="H969" i="8"/>
  <c r="H970" i="8"/>
  <c r="H971" i="8"/>
  <c r="H972" i="8"/>
  <c r="H973" i="8"/>
  <c r="H974" i="8"/>
  <c r="H975" i="8"/>
  <c r="H976" i="8"/>
  <c r="H977" i="8"/>
  <c r="H978" i="8"/>
  <c r="H979" i="8"/>
  <c r="H980" i="8"/>
  <c r="H981" i="8"/>
  <c r="H982" i="8"/>
  <c r="H983" i="8"/>
  <c r="H984" i="8"/>
  <c r="H985" i="8"/>
  <c r="H986" i="8"/>
  <c r="H987" i="8"/>
  <c r="H988" i="8"/>
  <c r="H989" i="8"/>
  <c r="H990" i="8"/>
  <c r="H991" i="8"/>
  <c r="H992" i="8"/>
  <c r="H993" i="8"/>
  <c r="H994" i="8"/>
  <c r="H995" i="8"/>
  <c r="H996" i="8"/>
  <c r="H997" i="8"/>
  <c r="H998" i="8"/>
  <c r="H999" i="8"/>
  <c r="H1000" i="8"/>
  <c r="H1001" i="8"/>
  <c r="H1002" i="8"/>
  <c r="H1003" i="8"/>
  <c r="H1004" i="8"/>
  <c r="H1005" i="8"/>
  <c r="H1006" i="8"/>
  <c r="H1007" i="8"/>
  <c r="H1008" i="8"/>
  <c r="H1009" i="8"/>
  <c r="H1010" i="8"/>
  <c r="H1011" i="8"/>
  <c r="H1012" i="8"/>
  <c r="H1013" i="8"/>
  <c r="H1014" i="8"/>
  <c r="H1015" i="8"/>
  <c r="H1016" i="8"/>
  <c r="H1017" i="8"/>
  <c r="H1018" i="8"/>
  <c r="H1019" i="8"/>
  <c r="H1020" i="8"/>
  <c r="H1021" i="8"/>
  <c r="H1022" i="8"/>
  <c r="H1023" i="8"/>
  <c r="H1024" i="8"/>
  <c r="H1025" i="8"/>
  <c r="H1026" i="8"/>
  <c r="H1027" i="8"/>
  <c r="H1028" i="8"/>
  <c r="H1029" i="8"/>
  <c r="H1030" i="8"/>
  <c r="H1031" i="8"/>
  <c r="H1032" i="8"/>
  <c r="H1033" i="8"/>
  <c r="H1034" i="8"/>
  <c r="H1035" i="8"/>
  <c r="H1036" i="8"/>
  <c r="H1037" i="8"/>
  <c r="H1038" i="8"/>
  <c r="H1039" i="8"/>
  <c r="H1040" i="8"/>
  <c r="H1041" i="8"/>
  <c r="H1042" i="8"/>
  <c r="H1043" i="8"/>
  <c r="H1044" i="8"/>
  <c r="H1045" i="8"/>
  <c r="H1046" i="8"/>
  <c r="H1047" i="8"/>
  <c r="H1048" i="8"/>
  <c r="H1049" i="8"/>
  <c r="H1050" i="8"/>
  <c r="H1051" i="8"/>
  <c r="H1052" i="8"/>
  <c r="H1053" i="8"/>
  <c r="H1054" i="8"/>
  <c r="H1055" i="8"/>
  <c r="H1056" i="8"/>
  <c r="H1057" i="8"/>
  <c r="H1058" i="8"/>
  <c r="H1059" i="8"/>
  <c r="H1060" i="8"/>
  <c r="H1061" i="8"/>
  <c r="H1062" i="8"/>
  <c r="H1063" i="8"/>
  <c r="H1064" i="8"/>
  <c r="H1065" i="8"/>
  <c r="H1066" i="8"/>
  <c r="H1067" i="8"/>
  <c r="H1068" i="8"/>
  <c r="H1069" i="8"/>
  <c r="H1070" i="8"/>
  <c r="H1071" i="8"/>
  <c r="H1072" i="8"/>
  <c r="H1073" i="8"/>
  <c r="H1074" i="8"/>
  <c r="H1075" i="8"/>
  <c r="H1076" i="8"/>
  <c r="H1077" i="8"/>
  <c r="H1078" i="8"/>
  <c r="H1079" i="8"/>
  <c r="H1080" i="8"/>
  <c r="H1081" i="8"/>
  <c r="H1082" i="8"/>
  <c r="H1083" i="8"/>
  <c r="H1084" i="8"/>
  <c r="H1085" i="8"/>
  <c r="H1086" i="8"/>
  <c r="H1087" i="8"/>
  <c r="H1088" i="8"/>
  <c r="H1089" i="8"/>
  <c r="H1090" i="8"/>
  <c r="H1091" i="8"/>
  <c r="H1092" i="8"/>
  <c r="H1093" i="8"/>
  <c r="H1094" i="8"/>
  <c r="H1095" i="8"/>
  <c r="H1096" i="8"/>
  <c r="H5" i="8"/>
  <c r="H4" i="8"/>
</calcChain>
</file>

<file path=xl/sharedStrings.xml><?xml version="1.0" encoding="utf-8"?>
<sst xmlns="http://schemas.openxmlformats.org/spreadsheetml/2006/main" count="5607" uniqueCount="72">
  <si>
    <t>For this challenge, you'll take on these Excel missions:</t>
  </si>
  <si>
    <t>Retail Transactions Dataset</t>
  </si>
  <si>
    <t>Order ID</t>
  </si>
  <si>
    <t>Product Name</t>
  </si>
  <si>
    <t>Quantity</t>
  </si>
  <si>
    <t>Price per Unit, $</t>
  </si>
  <si>
    <t>Total Amount, $</t>
  </si>
  <si>
    <t>Customer</t>
  </si>
  <si>
    <t>City</t>
  </si>
  <si>
    <t>Skincare Set</t>
  </si>
  <si>
    <t>Nexora Labs</t>
  </si>
  <si>
    <t>Chicago</t>
  </si>
  <si>
    <t>Travel Set</t>
  </si>
  <si>
    <t>Vivanta Co.</t>
  </si>
  <si>
    <t>Houston</t>
  </si>
  <si>
    <t>Bravora Group</t>
  </si>
  <si>
    <t>New York City</t>
  </si>
  <si>
    <t>Noventra</t>
  </si>
  <si>
    <t>Miami</t>
  </si>
  <si>
    <t>Los Angeles</t>
  </si>
  <si>
    <t>Dental Care Set</t>
  </si>
  <si>
    <t>Homeware Set</t>
  </si>
  <si>
    <t>Solvesta</t>
  </si>
  <si>
    <t>Seattle</t>
  </si>
  <si>
    <t>Makeup Set</t>
  </si>
  <si>
    <t>Velora Solutions</t>
  </si>
  <si>
    <t>Aurelia Works</t>
  </si>
  <si>
    <t>Haircare Set</t>
  </si>
  <si>
    <t>Luminexa</t>
  </si>
  <si>
    <t>Indianapolis</t>
  </si>
  <si>
    <t>Dallas</t>
  </si>
  <si>
    <t>State</t>
  </si>
  <si>
    <t xml:space="preserve"> Illinois</t>
  </si>
  <si>
    <t xml:space="preserve"> Texas</t>
  </si>
  <si>
    <t xml:space="preserve"> New York</t>
  </si>
  <si>
    <t xml:space="preserve"> Florida</t>
  </si>
  <si>
    <t xml:space="preserve"> California</t>
  </si>
  <si>
    <t xml:space="preserve"> Washington</t>
  </si>
  <si>
    <t xml:space="preserve"> Indiana</t>
  </si>
  <si>
    <t>Sales Manager</t>
  </si>
  <si>
    <t>James Carter</t>
  </si>
  <si>
    <t>Olivia Bennett</t>
  </si>
  <si>
    <t>Ethan Brooks</t>
  </si>
  <si>
    <t>Sophia Mitchell</t>
  </si>
  <si>
    <t>Liam Parker</t>
  </si>
  <si>
    <t>Emma Collins</t>
  </si>
  <si>
    <t>Noah Reed</t>
  </si>
  <si>
    <t>Isabella Hayes</t>
  </si>
  <si>
    <t>Mason Turner</t>
  </si>
  <si>
    <t>Ava Simmons</t>
  </si>
  <si>
    <t>REPORT 1</t>
  </si>
  <si>
    <t>Grand Total</t>
  </si>
  <si>
    <t>Order Date</t>
  </si>
  <si>
    <t>2019</t>
  </si>
  <si>
    <t>2020</t>
  </si>
  <si>
    <t>2021</t>
  </si>
  <si>
    <t xml:space="preserve">Total Amount, $ </t>
  </si>
  <si>
    <t>Years</t>
  </si>
  <si>
    <t>Sales Managers</t>
  </si>
  <si>
    <t>REPORT 2</t>
  </si>
  <si>
    <t>REPORT 3</t>
  </si>
  <si>
    <t>REPORT 4</t>
  </si>
  <si>
    <t>Year</t>
  </si>
  <si>
    <t>GoSkills Excel Challenge 52</t>
  </si>
  <si>
    <t>Tasks associated with each PivotTable are indicated within oval shapes.</t>
  </si>
  <si>
    <t>Please complete the assigned tasks accordingly.</t>
  </si>
  <si>
    <r>
      <rPr>
        <b/>
        <sz val="14"/>
        <color rgb="FF35373C"/>
        <rFont val="Inter"/>
      </rPr>
      <t>PivotTables</t>
    </r>
    <r>
      <rPr>
        <sz val="14"/>
        <color rgb="FF35373C"/>
        <rFont val="Inter"/>
      </rPr>
      <t xml:space="preserve"> are available in both the </t>
    </r>
    <r>
      <rPr>
        <b/>
        <sz val="14"/>
        <color rgb="FF1D3557"/>
        <rFont val="Inter"/>
      </rPr>
      <t>Ratios</t>
    </r>
    <r>
      <rPr>
        <sz val="14"/>
        <color rgb="FF35373C"/>
        <rFont val="Inter"/>
      </rPr>
      <t xml:space="preserve"> and </t>
    </r>
    <r>
      <rPr>
        <b/>
        <sz val="14"/>
        <color rgb="FF1D3557"/>
        <rFont val="Inter"/>
      </rPr>
      <t>Totals</t>
    </r>
    <r>
      <rPr>
        <sz val="14"/>
        <color rgb="FF35373C"/>
        <rFont val="Inter"/>
      </rPr>
      <t xml:space="preserve"> worksheets.</t>
    </r>
  </si>
  <si>
    <t>Sum of Total Amount, $</t>
  </si>
  <si>
    <t>Sum of Total Amount PY, $2</t>
  </si>
  <si>
    <t>Sum of Total Amount % PY , $3</t>
  </si>
  <si>
    <t>Total Amount RT, $2</t>
  </si>
  <si>
    <t>Total Amount % RT, $3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</si>
</sst>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&quot;$&quot;#,##0.00"/>
    <numFmt numFmtId="165" formatCode="General\ &quot;pcs&quot;"/>
  </numFmts>
  <fonts count="19">
    <font>
      <sz val="11"/>
      <color theme="1"/>
      <name val="Calibri"/>
      <family val="2"/>
      <scheme val="minor"/>
    </font>
    <font>
      <b/>
      <sz val="14"/>
      <color rgb="FFE63946"/>
      <name val="Roboto"/>
    </font>
    <font>
      <sz val="12"/>
      <color rgb="FF457B9D"/>
      <name val="Roboto"/>
    </font>
    <font>
      <b/>
      <sz val="25"/>
      <color rgb="FF35373C"/>
      <name val="Arial"/>
      <family val="2"/>
    </font>
    <font>
      <b/>
      <sz val="15"/>
      <color rgb="FF35373C"/>
      <name val="Inter"/>
    </font>
    <font>
      <b/>
      <sz val="13"/>
      <color rgb="FF35373C"/>
      <name val="Inter"/>
    </font>
    <font>
      <sz val="15"/>
      <color rgb="FF35373C"/>
      <name val="Roboto"/>
    </font>
    <font>
      <sz val="14"/>
      <color rgb="FF35373C"/>
      <name val="Inter"/>
    </font>
    <font>
      <b/>
      <sz val="14"/>
      <color rgb="FF35373C"/>
      <name val="Inter"/>
    </font>
    <font>
      <sz val="12"/>
      <color rgb="FF35373C"/>
      <name val="Roboto"/>
    </font>
    <font>
      <sz val="11"/>
      <color rgb="FF1D1E20"/>
      <name val="Times New Roman"/>
      <family val="1"/>
    </font>
    <font>
      <sz val="11"/>
      <color theme="1"/>
      <name val="Roboto"/>
    </font>
    <font>
      <b/>
      <sz val="11"/>
      <color rgb="FFFFFFFF"/>
      <name val="Roboto"/>
    </font>
    <font>
      <sz val="11"/>
      <color rgb="FF1D3557"/>
      <name val="Roboto"/>
    </font>
    <font>
      <b/>
      <sz val="11"/>
      <color theme="1"/>
      <name val="Calibri"/>
      <family val="2"/>
      <scheme val="minor"/>
    </font>
    <font>
      <b/>
      <sz val="11"/>
      <color theme="1"/>
      <name val="Roboto"/>
    </font>
    <font>
      <b/>
      <sz val="16"/>
      <color theme="0"/>
      <name val="Roboto"/>
    </font>
    <font>
      <sz val="11"/>
      <color theme="0"/>
      <name val="Roboto"/>
    </font>
    <font>
      <b/>
      <sz val="14"/>
      <color rgb="FF1D3557"/>
      <name val="Inter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4F4C3A"/>
        <bgColor indexed="64"/>
      </patternFill>
    </fill>
    <fill>
      <patternFill patternType="solid">
        <fgColor rgb="FF1D3557"/>
        <bgColor indexed="64"/>
      </patternFill>
    </fill>
  </fills>
  <borders count="19">
    <border>
      <left/>
      <right/>
      <top/>
      <bottom/>
      <diagonal/>
    </border>
    <border>
      <left style="medium">
        <color rgb="FF35373C"/>
      </left>
      <right/>
      <top style="medium">
        <color rgb="FF35373C"/>
      </top>
      <bottom/>
      <diagonal/>
    </border>
    <border>
      <left/>
      <right/>
      <top style="medium">
        <color rgb="FF35373C"/>
      </top>
      <bottom/>
      <diagonal/>
    </border>
    <border>
      <left/>
      <right style="medium">
        <color rgb="FF35373C"/>
      </right>
      <top style="medium">
        <color rgb="FF35373C"/>
      </top>
      <bottom/>
      <diagonal/>
    </border>
    <border>
      <left style="medium">
        <color rgb="FF35373C"/>
      </left>
      <right/>
      <top/>
      <bottom/>
      <diagonal/>
    </border>
    <border>
      <left/>
      <right style="medium">
        <color rgb="FF35373C"/>
      </right>
      <top/>
      <bottom/>
      <diagonal/>
    </border>
    <border>
      <left style="medium">
        <color rgb="FF35373C"/>
      </left>
      <right/>
      <top/>
      <bottom style="medium">
        <color rgb="FF35373C"/>
      </bottom>
      <diagonal/>
    </border>
    <border>
      <left/>
      <right/>
      <top/>
      <bottom style="medium">
        <color rgb="FF35373C"/>
      </bottom>
      <diagonal/>
    </border>
    <border>
      <left/>
      <right style="medium">
        <color rgb="FF35373C"/>
      </right>
      <top/>
      <bottom style="medium">
        <color rgb="FF35373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theme="1"/>
      </left>
      <right style="double">
        <color rgb="FFFFFFFF"/>
      </right>
      <top style="thick">
        <color theme="1"/>
      </top>
      <bottom style="thick">
        <color theme="1"/>
      </bottom>
      <diagonal/>
    </border>
    <border>
      <left style="double">
        <color rgb="FFFFFFFF"/>
      </left>
      <right style="double">
        <color rgb="FFFFFFFF"/>
      </right>
      <top style="thick">
        <color theme="1"/>
      </top>
      <bottom style="thick">
        <color theme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double">
        <color rgb="FFFFFFFF"/>
      </left>
      <right style="thick">
        <color theme="1"/>
      </right>
      <top style="thick">
        <color theme="1"/>
      </top>
      <bottom/>
      <diagonal/>
    </border>
    <border>
      <left/>
      <right style="double">
        <color rgb="FFFFFFFF"/>
      </right>
      <top style="thick">
        <color theme="1"/>
      </top>
      <bottom style="thick">
        <color theme="1"/>
      </bottom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6" fillId="0" borderId="4" xfId="0" applyFont="1" applyBorder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7" fillId="0" borderId="0" xfId="0" applyFont="1" applyAlignment="1">
      <alignment vertical="center"/>
    </xf>
    <xf numFmtId="0" fontId="2" fillId="0" borderId="5" xfId="0" applyFont="1" applyBorder="1" applyAlignment="1">
      <alignment vertical="center"/>
    </xf>
    <xf numFmtId="0" fontId="6" fillId="0" borderId="6" xfId="0" applyFont="1" applyBorder="1" applyAlignment="1">
      <alignment vertical="center"/>
    </xf>
    <xf numFmtId="0" fontId="7" fillId="0" borderId="7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9" fillId="0" borderId="0" xfId="0" applyFont="1" applyAlignment="1">
      <alignment vertical="center"/>
    </xf>
    <xf numFmtId="0" fontId="10" fillId="0" borderId="0" xfId="0" applyFont="1"/>
    <xf numFmtId="0" fontId="7" fillId="0" borderId="0" xfId="0" applyFont="1" applyAlignment="1">
      <alignment horizontal="left" vertical="center"/>
    </xf>
    <xf numFmtId="0" fontId="11" fillId="2" borderId="0" xfId="0" applyFont="1" applyFill="1" applyAlignment="1">
      <alignment vertical="center" wrapText="1"/>
    </xf>
    <xf numFmtId="0" fontId="11" fillId="2" borderId="9" xfId="0" applyFont="1" applyFill="1" applyBorder="1" applyAlignment="1">
      <alignment vertical="center" wrapText="1"/>
    </xf>
    <xf numFmtId="0" fontId="13" fillId="2" borderId="9" xfId="0" applyFont="1" applyFill="1" applyBorder="1" applyAlignment="1">
      <alignment horizontal="center" vertical="center" wrapText="1"/>
    </xf>
    <xf numFmtId="164" fontId="13" fillId="2" borderId="9" xfId="0" applyNumberFormat="1" applyFont="1" applyFill="1" applyBorder="1" applyAlignment="1">
      <alignment vertical="center" wrapText="1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164" fontId="13" fillId="2" borderId="10" xfId="0" applyNumberFormat="1" applyFont="1" applyFill="1" applyBorder="1" applyAlignment="1">
      <alignment vertical="center" wrapText="1"/>
    </xf>
    <xf numFmtId="165" fontId="13" fillId="2" borderId="9" xfId="0" applyNumberFormat="1" applyFont="1" applyFill="1" applyBorder="1" applyAlignment="1">
      <alignment vertical="center" wrapText="1"/>
    </xf>
    <xf numFmtId="0" fontId="13" fillId="2" borderId="10" xfId="0" applyFont="1" applyFill="1" applyBorder="1" applyAlignment="1">
      <alignment horizontal="center" vertical="center" wrapText="1"/>
    </xf>
    <xf numFmtId="0" fontId="13" fillId="2" borderId="10" xfId="0" applyFont="1" applyFill="1" applyBorder="1" applyAlignment="1">
      <alignment vertical="center" wrapText="1"/>
    </xf>
    <xf numFmtId="165" fontId="13" fillId="2" borderId="10" xfId="0" applyNumberFormat="1" applyFont="1" applyFill="1" applyBorder="1" applyAlignment="1">
      <alignment vertical="center" wrapText="1"/>
    </xf>
    <xf numFmtId="0" fontId="13" fillId="2" borderId="9" xfId="0" applyFont="1" applyFill="1" applyBorder="1" applyAlignment="1">
      <alignment vertical="center" wrapText="1"/>
    </xf>
    <xf numFmtId="0" fontId="12" fillId="3" borderId="16" xfId="0" applyFont="1" applyFill="1" applyBorder="1" applyAlignment="1">
      <alignment horizontal="center" vertical="center" wrapText="1"/>
    </xf>
    <xf numFmtId="0" fontId="16" fillId="4" borderId="13" xfId="0" applyFont="1" applyFill="1" applyBorder="1" applyAlignment="1">
      <alignment horizontal="centerContinuous" vertical="center" wrapText="1"/>
    </xf>
    <xf numFmtId="0" fontId="16" fillId="4" borderId="14" xfId="0" applyFont="1" applyFill="1" applyBorder="1" applyAlignment="1">
      <alignment horizontal="centerContinuous" vertical="center" wrapText="1"/>
    </xf>
    <xf numFmtId="0" fontId="17" fillId="4" borderId="15" xfId="0" applyFont="1" applyFill="1" applyBorder="1" applyAlignment="1">
      <alignment vertical="center" wrapText="1"/>
    </xf>
    <xf numFmtId="0" fontId="12" fillId="3" borderId="17" xfId="0" applyFont="1" applyFill="1" applyBorder="1" applyAlignment="1">
      <alignment horizontal="center" vertical="center" wrapText="1"/>
    </xf>
    <xf numFmtId="0" fontId="11" fillId="0" borderId="0" xfId="0" applyFont="1"/>
    <xf numFmtId="0" fontId="11" fillId="0" borderId="0" xfId="0" pivotButton="1" applyFont="1"/>
    <xf numFmtId="164" fontId="11" fillId="0" borderId="0" xfId="0" applyNumberFormat="1" applyFont="1"/>
    <xf numFmtId="15" fontId="13" fillId="2" borderId="10" xfId="0" applyNumberFormat="1" applyFont="1" applyFill="1" applyBorder="1" applyAlignment="1">
      <alignment vertical="center" wrapText="1"/>
    </xf>
    <xf numFmtId="15" fontId="13" fillId="2" borderId="9" xfId="0" applyNumberFormat="1" applyFont="1" applyFill="1" applyBorder="1" applyAlignment="1">
      <alignment horizontal="right" vertical="center" wrapText="1"/>
    </xf>
    <xf numFmtId="15" fontId="13" fillId="2" borderId="9" xfId="0" applyNumberFormat="1" applyFont="1" applyFill="1" applyBorder="1" applyAlignment="1">
      <alignment vertical="center" wrapText="1"/>
    </xf>
    <xf numFmtId="0" fontId="11" fillId="0" borderId="0" xfId="0" applyFont="1" applyAlignment="1">
      <alignment horizontal="left"/>
    </xf>
    <xf numFmtId="0" fontId="15" fillId="0" borderId="18" xfId="0" applyFont="1" applyBorder="1"/>
    <xf numFmtId="0" fontId="11" fillId="0" borderId="18" xfId="0" applyFont="1" applyBorder="1"/>
    <xf numFmtId="0" fontId="14" fillId="0" borderId="0" xfId="0" applyFont="1"/>
    <xf numFmtId="0" fontId="6" fillId="0" borderId="4" xfId="0" applyFont="1" applyBorder="1" applyAlignment="1">
      <alignment vertical="center"/>
    </xf>
    <xf numFmtId="0" fontId="3" fillId="0" borderId="0" xfId="0" applyFont="1" applyAlignment="1">
      <alignment horizontal="left" vertical="center"/>
    </xf>
    <xf numFmtId="0" fontId="0" fillId="0" borderId="0" xfId="0" pivotButton="1"/>
    <xf numFmtId="10" fontId="0" fillId="0" borderId="0" xfId="0" applyNumberFormat="1"/>
    <xf numFmtId="10" fontId="11" fillId="0" borderId="0" xfId="0" applyNumberFormat="1" applyFont="1"/>
    <xf numFmtId="0" fontId="11" fillId="0" borderId="0" xfId="0" applyFont="1" applyAlignment="1">
      <alignment horizontal="left" indent="1"/>
    </xf>
    <xf numFmtId="0" fontId="0" fillId="0" borderId="0" xfId="0" applyNumberFormat="1"/>
  </cellXfs>
  <cellStyles count="1">
    <cellStyle name="Normal" xfId="0" builtinId="0"/>
  </cellStyles>
  <dxfs count="135">
    <dxf>
      <font>
        <name val="Roboto"/>
        <scheme val="none"/>
      </font>
    </dxf>
    <dxf>
      <font>
        <name val="Roboto"/>
        <scheme val="none"/>
      </font>
    </dxf>
    <dxf>
      <font>
        <name val="Roboto"/>
        <scheme val="none"/>
      </font>
    </dxf>
    <dxf>
      <font>
        <name val="Roboto"/>
        <scheme val="none"/>
      </font>
    </dxf>
    <dxf>
      <font>
        <name val="Roboto"/>
        <scheme val="none"/>
      </font>
    </dxf>
    <dxf>
      <font>
        <name val="Roboto"/>
        <scheme val="none"/>
      </font>
    </dxf>
    <dxf>
      <font>
        <name val="Roboto"/>
        <scheme val="none"/>
      </font>
    </dxf>
    <dxf>
      <font>
        <name val="Roboto"/>
        <scheme val="none"/>
      </font>
    </dxf>
    <dxf>
      <font>
        <name val="Roboto"/>
        <scheme val="none"/>
      </font>
    </dxf>
    <dxf>
      <font>
        <name val="Roboto"/>
        <scheme val="none"/>
      </font>
    </dxf>
    <dxf>
      <font>
        <name val="Roboto"/>
        <scheme val="none"/>
      </font>
    </dxf>
    <dxf>
      <font>
        <name val="Roboto"/>
        <scheme val="none"/>
      </font>
    </dxf>
    <dxf>
      <font>
        <name val="Roboto"/>
        <scheme val="none"/>
      </font>
    </dxf>
    <dxf>
      <font>
        <name val="Roboto"/>
        <scheme val="none"/>
      </font>
    </dxf>
    <dxf>
      <font>
        <name val="Roboto"/>
        <scheme val="none"/>
      </font>
    </dxf>
    <dxf>
      <font>
        <name val="Roboto"/>
        <scheme val="none"/>
      </font>
    </dxf>
    <dxf>
      <font>
        <name val="Roboto"/>
        <scheme val="none"/>
      </font>
    </dxf>
    <dxf>
      <font>
        <name val="Roboto"/>
        <scheme val="none"/>
      </font>
    </dxf>
    <dxf>
      <font>
        <name val="Roboto"/>
        <scheme val="none"/>
      </font>
    </dxf>
    <dxf>
      <font>
        <name val="Roboto"/>
        <scheme val="none"/>
      </font>
    </dxf>
    <dxf>
      <font>
        <name val="Roboto"/>
        <scheme val="none"/>
      </font>
    </dxf>
    <dxf>
      <font>
        <name val="Roboto"/>
        <scheme val="none"/>
      </font>
    </dxf>
    <dxf>
      <font>
        <name val="Roboto"/>
        <scheme val="none"/>
      </font>
    </dxf>
    <dxf>
      <font>
        <name val="Roboto"/>
        <scheme val="none"/>
      </font>
    </dxf>
    <dxf>
      <font>
        <name val="Roboto"/>
        <scheme val="none"/>
      </font>
    </dxf>
    <dxf>
      <font>
        <name val="Roboto"/>
        <scheme val="none"/>
      </font>
    </dxf>
    <dxf>
      <font>
        <name val="Roboto"/>
        <scheme val="none"/>
      </font>
    </dxf>
    <dxf>
      <font>
        <name val="Roboto"/>
        <scheme val="none"/>
      </font>
    </dxf>
    <dxf>
      <font>
        <name val="Roboto"/>
        <scheme val="none"/>
      </font>
    </dxf>
    <dxf>
      <font>
        <name val="Roboto"/>
        <scheme val="none"/>
      </font>
    </dxf>
    <dxf>
      <font>
        <name val="Roboto"/>
        <scheme val="none"/>
      </font>
    </dxf>
    <dxf>
      <font>
        <name val="Roboto"/>
        <scheme val="none"/>
      </font>
    </dxf>
    <dxf>
      <font>
        <name val="Roboto"/>
        <scheme val="none"/>
      </font>
    </dxf>
    <dxf>
      <font>
        <name val="Roboto"/>
        <scheme val="none"/>
      </font>
    </dxf>
    <dxf>
      <font>
        <name val="Roboto"/>
        <scheme val="none"/>
      </font>
    </dxf>
    <dxf>
      <font>
        <name val="Roboto"/>
        <scheme val="none"/>
      </font>
    </dxf>
    <dxf>
      <font>
        <name val="Roboto"/>
        <scheme val="none"/>
      </font>
    </dxf>
    <dxf>
      <font>
        <name val="Roboto"/>
        <scheme val="none"/>
      </font>
    </dxf>
    <dxf>
      <font>
        <name val="Roboto"/>
        <scheme val="none"/>
      </font>
    </dxf>
    <dxf>
      <font>
        <name val="Roboto"/>
        <scheme val="none"/>
      </font>
    </dxf>
    <dxf>
      <font>
        <name val="Roboto"/>
        <scheme val="none"/>
      </font>
    </dxf>
    <dxf>
      <font>
        <name val="Roboto"/>
        <scheme val="none"/>
      </font>
    </dxf>
    <dxf>
      <font>
        <name val="Roboto"/>
        <scheme val="none"/>
      </font>
    </dxf>
    <dxf>
      <font>
        <name val="Roboto"/>
        <scheme val="none"/>
      </font>
    </dxf>
    <dxf>
      <font>
        <name val="Roboto"/>
        <scheme val="none"/>
      </font>
    </dxf>
    <dxf>
      <font>
        <name val="Roboto"/>
        <scheme val="none"/>
      </font>
    </dxf>
    <dxf>
      <font>
        <name val="Roboto"/>
        <scheme val="none"/>
      </font>
    </dxf>
    <dxf>
      <font>
        <name val="Roboto"/>
        <scheme val="none"/>
      </font>
    </dxf>
    <dxf>
      <font>
        <name val="Roboto"/>
        <scheme val="none"/>
      </font>
    </dxf>
    <dxf>
      <font>
        <name val="Roboto"/>
        <scheme val="none"/>
      </font>
    </dxf>
    <dxf>
      <numFmt numFmtId="14" formatCode="0.00%"/>
    </dxf>
    <dxf>
      <font>
        <name val="Roboto"/>
        <scheme val="none"/>
      </font>
    </dxf>
    <dxf>
      <font>
        <name val="Roboto"/>
        <scheme val="none"/>
      </font>
    </dxf>
    <dxf>
      <font>
        <name val="Roboto"/>
        <scheme val="none"/>
      </font>
    </dxf>
    <dxf>
      <font>
        <name val="Roboto"/>
        <scheme val="none"/>
      </font>
    </dxf>
    <dxf>
      <font>
        <name val="Roboto"/>
        <scheme val="none"/>
      </font>
    </dxf>
    <dxf>
      <font>
        <name val="Roboto"/>
        <scheme val="none"/>
      </font>
    </dxf>
    <dxf>
      <font>
        <name val="Roboto"/>
        <scheme val="none"/>
      </font>
    </dxf>
    <dxf>
      <font>
        <name val="Roboto"/>
        <scheme val="none"/>
      </font>
    </dxf>
    <dxf>
      <font>
        <name val="Roboto"/>
        <scheme val="none"/>
      </font>
    </dxf>
    <dxf>
      <font>
        <name val="Roboto"/>
        <scheme val="none"/>
      </font>
    </dxf>
    <dxf>
      <font>
        <name val="Roboto"/>
        <scheme val="none"/>
      </font>
    </dxf>
    <dxf>
      <font>
        <name val="Roboto"/>
        <scheme val="none"/>
      </font>
    </dxf>
    <dxf>
      <font>
        <name val="Roboto"/>
        <scheme val="none"/>
      </font>
    </dxf>
    <dxf>
      <font>
        <name val="Roboto"/>
        <scheme val="none"/>
      </font>
    </dxf>
    <dxf>
      <font>
        <name val="Roboto"/>
        <scheme val="none"/>
      </font>
    </dxf>
    <dxf>
      <font>
        <name val="Roboto"/>
        <scheme val="none"/>
      </font>
    </dxf>
    <dxf>
      <font>
        <name val="Roboto"/>
        <scheme val="none"/>
      </font>
    </dxf>
    <dxf>
      <font>
        <name val="Roboto"/>
        <scheme val="none"/>
      </font>
    </dxf>
    <dxf>
      <font>
        <name val="Roboto"/>
        <scheme val="none"/>
      </font>
    </dxf>
    <dxf>
      <font>
        <name val="Roboto"/>
        <scheme val="none"/>
      </font>
    </dxf>
    <dxf>
      <numFmt numFmtId="14" formatCode="0.00%"/>
    </dxf>
    <dxf>
      <font>
        <name val="Roboto"/>
        <scheme val="none"/>
      </font>
    </dxf>
    <dxf>
      <font>
        <name val="Roboto"/>
        <scheme val="none"/>
      </font>
    </dxf>
    <dxf>
      <font>
        <name val="Roboto"/>
        <scheme val="none"/>
      </font>
    </dxf>
    <dxf>
      <font>
        <name val="Roboto"/>
        <scheme val="none"/>
      </font>
    </dxf>
    <dxf>
      <font>
        <name val="Roboto"/>
        <scheme val="none"/>
      </font>
    </dxf>
    <dxf>
      <font>
        <name val="Roboto"/>
        <scheme val="none"/>
      </font>
    </dxf>
    <dxf>
      <font>
        <name val="Roboto"/>
        <scheme val="none"/>
      </font>
    </dxf>
    <dxf>
      <font>
        <name val="Roboto"/>
        <scheme val="none"/>
      </font>
    </dxf>
    <dxf>
      <font>
        <name val="Roboto"/>
        <scheme val="none"/>
      </font>
    </dxf>
    <dxf>
      <font>
        <name val="Roboto"/>
        <scheme val="none"/>
      </font>
    </dxf>
    <dxf>
      <numFmt numFmtId="14" formatCode="0.00%"/>
    </dxf>
    <dxf>
      <font>
        <name val="Roboto"/>
        <scheme val="none"/>
      </font>
    </dxf>
    <dxf>
      <font>
        <name val="Roboto"/>
        <scheme val="none"/>
      </font>
    </dxf>
    <dxf>
      <font>
        <name val="Roboto"/>
        <scheme val="none"/>
      </font>
    </dxf>
    <dxf>
      <font>
        <name val="Roboto"/>
        <scheme val="none"/>
      </font>
    </dxf>
    <dxf>
      <font>
        <name val="Roboto"/>
        <scheme val="none"/>
      </font>
    </dxf>
    <dxf>
      <font>
        <name val="Roboto"/>
        <scheme val="none"/>
      </font>
    </dxf>
    <dxf>
      <font>
        <name val="Roboto"/>
        <scheme val="none"/>
      </font>
    </dxf>
    <dxf>
      <font>
        <name val="Roboto"/>
        <scheme val="none"/>
      </font>
    </dxf>
    <dxf>
      <font>
        <name val="Roboto"/>
        <scheme val="none"/>
      </font>
    </dxf>
    <dxf>
      <font>
        <name val="Roboto"/>
        <scheme val="none"/>
      </font>
    </dxf>
    <dxf>
      <numFmt numFmtId="14" formatCode="0.00%"/>
    </dxf>
    <dxf>
      <numFmt numFmtId="14" formatCode="0.00%"/>
    </dxf>
    <dxf>
      <font>
        <name val="Roboto"/>
        <scheme val="none"/>
      </font>
    </dxf>
    <dxf>
      <font>
        <name val="Roboto"/>
        <scheme val="none"/>
      </font>
    </dxf>
    <dxf>
      <font>
        <name val="Roboto"/>
        <scheme val="none"/>
      </font>
    </dxf>
    <dxf>
      <font>
        <name val="Roboto"/>
        <scheme val="none"/>
      </font>
    </dxf>
    <dxf>
      <font>
        <name val="Roboto"/>
        <scheme val="none"/>
      </font>
    </dxf>
    <dxf>
      <font>
        <name val="Roboto"/>
        <scheme val="none"/>
      </font>
    </dxf>
    <dxf>
      <font>
        <name val="Roboto"/>
        <scheme val="none"/>
      </font>
    </dxf>
    <dxf>
      <font>
        <name val="Roboto"/>
        <scheme val="none"/>
      </font>
    </dxf>
    <dxf>
      <font>
        <name val="Roboto"/>
        <scheme val="none"/>
      </font>
    </dxf>
    <dxf>
      <font>
        <name val="Roboto"/>
        <scheme val="none"/>
      </font>
    </dxf>
    <dxf>
      <font>
        <name val="Roboto"/>
        <scheme val="none"/>
      </font>
    </dxf>
    <dxf>
      <font>
        <name val="Roboto"/>
        <scheme val="none"/>
      </font>
    </dxf>
    <dxf>
      <font>
        <name val="Roboto"/>
        <scheme val="none"/>
      </font>
    </dxf>
    <dxf>
      <font>
        <name val="Roboto"/>
        <scheme val="none"/>
      </font>
    </dxf>
    <dxf>
      <font>
        <name val="Roboto"/>
        <scheme val="none"/>
      </font>
    </dxf>
    <dxf>
      <font>
        <name val="Roboto"/>
        <scheme val="none"/>
      </font>
    </dxf>
    <dxf>
      <font>
        <name val="Roboto"/>
        <scheme val="none"/>
      </font>
    </dxf>
    <dxf>
      <font>
        <name val="Roboto"/>
        <scheme val="none"/>
      </font>
    </dxf>
    <dxf>
      <font>
        <name val="Roboto"/>
        <scheme val="none"/>
      </font>
    </dxf>
    <dxf>
      <font>
        <name val="Roboto"/>
        <scheme val="none"/>
      </font>
    </dxf>
    <dxf>
      <font>
        <name val="Roboto"/>
        <scheme val="none"/>
      </font>
    </dxf>
    <dxf>
      <font>
        <name val="Roboto"/>
        <scheme val="none"/>
      </font>
    </dxf>
    <dxf>
      <font>
        <name val="Roboto"/>
        <scheme val="none"/>
      </font>
    </dxf>
    <dxf>
      <font>
        <name val="Roboto"/>
        <scheme val="none"/>
      </font>
    </dxf>
    <dxf>
      <font>
        <name val="Roboto"/>
        <scheme val="none"/>
      </font>
    </dxf>
    <dxf>
      <font>
        <name val="Roboto"/>
        <scheme val="none"/>
      </font>
    </dxf>
    <dxf>
      <font>
        <name val="Roboto"/>
        <scheme val="none"/>
      </font>
    </dxf>
    <dxf>
      <font>
        <name val="Roboto"/>
        <scheme val="none"/>
      </font>
    </dxf>
    <dxf>
      <font>
        <name val="Roboto"/>
        <scheme val="none"/>
      </font>
    </dxf>
    <dxf>
      <font>
        <name val="Roboto"/>
        <scheme val="none"/>
      </font>
    </dxf>
    <dxf>
      <font>
        <name val="Roboto"/>
        <scheme val="none"/>
      </font>
    </dxf>
    <dxf>
      <font>
        <name val="Roboto"/>
        <scheme val="none"/>
      </font>
    </dxf>
    <dxf>
      <font>
        <name val="Roboto"/>
        <scheme val="none"/>
      </font>
    </dxf>
    <dxf>
      <font>
        <name val="Roboto"/>
        <scheme val="none"/>
      </font>
    </dxf>
    <dxf>
      <font>
        <name val="Roboto"/>
        <scheme val="none"/>
      </font>
    </dxf>
    <dxf>
      <font>
        <name val="Roboto"/>
        <scheme val="none"/>
      </font>
    </dxf>
    <dxf>
      <font>
        <name val="Roboto"/>
        <scheme val="none"/>
      </font>
    </dxf>
    <dxf>
      <font>
        <name val="Roboto"/>
        <scheme val="none"/>
      </font>
    </dxf>
    <dxf>
      <font>
        <name val="Roboto"/>
        <scheme val="none"/>
      </font>
    </dxf>
    <dxf>
      <font>
        <name val="Roboto"/>
        <scheme val="none"/>
      </font>
    </dxf>
  </dxfs>
  <tableStyles count="1" defaultTableStyle="TableStyleMedium2" defaultPivotStyle="PivotStyleLight16">
    <tableStyle name="Invisible" pivot="0" table="0" count="0" xr9:uid="{CBA88B90-DDE7-4883-81F5-8A2B730F677C}"/>
  </tableStyles>
  <colors>
    <mruColors>
      <color rgb="FF4F4C3A"/>
      <color rgb="FF1D3557"/>
      <color rgb="FFFFFFFF"/>
      <color rgb="FFFFD823"/>
      <color rgb="FF424C55"/>
      <color rgb="FF958958"/>
      <color rgb="FFF1FAEE"/>
      <color rgb="FFBFBFBF"/>
      <color rgb="FFFDFCDC"/>
      <color rgb="FFFEFEE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microsoft.com/office/2022/11/relationships/FeaturePropertyBag" Target="featurePropertyBag/featurePropertyBag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672352</xdr:colOff>
      <xdr:row>1</xdr:row>
      <xdr:rowOff>0</xdr:rowOff>
    </xdr:from>
    <xdr:to>
      <xdr:col>6</xdr:col>
      <xdr:colOff>1397</xdr:colOff>
      <xdr:row>2</xdr:row>
      <xdr:rowOff>209176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0E5B3C7-A517-4CDF-ACE6-FD9CB198FC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8377" y="257175"/>
          <a:ext cx="2773920" cy="46635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335280</xdr:colOff>
      <xdr:row>3</xdr:row>
      <xdr:rowOff>15240</xdr:rowOff>
    </xdr:from>
    <xdr:to>
      <xdr:col>8</xdr:col>
      <xdr:colOff>746760</xdr:colOff>
      <xdr:row>14</xdr:row>
      <xdr:rowOff>33528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FB51608E-BEBB-622F-E7BE-00945FAFF430}"/>
            </a:ext>
          </a:extLst>
        </xdr:cNvPr>
        <xdr:cNvSpPr/>
      </xdr:nvSpPr>
      <xdr:spPr>
        <a:xfrm>
          <a:off x="5189220" y="579120"/>
          <a:ext cx="3611880" cy="2029968"/>
        </a:xfrm>
        <a:prstGeom prst="roundRect">
          <a:avLst/>
        </a:prstGeom>
        <a:solidFill>
          <a:srgbClr val="4F4C3A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b="1">
              <a:solidFill>
                <a:srgbClr val="00B0F0"/>
              </a:solidFill>
              <a:latin typeface="Roboto" panose="02000000000000000000" pitchFamily="2" charset="0"/>
              <a:ea typeface="Roboto" panose="02000000000000000000" pitchFamily="2" charset="0"/>
            </a:rPr>
            <a:t>TASK:</a:t>
          </a:r>
        </a:p>
        <a:p>
          <a:pPr algn="l"/>
          <a:endParaRPr lang="en-US">
            <a:latin typeface="Roboto" panose="02000000000000000000" pitchFamily="2" charset="0"/>
            <a:ea typeface="Roboto" panose="02000000000000000000" pitchFamily="2" charset="0"/>
          </a:endParaRPr>
        </a:p>
        <a:p>
          <a:pPr algn="l"/>
          <a:r>
            <a:rPr 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  <a:sym typeface="Wingdings" panose="05000000000000000000" pitchFamily="2" charset="2"/>
            </a:rPr>
            <a:t> </a:t>
          </a:r>
          <a:r>
            <a:rPr lang="en-US" sz="1200">
              <a:latin typeface="Roboto" panose="02000000000000000000" pitchFamily="2" charset="0"/>
              <a:ea typeface="Roboto" panose="02000000000000000000" pitchFamily="2" charset="0"/>
            </a:rPr>
            <a:t>Compute the percentage of each manager’s </a:t>
          </a:r>
        </a:p>
        <a:p>
          <a:pPr algn="l"/>
          <a:r>
            <a:rPr lang="en-US" sz="1200">
              <a:latin typeface="Roboto" panose="02000000000000000000" pitchFamily="2" charset="0"/>
              <a:ea typeface="Roboto" panose="02000000000000000000" pitchFamily="2" charset="0"/>
            </a:rPr>
            <a:t>    sales for each year in relation to their </a:t>
          </a:r>
        </a:p>
        <a:p>
          <a:pPr algn="l"/>
          <a:r>
            <a:rPr lang="en-US" sz="1200">
              <a:latin typeface="Roboto" panose="02000000000000000000" pitchFamily="2" charset="0"/>
              <a:ea typeface="Roboto" panose="02000000000000000000" pitchFamily="2" charset="0"/>
            </a:rPr>
            <a:t>    cumulative sales total.</a:t>
          </a:r>
        </a:p>
      </xdr:txBody>
    </xdr:sp>
    <xdr:clientData/>
  </xdr:twoCellAnchor>
  <xdr:twoCellAnchor>
    <xdr:from>
      <xdr:col>5</xdr:col>
      <xdr:colOff>335280</xdr:colOff>
      <xdr:row>20</xdr:row>
      <xdr:rowOff>40132</xdr:rowOff>
    </xdr:from>
    <xdr:to>
      <xdr:col>8</xdr:col>
      <xdr:colOff>933450</xdr:colOff>
      <xdr:row>31</xdr:row>
      <xdr:rowOff>55372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85AE9733-5789-4347-AD6B-C57813928D5D}"/>
            </a:ext>
          </a:extLst>
        </xdr:cNvPr>
        <xdr:cNvSpPr/>
      </xdr:nvSpPr>
      <xdr:spPr>
        <a:xfrm>
          <a:off x="4202430" y="3888232"/>
          <a:ext cx="3712845" cy="2110740"/>
        </a:xfrm>
        <a:prstGeom prst="roundRect">
          <a:avLst/>
        </a:prstGeom>
        <a:solidFill>
          <a:srgbClr val="4F4C3A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b="1">
              <a:solidFill>
                <a:srgbClr val="00B0F0"/>
              </a:solidFill>
              <a:latin typeface="Roboto" panose="02000000000000000000" pitchFamily="2" charset="0"/>
              <a:ea typeface="Roboto" panose="02000000000000000000" pitchFamily="2" charset="0"/>
            </a:rPr>
            <a:t>TASK:</a:t>
          </a:r>
        </a:p>
        <a:p>
          <a:pPr algn="l"/>
          <a:endParaRPr lang="en-US">
            <a:latin typeface="Roboto" panose="02000000000000000000" pitchFamily="2" charset="0"/>
            <a:ea typeface="Roboto" panose="02000000000000000000" pitchFamily="2" charset="0"/>
          </a:endParaRPr>
        </a:p>
        <a:p>
          <a:pPr algn="l"/>
          <a:r>
            <a:rPr lang="en-US" sz="1200">
              <a:latin typeface="Roboto" panose="02000000000000000000" pitchFamily="2" charset="0"/>
              <a:ea typeface="Roboto" panose="02000000000000000000" pitchFamily="2" charset="0"/>
              <a:sym typeface="Wingdings" panose="05000000000000000000" pitchFamily="2" charset="2"/>
            </a:rPr>
            <a:t> </a:t>
          </a:r>
          <a:r>
            <a:rPr lang="en-US" sz="1200">
              <a:latin typeface="Roboto" panose="02000000000000000000" pitchFamily="2" charset="0"/>
              <a:ea typeface="Roboto" panose="02000000000000000000" pitchFamily="2" charset="0"/>
            </a:rPr>
            <a:t>Copy the pivot table from Report 1 and place   </a:t>
          </a:r>
        </a:p>
        <a:p>
          <a:pPr algn="l"/>
          <a:r>
            <a:rPr lang="en-US" sz="1200">
              <a:latin typeface="Roboto" panose="02000000000000000000" pitchFamily="2" charset="0"/>
              <a:ea typeface="Roboto" panose="02000000000000000000" pitchFamily="2" charset="0"/>
            </a:rPr>
            <a:t>     it below the heading Report 2. </a:t>
          </a:r>
          <a:br>
            <a:rPr lang="en-US" sz="1200">
              <a:latin typeface="Roboto" panose="02000000000000000000" pitchFamily="2" charset="0"/>
              <a:ea typeface="Roboto" panose="02000000000000000000" pitchFamily="2" charset="0"/>
            </a:rPr>
          </a:br>
          <a:endParaRPr lang="en-US" sz="1200">
            <a:latin typeface="Roboto" panose="02000000000000000000" pitchFamily="2" charset="0"/>
            <a:ea typeface="Roboto" panose="02000000000000000000" pitchFamily="2" charset="0"/>
          </a:endParaRPr>
        </a:p>
        <a:p>
          <a:pPr algn="l"/>
          <a:r>
            <a:rPr 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  <a:sym typeface="Wingdings" panose="05000000000000000000" pitchFamily="2" charset="2"/>
            </a:rPr>
            <a:t> </a:t>
          </a:r>
          <a:r>
            <a:rPr lang="en-US" sz="1200">
              <a:latin typeface="Roboto" panose="02000000000000000000" pitchFamily="2" charset="0"/>
              <a:ea typeface="Roboto" panose="02000000000000000000" pitchFamily="2" charset="0"/>
            </a:rPr>
            <a:t>Rename the new pivot table as Report 2.</a:t>
          </a:r>
          <a:br>
            <a:rPr lang="en-US" sz="1200">
              <a:latin typeface="Roboto" panose="02000000000000000000" pitchFamily="2" charset="0"/>
              <a:ea typeface="Roboto" panose="02000000000000000000" pitchFamily="2" charset="0"/>
            </a:rPr>
          </a:br>
          <a:endParaRPr lang="en-US" sz="1200">
            <a:latin typeface="Roboto" panose="02000000000000000000" pitchFamily="2" charset="0"/>
            <a:ea typeface="Roboto" panose="02000000000000000000" pitchFamily="2" charset="0"/>
          </a:endParaRPr>
        </a:p>
        <a:p>
          <a:pPr algn="l"/>
          <a:r>
            <a:rPr 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  <a:sym typeface="Wingdings" panose="05000000000000000000" pitchFamily="2" charset="2"/>
            </a:rPr>
            <a:t> </a:t>
          </a:r>
          <a:r>
            <a:rPr lang="en-US" sz="1200">
              <a:latin typeface="Roboto" panose="02000000000000000000" pitchFamily="2" charset="0"/>
              <a:ea typeface="Roboto" panose="02000000000000000000" pitchFamily="2" charset="0"/>
            </a:rPr>
            <a:t>Then, calculate the share of each manager’s </a:t>
          </a:r>
        </a:p>
        <a:p>
          <a:pPr algn="l"/>
          <a:r>
            <a:rPr lang="en-US" sz="1200">
              <a:latin typeface="Roboto" panose="02000000000000000000" pitchFamily="2" charset="0"/>
              <a:ea typeface="Roboto" panose="02000000000000000000" pitchFamily="2" charset="0"/>
            </a:rPr>
            <a:t>    sales for each year.</a:t>
          </a:r>
        </a:p>
      </xdr:txBody>
    </xdr:sp>
    <xdr:clientData/>
  </xdr:twoCellAnchor>
  <xdr:twoCellAnchor>
    <xdr:from>
      <xdr:col>5</xdr:col>
      <xdr:colOff>335280</xdr:colOff>
      <xdr:row>37</xdr:row>
      <xdr:rowOff>61976</xdr:rowOff>
    </xdr:from>
    <xdr:to>
      <xdr:col>8</xdr:col>
      <xdr:colOff>746760</xdr:colOff>
      <xdr:row>48</xdr:row>
      <xdr:rowOff>77216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123F8C56-8704-4D40-AB60-27089620390B}"/>
            </a:ext>
          </a:extLst>
        </xdr:cNvPr>
        <xdr:cNvSpPr/>
      </xdr:nvSpPr>
      <xdr:spPr>
        <a:xfrm>
          <a:off x="5189220" y="6874256"/>
          <a:ext cx="3611880" cy="2026920"/>
        </a:xfrm>
        <a:prstGeom prst="roundRect">
          <a:avLst/>
        </a:prstGeom>
        <a:solidFill>
          <a:srgbClr val="4F4C3A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b="1">
              <a:solidFill>
                <a:srgbClr val="00B0F0"/>
              </a:solidFill>
              <a:latin typeface="Roboto" panose="02000000000000000000" pitchFamily="2" charset="0"/>
              <a:ea typeface="Roboto" panose="02000000000000000000" pitchFamily="2" charset="0"/>
            </a:rPr>
            <a:t>TASK:</a:t>
          </a:r>
        </a:p>
        <a:p>
          <a:pPr algn="l"/>
          <a:endParaRPr lang="en-US">
            <a:latin typeface="Roboto" panose="02000000000000000000" pitchFamily="2" charset="0"/>
            <a:ea typeface="Roboto" panose="02000000000000000000" pitchFamily="2" charset="0"/>
          </a:endParaRPr>
        </a:p>
        <a:p>
          <a:pPr algn="l"/>
          <a:r>
            <a:rPr 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  <a:sym typeface="Wingdings" panose="05000000000000000000" pitchFamily="2" charset="2"/>
            </a:rPr>
            <a:t> </a:t>
          </a:r>
          <a:r>
            <a:rPr lang="en-US" sz="1200">
              <a:latin typeface="Roboto" panose="02000000000000000000" pitchFamily="2" charset="0"/>
              <a:ea typeface="Roboto" panose="02000000000000000000" pitchFamily="2" charset="0"/>
            </a:rPr>
            <a:t>Calculate the proportion of each manager’s </a:t>
          </a:r>
        </a:p>
        <a:p>
          <a:pPr algn="l"/>
          <a:r>
            <a:rPr lang="en-US" sz="1200">
              <a:latin typeface="Roboto" panose="02000000000000000000" pitchFamily="2" charset="0"/>
              <a:ea typeface="Roboto" panose="02000000000000000000" pitchFamily="2" charset="0"/>
            </a:rPr>
            <a:t>    sales for each year relative to their total sales </a:t>
          </a:r>
        </a:p>
        <a:p>
          <a:pPr algn="l"/>
          <a:r>
            <a:rPr lang="en-US" sz="1200">
              <a:latin typeface="Roboto" panose="02000000000000000000" pitchFamily="2" charset="0"/>
              <a:ea typeface="Roboto" panose="02000000000000000000" pitchFamily="2" charset="0"/>
            </a:rPr>
            <a:t>    across all years.</a:t>
          </a:r>
        </a:p>
      </xdr:txBody>
    </xdr:sp>
    <xdr:clientData/>
  </xdr:twoCellAnchor>
  <xdr:twoCellAnchor>
    <xdr:from>
      <xdr:col>5</xdr:col>
      <xdr:colOff>335280</xdr:colOff>
      <xdr:row>54</xdr:row>
      <xdr:rowOff>83820</xdr:rowOff>
    </xdr:from>
    <xdr:to>
      <xdr:col>8</xdr:col>
      <xdr:colOff>746760</xdr:colOff>
      <xdr:row>65</xdr:row>
      <xdr:rowOff>99060</xdr:rowOff>
    </xdr:to>
    <xdr:sp macro="" textlink="">
      <xdr:nvSpPr>
        <xdr:cNvPr id="8" name="Rectangle: Rounded Corners 7">
          <a:extLst>
            <a:ext uri="{FF2B5EF4-FFF2-40B4-BE49-F238E27FC236}">
              <a16:creationId xmlns:a16="http://schemas.microsoft.com/office/drawing/2014/main" id="{17676A73-A0C3-4F4A-B884-97ABFDE1C09E}"/>
            </a:ext>
          </a:extLst>
        </xdr:cNvPr>
        <xdr:cNvSpPr/>
      </xdr:nvSpPr>
      <xdr:spPr>
        <a:xfrm>
          <a:off x="5189220" y="10020300"/>
          <a:ext cx="3611880" cy="2026920"/>
        </a:xfrm>
        <a:prstGeom prst="roundRect">
          <a:avLst/>
        </a:prstGeom>
        <a:solidFill>
          <a:srgbClr val="4F4C3A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b="1">
              <a:solidFill>
                <a:srgbClr val="00B0F0"/>
              </a:solidFill>
              <a:latin typeface="Roboto" panose="02000000000000000000" pitchFamily="2" charset="0"/>
              <a:ea typeface="Roboto" panose="02000000000000000000" pitchFamily="2" charset="0"/>
            </a:rPr>
            <a:t>TASK:</a:t>
          </a:r>
        </a:p>
        <a:p>
          <a:pPr algn="l"/>
          <a:endParaRPr lang="en-US">
            <a:latin typeface="Roboto" panose="02000000000000000000" pitchFamily="2" charset="0"/>
            <a:ea typeface="Roboto" panose="02000000000000000000" pitchFamily="2" charset="0"/>
          </a:endParaRPr>
        </a:p>
        <a:p>
          <a:pPr algn="l"/>
          <a:r>
            <a:rPr 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  <a:sym typeface="Wingdings" panose="05000000000000000000" pitchFamily="2" charset="2"/>
            </a:rPr>
            <a:t> </a:t>
          </a:r>
          <a:r>
            <a:rPr lang="en-US" sz="1200">
              <a:latin typeface="Roboto" panose="02000000000000000000" pitchFamily="2" charset="0"/>
              <a:ea typeface="Roboto" panose="02000000000000000000" pitchFamily="2" charset="0"/>
            </a:rPr>
            <a:t>Rank the managers' sales data for each year, assigning the highest sales amount to the top (1st) position.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23</xdr:row>
      <xdr:rowOff>116205</xdr:rowOff>
    </xdr:from>
    <xdr:to>
      <xdr:col>5</xdr:col>
      <xdr:colOff>828675</xdr:colOff>
      <xdr:row>41</xdr:row>
      <xdr:rowOff>161925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A171B3FF-ED87-4541-9D7C-EDA286673C62}"/>
            </a:ext>
          </a:extLst>
        </xdr:cNvPr>
        <xdr:cNvSpPr/>
      </xdr:nvSpPr>
      <xdr:spPr>
        <a:xfrm>
          <a:off x="0" y="4745355"/>
          <a:ext cx="4648200" cy="3474720"/>
        </a:xfrm>
        <a:prstGeom prst="roundRect">
          <a:avLst/>
        </a:prstGeom>
        <a:solidFill>
          <a:srgbClr val="4F4C3A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b="1">
              <a:solidFill>
                <a:srgbClr val="00B0F0"/>
              </a:solidFill>
              <a:latin typeface="Roboto" panose="02000000000000000000" pitchFamily="2" charset="0"/>
              <a:ea typeface="Roboto" panose="02000000000000000000" pitchFamily="2" charset="0"/>
            </a:rPr>
            <a:t>TASK:</a:t>
          </a:r>
        </a:p>
        <a:p>
          <a:pPr algn="l"/>
          <a:endParaRPr lang="en-US" b="1">
            <a:solidFill>
              <a:srgbClr val="00B0F0"/>
            </a:solidFill>
            <a:latin typeface="Roboto" panose="02000000000000000000" pitchFamily="2" charset="0"/>
            <a:ea typeface="Roboto" panose="02000000000000000000" pitchFamily="2" charset="0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>
              <a:solidFill>
                <a:srgbClr val="00B0F0"/>
              </a:solidFill>
              <a:effectLst/>
              <a:latin typeface="Roboto" panose="02000000000000000000" pitchFamily="2" charset="0"/>
              <a:ea typeface="Roboto" panose="02000000000000000000" pitchFamily="2" charset="0"/>
              <a:cs typeface="+mn-cs"/>
            </a:rPr>
            <a:t>C</a:t>
          </a:r>
          <a:r>
            <a:rPr lang="en-US" sz="1100" b="1">
              <a:solidFill>
                <a:schemeClr val="lt1"/>
              </a:solidFill>
              <a:effectLst/>
              <a:latin typeface="Roboto" panose="02000000000000000000" pitchFamily="2" charset="0"/>
              <a:ea typeface="Roboto" panose="02000000000000000000" pitchFamily="2" charset="0"/>
              <a:cs typeface="+mn-cs"/>
            </a:rPr>
            <a:t>alculate:</a:t>
          </a:r>
          <a:endParaRPr lang="en-US" sz="1100">
            <a:effectLst/>
            <a:latin typeface="Roboto" panose="02000000000000000000" pitchFamily="2" charset="0"/>
            <a:ea typeface="Roboto" panose="02000000000000000000" pitchFamily="2" charset="0"/>
          </a:endParaRPr>
        </a:p>
        <a:p>
          <a:pPr algn="l"/>
          <a:endParaRPr lang="en-US" sz="1100">
            <a:latin typeface="Roboto" panose="02000000000000000000" pitchFamily="2" charset="0"/>
            <a:ea typeface="Roboto" panose="02000000000000000000" pitchFamily="2" charset="0"/>
          </a:endParaRPr>
        </a:p>
        <a:p>
          <a:pPr algn="l"/>
          <a:r>
            <a:rPr lang="en-US" sz="1100">
              <a:solidFill>
                <a:schemeClr val="lt1"/>
              </a:solidFill>
              <a:effectLst/>
              <a:latin typeface="Roboto" panose="02000000000000000000" pitchFamily="2" charset="0"/>
              <a:ea typeface="Roboto" panose="02000000000000000000" pitchFamily="2" charset="0"/>
              <a:cs typeface="+mn-cs"/>
              <a:sym typeface="Wingdings" panose="05000000000000000000" pitchFamily="2" charset="2"/>
            </a:rPr>
            <a:t> Order Amount in USD (Total Amount, $).</a:t>
          </a:r>
        </a:p>
        <a:p>
          <a:pPr algn="l"/>
          <a:endParaRPr lang="en-US" sz="1100">
            <a:solidFill>
              <a:schemeClr val="lt1"/>
            </a:solidFill>
            <a:effectLst/>
            <a:latin typeface="Roboto" panose="02000000000000000000" pitchFamily="2" charset="0"/>
            <a:ea typeface="Roboto" panose="02000000000000000000" pitchFamily="2" charset="0"/>
            <a:cs typeface="+mn-cs"/>
            <a:sym typeface="Wingdings" panose="05000000000000000000" pitchFamily="2" charset="2"/>
          </a:endParaRPr>
        </a:p>
        <a:p>
          <a:pPr algn="l"/>
          <a:r>
            <a:rPr lang="en-US" sz="1100">
              <a:solidFill>
                <a:schemeClr val="lt1"/>
              </a:solidFill>
              <a:effectLst/>
              <a:latin typeface="Roboto" panose="02000000000000000000" pitchFamily="2" charset="0"/>
              <a:ea typeface="Roboto" panose="02000000000000000000" pitchFamily="2" charset="0"/>
              <a:cs typeface="+mn-cs"/>
              <a:sym typeface="Wingdings" panose="05000000000000000000" pitchFamily="2" charset="2"/>
            </a:rPr>
            <a:t> Analyze the order amount values for each item by comparing each subsequent year to the previous one, presenting the results in both absolute terms (Difference, $) and relative terms (Difference, %). </a:t>
          </a:r>
        </a:p>
        <a:p>
          <a:pPr algn="l"/>
          <a:endParaRPr lang="en-US" sz="1100">
            <a:solidFill>
              <a:schemeClr val="lt1"/>
            </a:solidFill>
            <a:effectLst/>
            <a:latin typeface="Roboto" panose="02000000000000000000" pitchFamily="2" charset="0"/>
            <a:ea typeface="Roboto" panose="02000000000000000000" pitchFamily="2" charset="0"/>
            <a:cs typeface="+mn-cs"/>
            <a:sym typeface="Wingdings" panose="05000000000000000000" pitchFamily="2" charset="2"/>
          </a:endParaRPr>
        </a:p>
        <a:p>
          <a:pPr algn="l"/>
          <a:r>
            <a:rPr lang="en-US" sz="1100">
              <a:solidFill>
                <a:schemeClr val="lt1"/>
              </a:solidFill>
              <a:effectLst/>
              <a:latin typeface="Roboto" panose="02000000000000000000" pitchFamily="2" charset="0"/>
              <a:ea typeface="Roboto" panose="02000000000000000000" pitchFamily="2" charset="0"/>
              <a:cs typeface="+mn-cs"/>
              <a:sym typeface="Wingdings" panose="05000000000000000000" pitchFamily="2" charset="2"/>
            </a:rPr>
            <a:t> Calculate the cumulative order amounts for each item by year, expressing them both in dollar values and as percentages. </a:t>
          </a:r>
          <a:endParaRPr lang="en-US" sz="1100">
            <a:latin typeface="Roboto" panose="02000000000000000000" pitchFamily="2" charset="0"/>
            <a:ea typeface="Roboto" panose="02000000000000000000" pitchFamily="2" charset="0"/>
          </a:endParaRPr>
        </a:p>
      </xdr:txBody>
    </xdr:sp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5775.657075000003" createdVersion="8" refreshedVersion="8" minRefreshableVersion="3" recordCount="1093" xr:uid="{D7DD59FA-1D73-43F8-A997-3FC891CA1559}">
  <cacheSource type="worksheet">
    <worksheetSource name="Dataset"/>
  </cacheSource>
  <cacheFields count="13">
    <cacheField name="Order ID" numFmtId="0">
      <sharedItems containsSemiMixedTypes="0" containsString="0" containsNumber="1" containsInteger="1" minValue="2500001" maxValue="2501093"/>
    </cacheField>
    <cacheField name="Sales Manager" numFmtId="0">
      <sharedItems count="10">
        <s v="Isabella Hayes"/>
        <s v="Olivia Bennett"/>
        <s v="Sophia Mitchell"/>
        <s v="Emma Collins"/>
        <s v="James Carter"/>
        <s v="Ava Simmons"/>
        <s v="Noah Reed"/>
        <s v="Liam Parker"/>
        <s v="Ethan Brooks"/>
        <s v="Mason Turner"/>
      </sharedItems>
    </cacheField>
    <cacheField name="Order Date" numFmtId="15">
      <sharedItems containsSemiMixedTypes="0" containsNonDate="0" containsDate="1" containsString="0" minDate="2019-01-04T00:00:00" maxDate="2022-01-01T00:00:00" count="1045">
        <d v="2019-01-04T00:00:00"/>
        <d v="2019-01-05T00:00:00"/>
        <d v="2019-01-06T00:00:00"/>
        <d v="2019-01-08T00:00:00"/>
        <d v="2019-01-17T00:00:00"/>
        <d v="2019-01-21T00:00:00"/>
        <d v="2019-01-24T00:00:00"/>
        <d v="2019-02-01T00:00:00"/>
        <d v="2019-02-03T00:00:00"/>
        <d v="2019-02-05T00:00:00"/>
        <d v="2019-02-08T00:00:00"/>
        <d v="2019-02-12T00:00:00"/>
        <d v="2019-02-20T00:00:00"/>
        <d v="2019-03-01T00:00:00"/>
        <d v="2019-03-06T00:00:00"/>
        <d v="2019-03-13T00:00:00"/>
        <d v="2019-03-08T00:00:00"/>
        <d v="2019-03-09T00:00:00"/>
        <d v="2019-03-10T00:00:00"/>
        <d v="2019-03-11T00:00:00"/>
        <d v="2019-03-12T00:00:00"/>
        <d v="2019-03-14T00:00:00"/>
        <d v="2019-03-15T00:00:00"/>
        <d v="2019-03-16T00:00:00"/>
        <d v="2019-03-17T00:00:00"/>
        <d v="2019-03-18T00:00:00"/>
        <d v="2019-03-19T00:00:00"/>
        <d v="2019-03-20T00:00:00"/>
        <d v="2019-03-21T00:00:00"/>
        <d v="2019-03-22T00:00:00"/>
        <d v="2019-03-23T00:00:00"/>
        <d v="2019-03-24T00:00:00"/>
        <d v="2019-03-25T00:00:00"/>
        <d v="2019-03-26T00:00:00"/>
        <d v="2019-03-27T00:00:00"/>
        <d v="2019-03-28T00:00:00"/>
        <d v="2019-03-29T00:00:00"/>
        <d v="2019-03-30T00:00:00"/>
        <d v="2019-03-31T00:00:00"/>
        <d v="2019-04-01T00:00:00"/>
        <d v="2019-04-02T00:00:00"/>
        <d v="2019-04-03T00:00:00"/>
        <d v="2019-04-04T00:00:00"/>
        <d v="2019-04-05T00:00:00"/>
        <d v="2019-04-06T00:00:00"/>
        <d v="2019-04-07T00:00:00"/>
        <d v="2019-04-08T00:00:00"/>
        <d v="2019-04-09T00:00:00"/>
        <d v="2019-04-10T00:00:00"/>
        <d v="2019-04-11T00:00:00"/>
        <d v="2019-04-12T00:00:00"/>
        <d v="2019-04-13T00:00:00"/>
        <d v="2019-04-14T00:00:00"/>
        <d v="2019-04-15T00:00:00"/>
        <d v="2019-04-16T00:00:00"/>
        <d v="2019-04-17T00:00:00"/>
        <d v="2019-04-18T00:00:00"/>
        <d v="2019-04-19T00:00:00"/>
        <d v="2019-04-20T00:00:00"/>
        <d v="2019-04-21T00:00:00"/>
        <d v="2019-04-22T00:00:00"/>
        <d v="2019-04-23T00:00:00"/>
        <d v="2019-04-24T00:00:00"/>
        <d v="2019-04-25T00:00:00"/>
        <d v="2019-04-26T00:00:00"/>
        <d v="2019-04-27T00:00:00"/>
        <d v="2019-04-28T00:00:00"/>
        <d v="2019-04-29T00:00:00"/>
        <d v="2019-04-30T00:00:00"/>
        <d v="2019-05-01T00:00:00"/>
        <d v="2019-05-02T00:00:00"/>
        <d v="2019-05-03T00:00:00"/>
        <d v="2019-05-04T00:00:00"/>
        <d v="2019-05-05T00:00:00"/>
        <d v="2019-05-06T00:00:00"/>
        <d v="2019-05-07T00:00:00"/>
        <d v="2019-05-08T00:00:00"/>
        <d v="2019-05-09T00:00:00"/>
        <d v="2019-05-10T00:00:00"/>
        <d v="2019-05-11T00:00:00"/>
        <d v="2019-05-12T00:00:00"/>
        <d v="2019-05-13T00:00:00"/>
        <d v="2019-05-14T00:00:00"/>
        <d v="2019-05-15T00:00:00"/>
        <d v="2019-05-16T00:00:00"/>
        <d v="2019-05-17T00:00:00"/>
        <d v="2019-05-18T00:00:00"/>
        <d v="2019-05-19T00:00:00"/>
        <d v="2019-05-20T00:00:00"/>
        <d v="2019-05-21T00:00:00"/>
        <d v="2019-05-22T00:00:00"/>
        <d v="2019-05-23T00:00:00"/>
        <d v="2019-05-24T00:00:00"/>
        <d v="2019-05-25T00:00:00"/>
        <d v="2019-05-26T00:00:00"/>
        <d v="2019-05-27T00:00:00"/>
        <d v="2019-05-28T00:00:00"/>
        <d v="2019-05-29T00:00:00"/>
        <d v="2019-05-30T00:00:00"/>
        <d v="2019-05-31T00:00:00"/>
        <d v="2019-06-01T00:00:00"/>
        <d v="2019-06-02T00:00:00"/>
        <d v="2019-06-03T00:00:00"/>
        <d v="2019-06-04T00:00:00"/>
        <d v="2019-06-05T00:00:00"/>
        <d v="2019-06-06T00:00:00"/>
        <d v="2019-06-07T00:00:00"/>
        <d v="2019-06-08T00:00:00"/>
        <d v="2019-06-09T00:00:00"/>
        <d v="2019-06-10T00:00:00"/>
        <d v="2019-06-11T00:00:00"/>
        <d v="2019-06-12T00:00:00"/>
        <d v="2019-06-13T00:00:00"/>
        <d v="2019-06-14T00:00:00"/>
        <d v="2019-06-15T00:00:00"/>
        <d v="2019-06-16T00:00:00"/>
        <d v="2019-06-17T00:00:00"/>
        <d v="2019-06-18T00:00:00"/>
        <d v="2019-06-19T00:00:00"/>
        <d v="2019-06-20T00:00:00"/>
        <d v="2019-06-21T00:00:00"/>
        <d v="2019-06-22T00:00:00"/>
        <d v="2019-06-23T00:00:00"/>
        <d v="2019-06-24T00:00:00"/>
        <d v="2019-06-25T00:00:00"/>
        <d v="2019-06-26T00:00:00"/>
        <d v="2019-06-27T00:00:00"/>
        <d v="2019-06-28T00:00:00"/>
        <d v="2019-06-29T00:00:00"/>
        <d v="2019-06-30T00:00:00"/>
        <d v="2019-07-01T00:00:00"/>
        <d v="2019-07-02T00:00:00"/>
        <d v="2019-07-03T00:00:00"/>
        <d v="2019-07-04T00:00:00"/>
        <d v="2019-07-05T00:00:00"/>
        <d v="2019-07-06T00:00:00"/>
        <d v="2019-07-07T00:00:00"/>
        <d v="2019-07-08T00:00:00"/>
        <d v="2019-07-09T00:00:00"/>
        <d v="2019-07-10T00:00:00"/>
        <d v="2019-07-11T00:00:00"/>
        <d v="2019-07-12T00:00:00"/>
        <d v="2019-07-13T00:00:00"/>
        <d v="2019-07-14T00:00:00"/>
        <d v="2019-07-15T00:00:00"/>
        <d v="2019-07-16T00:00:00"/>
        <d v="2019-07-17T00:00:00"/>
        <d v="2019-07-18T00:00:00"/>
        <d v="2019-07-19T00:00:00"/>
        <d v="2019-07-20T00:00:00"/>
        <d v="2019-07-21T00:00:00"/>
        <d v="2019-07-22T00:00:00"/>
        <d v="2019-07-23T00:00:00"/>
        <d v="2019-07-24T00:00:00"/>
        <d v="2019-07-25T00:00:00"/>
        <d v="2019-07-26T00:00:00"/>
        <d v="2019-07-27T00:00:00"/>
        <d v="2019-07-28T00:00:00"/>
        <d v="2019-07-29T00:00:00"/>
        <d v="2019-07-30T00:00:00"/>
        <d v="2019-07-31T00:00:00"/>
        <d v="2019-08-01T00:00:00"/>
        <d v="2019-08-02T00:00:00"/>
        <d v="2019-08-03T00:00:00"/>
        <d v="2019-08-04T00:00:00"/>
        <d v="2019-08-05T00:00:00"/>
        <d v="2019-08-06T00:00:00"/>
        <d v="2019-08-07T00:00:00"/>
        <d v="2019-08-08T00:00:00"/>
        <d v="2019-08-09T00:00:00"/>
        <d v="2019-08-10T00:00:00"/>
        <d v="2019-08-11T00:00:00"/>
        <d v="2019-08-12T00:00:00"/>
        <d v="2019-08-13T00:00:00"/>
        <d v="2019-08-14T00:00:00"/>
        <d v="2019-08-15T00:00:00"/>
        <d v="2019-08-16T00:00:00"/>
        <d v="2019-08-17T00:00:00"/>
        <d v="2019-08-18T00:00:00"/>
        <d v="2019-08-19T00:00:00"/>
        <d v="2019-08-20T00:00:00"/>
        <d v="2019-08-21T00:00:00"/>
        <d v="2019-08-22T00:00:00"/>
        <d v="2019-08-23T00:00:00"/>
        <d v="2019-08-24T00:00:00"/>
        <d v="2019-08-25T00:00:00"/>
        <d v="2019-08-26T00:00:00"/>
        <d v="2019-08-27T00:00:00"/>
        <d v="2019-08-28T00:00:00"/>
        <d v="2019-08-29T00:00:00"/>
        <d v="2019-08-30T00:00:00"/>
        <d v="2019-08-31T00:00:00"/>
        <d v="2019-09-01T00:00:00"/>
        <d v="2019-09-02T00:00:00"/>
        <d v="2019-09-03T00:00:00"/>
        <d v="2019-09-04T00:00:00"/>
        <d v="2019-09-05T00:00:00"/>
        <d v="2019-09-06T00:00:00"/>
        <d v="2019-09-07T00:00:00"/>
        <d v="2019-09-08T00:00:00"/>
        <d v="2019-09-09T00:00:00"/>
        <d v="2019-09-10T00:00:00"/>
        <d v="2019-09-11T00:00:00"/>
        <d v="2019-09-12T00:00:00"/>
        <d v="2019-09-13T00:00:00"/>
        <d v="2019-09-14T00:00:00"/>
        <d v="2019-09-15T00:00:00"/>
        <d v="2019-09-16T00:00:00"/>
        <d v="2019-09-17T00:00:00"/>
        <d v="2019-09-18T00:00:00"/>
        <d v="2019-09-19T00:00:00"/>
        <d v="2019-09-20T00:00:00"/>
        <d v="2019-09-21T00:00:00"/>
        <d v="2019-09-22T00:00:00"/>
        <d v="2019-09-23T00:00:00"/>
        <d v="2019-09-24T00:00:00"/>
        <d v="2019-09-25T00:00:00"/>
        <d v="2019-09-26T00:00:00"/>
        <d v="2019-09-27T00:00:00"/>
        <d v="2019-09-28T00:00:00"/>
        <d v="2019-09-29T00:00:00"/>
        <d v="2019-09-30T00:00:00"/>
        <d v="2019-10-01T00:00:00"/>
        <d v="2019-10-02T00:00:00"/>
        <d v="2019-10-03T00:00:00"/>
        <d v="2019-10-04T00:00:00"/>
        <d v="2019-10-05T00:00:00"/>
        <d v="2019-10-06T00:00:00"/>
        <d v="2019-10-07T00:00:00"/>
        <d v="2019-10-08T00:00:00"/>
        <d v="2019-10-09T00:00:00"/>
        <d v="2019-10-10T00:00:00"/>
        <d v="2019-10-11T00:00:00"/>
        <d v="2019-10-12T00:00:00"/>
        <d v="2019-10-13T00:00:00"/>
        <d v="2019-10-14T00:00:00"/>
        <d v="2019-10-15T00:00:00"/>
        <d v="2019-10-16T00:00:00"/>
        <d v="2019-10-17T00:00:00"/>
        <d v="2019-10-18T00:00:00"/>
        <d v="2019-10-19T00:00:00"/>
        <d v="2019-10-20T00:00:00"/>
        <d v="2019-10-21T00:00:00"/>
        <d v="2019-10-22T00:00:00"/>
        <d v="2019-10-23T00:00:00"/>
        <d v="2019-10-24T00:00:00"/>
        <d v="2019-10-25T00:00:00"/>
        <d v="2019-10-26T00:00:00"/>
        <d v="2019-10-27T00:00:00"/>
        <d v="2019-10-28T00:00:00"/>
        <d v="2019-10-29T00:00:00"/>
        <d v="2019-10-30T00:00:00"/>
        <d v="2019-10-31T00:00:00"/>
        <d v="2019-11-01T00:00:00"/>
        <d v="2019-11-02T00:00:00"/>
        <d v="2019-11-03T00:00:00"/>
        <d v="2019-11-04T00:00:00"/>
        <d v="2019-11-05T00:00:00"/>
        <d v="2019-11-06T00:00:00"/>
        <d v="2019-11-07T00:00:00"/>
        <d v="2019-11-08T00:00:00"/>
        <d v="2019-11-09T00:00:00"/>
        <d v="2019-11-10T00:00:00"/>
        <d v="2019-11-11T00:00:00"/>
        <d v="2019-11-12T00:00:00"/>
        <d v="2019-11-13T00:00:00"/>
        <d v="2019-11-14T00:00:00"/>
        <d v="2019-11-15T00:00:00"/>
        <d v="2019-11-16T00:00:00"/>
        <d v="2019-11-17T00:00:00"/>
        <d v="2019-11-18T00:00:00"/>
        <d v="2019-11-19T00:00:00"/>
        <d v="2019-11-20T00:00:00"/>
        <d v="2019-11-21T00:00:00"/>
        <d v="2019-11-22T00:00:00"/>
        <d v="2019-11-23T00:00:00"/>
        <d v="2019-11-24T00:00:00"/>
        <d v="2019-11-25T00:00:00"/>
        <d v="2019-11-26T00:00:00"/>
        <d v="2019-11-27T00:00:00"/>
        <d v="2019-11-28T00:00:00"/>
        <d v="2019-11-29T00:00:00"/>
        <d v="2019-11-30T00:00:00"/>
        <d v="2019-12-01T00:00:00"/>
        <d v="2019-12-02T00:00:00"/>
        <d v="2019-12-03T00:00:00"/>
        <d v="2019-12-04T00:00:00"/>
        <d v="2019-12-05T00:00:00"/>
        <d v="2019-12-06T00:00:00"/>
        <d v="2019-12-07T00:00:00"/>
        <d v="2019-12-08T00:00:00"/>
        <d v="2019-12-09T00:00:00"/>
        <d v="2019-12-10T00:00:00"/>
        <d v="2019-12-11T00:00:00"/>
        <d v="2019-12-12T00:00:00"/>
        <d v="2019-12-13T00:00:00"/>
        <d v="2019-12-14T00:00:00"/>
        <d v="2019-12-15T00:00:00"/>
        <d v="2019-12-16T00:00:00"/>
        <d v="2019-12-17T00:00:00"/>
        <d v="2019-12-18T00:00:00"/>
        <d v="2019-12-19T00:00:00"/>
        <d v="2019-12-20T00:00:00"/>
        <d v="2019-12-21T00:00:00"/>
        <d v="2019-12-22T00:00:00"/>
        <d v="2019-12-23T00:00:00"/>
        <d v="2019-12-24T00:00:00"/>
        <d v="2019-12-25T00:00:00"/>
        <d v="2019-12-26T00:00:00"/>
        <d v="2019-12-27T00:00:00"/>
        <d v="2019-12-28T00:00:00"/>
        <d v="2019-12-29T00:00:00"/>
        <d v="2019-12-30T00:00:00"/>
        <d v="2019-12-31T00:00:00"/>
        <d v="2020-01-01T00:00:00"/>
        <d v="2020-01-02T00:00:00"/>
        <d v="2020-01-03T00:00:00"/>
        <d v="2020-01-04T00:00:00"/>
        <d v="2020-01-05T00:00:00"/>
        <d v="2020-01-06T00:00:00"/>
        <d v="2020-01-07T00:00:00"/>
        <d v="2020-01-08T00:00:00"/>
        <d v="2020-01-09T00:00:00"/>
        <d v="2020-01-10T00:00:00"/>
        <d v="2020-01-11T00:00:00"/>
        <d v="2020-01-12T00:00:00"/>
        <d v="2020-01-13T00:00:00"/>
        <d v="2020-01-14T00:00:00"/>
        <d v="2020-01-15T00:00:00"/>
        <d v="2020-01-16T00:00:00"/>
        <d v="2020-01-17T00:00:00"/>
        <d v="2020-01-18T00:00:00"/>
        <d v="2020-01-19T00:00:00"/>
        <d v="2020-01-20T00:00:00"/>
        <d v="2020-01-21T00:00:00"/>
        <d v="2020-01-22T00:00:00"/>
        <d v="2020-01-23T00:00:00"/>
        <d v="2020-01-24T00:00:00"/>
        <d v="2020-01-25T00:00:00"/>
        <d v="2020-01-26T00:00:00"/>
        <d v="2020-01-27T00:00:00"/>
        <d v="2020-01-28T00:00:00"/>
        <d v="2020-01-29T00:00:00"/>
        <d v="2020-01-30T00:00:00"/>
        <d v="2020-01-31T00:00:00"/>
        <d v="2020-02-01T00:00:00"/>
        <d v="2020-02-02T00:00:00"/>
        <d v="2020-02-03T00:00:00"/>
        <d v="2020-02-04T00:00:00"/>
        <d v="2020-02-05T00:00:00"/>
        <d v="2020-02-06T00:00:00"/>
        <d v="2020-02-07T00:00:00"/>
        <d v="2020-02-08T00:00:00"/>
        <d v="2020-02-09T00:00:00"/>
        <d v="2020-02-10T00:00:00"/>
        <d v="2020-02-11T00:00:00"/>
        <d v="2020-02-12T00:00:00"/>
        <d v="2020-02-13T00:00:00"/>
        <d v="2020-02-14T00:00:00"/>
        <d v="2020-02-15T00:00:00"/>
        <d v="2020-02-16T00:00:00"/>
        <d v="2020-02-17T00:00:00"/>
        <d v="2020-02-18T00:00:00"/>
        <d v="2020-02-19T00:00:00"/>
        <d v="2020-02-20T00:00:00"/>
        <d v="2020-02-21T00:00:00"/>
        <d v="2020-02-22T00:00:00"/>
        <d v="2020-02-23T00:00:00"/>
        <d v="2020-02-24T00:00:00"/>
        <d v="2020-02-25T00:00:00"/>
        <d v="2020-02-26T00:00:00"/>
        <d v="2020-02-27T00:00:00"/>
        <d v="2020-02-28T00:00:00"/>
        <d v="2020-02-29T00:00:00"/>
        <d v="2020-03-01T00:00:00"/>
        <d v="2020-03-02T00:00:00"/>
        <d v="2020-03-03T00:00:00"/>
        <d v="2020-03-04T00:00:00"/>
        <d v="2020-03-05T00:00:00"/>
        <d v="2020-03-06T00:00:00"/>
        <d v="2020-03-07T00:00:00"/>
        <d v="2020-03-08T00:00:00"/>
        <d v="2020-03-09T00:00:00"/>
        <d v="2020-03-10T00:00:00"/>
        <d v="2020-03-11T00:00:00"/>
        <d v="2020-03-12T00:00:00"/>
        <d v="2020-03-13T00:00:00"/>
        <d v="2020-03-14T00:00:00"/>
        <d v="2020-03-15T00:00:00"/>
        <d v="2020-03-16T00:00:00"/>
        <d v="2020-03-17T00:00:00"/>
        <d v="2020-03-18T00:00:00"/>
        <d v="2020-03-19T00:00:00"/>
        <d v="2020-03-20T00:00:00"/>
        <d v="2020-03-21T00:00:00"/>
        <d v="2020-03-22T00:00:00"/>
        <d v="2020-03-23T00:00:00"/>
        <d v="2020-03-24T00:00:00"/>
        <d v="2020-03-25T00:00:00"/>
        <d v="2020-03-26T00:00:00"/>
        <d v="2020-03-27T00:00:00"/>
        <d v="2020-03-28T00:00:00"/>
        <d v="2020-03-29T00:00:00"/>
        <d v="2020-03-30T00:00:00"/>
        <d v="2020-03-31T00:00:00"/>
        <d v="2020-04-01T00:00:00"/>
        <d v="2020-04-02T00:00:00"/>
        <d v="2020-04-03T00:00:00"/>
        <d v="2020-04-04T00:00:00"/>
        <d v="2020-04-05T00:00:00"/>
        <d v="2020-04-06T00:00:00"/>
        <d v="2020-04-07T00:00:00"/>
        <d v="2020-04-08T00:00:00"/>
        <d v="2020-04-09T00:00:00"/>
        <d v="2020-04-10T00:00:00"/>
        <d v="2020-04-11T00:00:00"/>
        <d v="2020-04-12T00:00:00"/>
        <d v="2020-04-13T00:00:00"/>
        <d v="2020-04-14T00:00:00"/>
        <d v="2020-04-15T00:00:00"/>
        <d v="2020-04-16T00:00:00"/>
        <d v="2020-04-17T00:00:00"/>
        <d v="2020-04-18T00:00:00"/>
        <d v="2020-04-19T00:00:00"/>
        <d v="2020-04-20T00:00:00"/>
        <d v="2020-04-21T00:00:00"/>
        <d v="2020-04-22T00:00:00"/>
        <d v="2020-04-23T00:00:00"/>
        <d v="2020-04-24T00:00:00"/>
        <d v="2020-04-25T00:00:00"/>
        <d v="2020-04-26T00:00:00"/>
        <d v="2020-04-27T00:00:00"/>
        <d v="2020-04-28T00:00:00"/>
        <d v="2020-04-29T00:00:00"/>
        <d v="2020-04-30T00:00:00"/>
        <d v="2020-05-01T00:00:00"/>
        <d v="2020-05-02T00:00:00"/>
        <d v="2020-05-03T00:00:00"/>
        <d v="2020-05-04T00:00:00"/>
        <d v="2020-05-05T00:00:00"/>
        <d v="2020-05-06T00:00:00"/>
        <d v="2020-05-07T00:00:00"/>
        <d v="2020-05-08T00:00:00"/>
        <d v="2020-05-09T00:00:00"/>
        <d v="2020-05-10T00:00:00"/>
        <d v="2020-05-11T00:00:00"/>
        <d v="2020-05-12T00:00:00"/>
        <d v="2020-05-13T00:00:00"/>
        <d v="2020-05-14T00:00:00"/>
        <d v="2020-05-15T00:00:00"/>
        <d v="2020-05-16T00:00:00"/>
        <d v="2020-05-17T00:00:00"/>
        <d v="2020-05-18T00:00:00"/>
        <d v="2020-05-19T00:00:00"/>
        <d v="2020-05-20T00:00:00"/>
        <d v="2020-05-21T00:00:00"/>
        <d v="2020-05-22T00:00:00"/>
        <d v="2020-05-23T00:00:00"/>
        <d v="2020-05-24T00:00:00"/>
        <d v="2020-05-25T00:00:00"/>
        <d v="2020-05-26T00:00:00"/>
        <d v="2020-05-27T00:00:00"/>
        <d v="2020-05-28T00:00:00"/>
        <d v="2020-05-29T00:00:00"/>
        <d v="2020-05-30T00:00:00"/>
        <d v="2020-05-31T00:00:00"/>
        <d v="2020-06-01T00:00:00"/>
        <d v="2020-06-02T00:00:00"/>
        <d v="2020-06-03T00:00:00"/>
        <d v="2020-06-04T00:00:00"/>
        <d v="2020-06-05T00:00:00"/>
        <d v="2020-06-06T00:00:00"/>
        <d v="2020-06-07T00:00:00"/>
        <d v="2020-06-08T00:00:00"/>
        <d v="2020-06-09T00:00:00"/>
        <d v="2020-06-10T00:00:00"/>
        <d v="2020-06-11T00:00:00"/>
        <d v="2020-06-12T00:00:00"/>
        <d v="2020-06-13T00:00:00"/>
        <d v="2020-06-14T00:00:00"/>
        <d v="2020-06-15T00:00:00"/>
        <d v="2020-06-16T00:00:00"/>
        <d v="2020-06-17T00:00:00"/>
        <d v="2020-06-18T00:00:00"/>
        <d v="2020-06-19T00:00:00"/>
        <d v="2020-06-20T00:00:00"/>
        <d v="2020-06-21T00:00:00"/>
        <d v="2020-06-22T00:00:00"/>
        <d v="2020-06-23T00:00:00"/>
        <d v="2020-06-24T00:00:00"/>
        <d v="2020-06-25T00:00:00"/>
        <d v="2020-06-26T00:00:00"/>
        <d v="2020-06-27T00:00:00"/>
        <d v="2020-06-28T00:00:00"/>
        <d v="2020-06-29T00:00:00"/>
        <d v="2020-06-30T00:00:00"/>
        <d v="2020-07-01T00:00:00"/>
        <d v="2020-07-02T00:00:00"/>
        <d v="2020-07-03T00:00:00"/>
        <d v="2020-07-04T00:00:00"/>
        <d v="2020-07-05T00:00:00"/>
        <d v="2020-07-06T00:00:00"/>
        <d v="2020-07-07T00:00:00"/>
        <d v="2020-07-08T00:00:00"/>
        <d v="2020-07-09T00:00:00"/>
        <d v="2020-07-10T00:00:00"/>
        <d v="2020-07-11T00:00:00"/>
        <d v="2020-07-12T00:00:00"/>
        <d v="2020-07-13T00:00:00"/>
        <d v="2020-07-14T00:00:00"/>
        <d v="2020-07-15T00:00:00"/>
        <d v="2020-07-16T00:00:00"/>
        <d v="2020-07-17T00:00:00"/>
        <d v="2020-07-18T00:00:00"/>
        <d v="2020-07-19T00:00:00"/>
        <d v="2020-07-20T00:00:00"/>
        <d v="2020-07-21T00:00:00"/>
        <d v="2020-07-22T00:00:00"/>
        <d v="2020-07-23T00:00:00"/>
        <d v="2020-07-24T00:00:00"/>
        <d v="2020-07-25T00:00:00"/>
        <d v="2020-07-26T00:00:00"/>
        <d v="2020-07-27T00:00:00"/>
        <d v="2020-07-28T00:00:00"/>
        <d v="2020-07-29T00:00:00"/>
        <d v="2020-07-30T00:00:00"/>
        <d v="2020-07-31T00:00:00"/>
        <d v="2020-08-01T00:00:00"/>
        <d v="2020-08-02T00:00:00"/>
        <d v="2020-08-03T00:00:00"/>
        <d v="2020-08-04T00:00:00"/>
        <d v="2020-08-05T00:00:00"/>
        <d v="2020-08-06T00:00:00"/>
        <d v="2020-08-07T00:00:00"/>
        <d v="2020-08-08T00:00:00"/>
        <d v="2020-08-09T00:00:00"/>
        <d v="2020-08-10T00:00:00"/>
        <d v="2020-08-11T00:00:00"/>
        <d v="2020-08-12T00:00:00"/>
        <d v="2020-08-13T00:00:00"/>
        <d v="2020-08-14T00:00:00"/>
        <d v="2020-08-15T00:00:00"/>
        <d v="2020-08-16T00:00:00"/>
        <d v="2020-08-17T00:00:00"/>
        <d v="2020-08-18T00:00:00"/>
        <d v="2020-08-19T00:00:00"/>
        <d v="2020-08-20T00:00:00"/>
        <d v="2020-08-21T00:00:00"/>
        <d v="2020-08-22T00:00:00"/>
        <d v="2020-08-23T00:00:00"/>
        <d v="2020-08-24T00:00:00"/>
        <d v="2020-08-25T00:00:00"/>
        <d v="2020-08-26T00:00:00"/>
        <d v="2020-08-27T00:00:00"/>
        <d v="2020-08-28T00:00:00"/>
        <d v="2020-08-29T00:00:00"/>
        <d v="2020-08-30T00:00:00"/>
        <d v="2020-08-31T00:00:00"/>
        <d v="2020-09-01T00:00:00"/>
        <d v="2020-09-02T00:00:00"/>
        <d v="2020-09-03T00:00:00"/>
        <d v="2020-09-04T00:00:00"/>
        <d v="2020-09-05T00:00:00"/>
        <d v="2020-09-06T00:00:00"/>
        <d v="2020-09-07T00:00:00"/>
        <d v="2020-09-08T00:00:00"/>
        <d v="2020-09-09T00:00:00"/>
        <d v="2020-09-10T00:00:00"/>
        <d v="2020-09-11T00:00:00"/>
        <d v="2020-09-12T00:00:00"/>
        <d v="2020-09-13T00:00:00"/>
        <d v="2020-09-14T00:00:00"/>
        <d v="2020-09-15T00:00:00"/>
        <d v="2020-09-16T00:00:00"/>
        <d v="2020-09-17T00:00:00"/>
        <d v="2020-09-18T00:00:00"/>
        <d v="2020-09-19T00:00:00"/>
        <d v="2020-09-20T00:00:00"/>
        <d v="2020-09-21T00:00:00"/>
        <d v="2020-09-22T00:00:00"/>
        <d v="2020-09-23T00:00:00"/>
        <d v="2020-09-24T00:00:00"/>
        <d v="2020-09-25T00:00:00"/>
        <d v="2020-09-26T00:00:00"/>
        <d v="2020-09-27T00:00:00"/>
        <d v="2020-09-28T00:00:00"/>
        <d v="2020-09-29T00:00:00"/>
        <d v="2020-09-30T00:00:00"/>
        <d v="2020-10-01T00:00:00"/>
        <d v="2020-10-02T00:00:00"/>
        <d v="2020-10-03T00:00:00"/>
        <d v="2020-10-04T00:00:00"/>
        <d v="2020-10-05T00:00:00"/>
        <d v="2020-10-06T00:00:00"/>
        <d v="2020-10-07T00:00:00"/>
        <d v="2020-10-08T00:00:00"/>
        <d v="2020-10-09T00:00:00"/>
        <d v="2020-10-10T00:00:00"/>
        <d v="2020-10-11T00:00:00"/>
        <d v="2020-10-12T00:00:00"/>
        <d v="2020-10-13T00:00:00"/>
        <d v="2020-10-14T00:00:00"/>
        <d v="2020-10-15T00:00:00"/>
        <d v="2020-10-16T00:00:00"/>
        <d v="2020-10-17T00:00:00"/>
        <d v="2020-10-18T00:00:00"/>
        <d v="2020-10-19T00:00:00"/>
        <d v="2020-10-20T00:00:00"/>
        <d v="2020-10-21T00:00:00"/>
        <d v="2020-10-22T00:00:00"/>
        <d v="2020-10-23T00:00:00"/>
        <d v="2020-10-24T00:00:00"/>
        <d v="2020-10-25T00:00:00"/>
        <d v="2020-10-26T00:00:00"/>
        <d v="2020-10-27T00:00:00"/>
        <d v="2020-10-28T00:00:00"/>
        <d v="2020-10-29T00:00:00"/>
        <d v="2020-10-30T00:00:00"/>
        <d v="2020-10-31T00:00:00"/>
        <d v="2020-11-01T00:00:00"/>
        <d v="2020-11-02T00:00:00"/>
        <d v="2020-11-03T00:00:00"/>
        <d v="2020-11-04T00:00:00"/>
        <d v="2020-11-05T00:00:00"/>
        <d v="2020-11-06T00:00:00"/>
        <d v="2020-11-07T00:00:00"/>
        <d v="2020-11-08T00:00:00"/>
        <d v="2020-11-09T00:00:00"/>
        <d v="2020-11-10T00:00:00"/>
        <d v="2020-11-11T00:00:00"/>
        <d v="2020-11-12T00:00:00"/>
        <d v="2020-11-13T00:00:00"/>
        <d v="2020-11-14T00:00:00"/>
        <d v="2020-11-15T00:00:00"/>
        <d v="2020-11-16T00:00:00"/>
        <d v="2020-11-17T00:00:00"/>
        <d v="2020-11-18T00:00:00"/>
        <d v="2020-11-19T00:00:00"/>
        <d v="2020-11-20T00:00:00"/>
        <d v="2020-11-21T00:00:00"/>
        <d v="2020-11-22T00:00:00"/>
        <d v="2020-11-23T00:00:00"/>
        <d v="2020-11-24T00:00:00"/>
        <d v="2020-11-25T00:00:00"/>
        <d v="2020-11-26T00:00:00"/>
        <d v="2020-11-27T00:00:00"/>
        <d v="2020-11-28T00:00:00"/>
        <d v="2020-11-29T00:00:00"/>
        <d v="2020-11-30T00:00:00"/>
        <d v="2020-12-01T00:00:00"/>
        <d v="2020-12-02T00:00:00"/>
        <d v="2020-12-03T00:00:00"/>
        <d v="2020-12-04T00:00:00"/>
        <d v="2020-12-05T00:00:00"/>
        <d v="2020-12-06T00:00:00"/>
        <d v="2020-12-07T00:00:00"/>
        <d v="2020-12-08T00:00:00"/>
        <d v="2020-12-09T00:00:00"/>
        <d v="2020-12-10T00:00:00"/>
        <d v="2020-12-11T00:00:00"/>
        <d v="2020-12-12T00:00:00"/>
        <d v="2020-12-13T00:00:00"/>
        <d v="2020-12-14T00:00:00"/>
        <d v="2020-12-15T00:00:00"/>
        <d v="2020-12-16T00:00:00"/>
        <d v="2020-12-17T00:00:00"/>
        <d v="2020-12-18T00:00:00"/>
        <d v="2020-12-19T00:00:00"/>
        <d v="2020-12-20T00:00:00"/>
        <d v="2020-12-21T00:00:00"/>
        <d v="2020-12-22T00:00:00"/>
        <d v="2020-12-23T00:00:00"/>
        <d v="2020-12-24T00:00:00"/>
        <d v="2020-12-25T00:00:00"/>
        <d v="2020-12-26T00:00:00"/>
        <d v="2020-12-27T00:00:00"/>
        <d v="2020-12-28T00:00:00"/>
        <d v="2020-12-29T00:00:00"/>
        <d v="2020-12-30T00:00:00"/>
        <d v="2020-12-31T00:00:00"/>
        <d v="2021-01-01T00:00:00"/>
        <d v="2021-01-02T00:00:00"/>
        <d v="2021-01-03T00:00:00"/>
        <d v="2021-01-04T00:00:00"/>
        <d v="2021-01-05T00:00:00"/>
        <d v="2021-01-06T00:00:00"/>
        <d v="2021-01-07T00:00:00"/>
        <d v="2021-01-08T00:00:00"/>
        <d v="2021-01-09T00:00:00"/>
        <d v="2021-01-10T00:00:00"/>
        <d v="2021-01-11T00:00:00"/>
        <d v="2021-01-12T00:00:00"/>
        <d v="2021-01-13T00:00:00"/>
        <d v="2021-01-14T00:00:00"/>
        <d v="2021-01-15T00:00:00"/>
        <d v="2021-01-16T00:00:00"/>
        <d v="2021-01-17T00:00:00"/>
        <d v="2021-01-18T00:00:00"/>
        <d v="2021-01-19T00:00:00"/>
        <d v="2021-01-20T00:00:00"/>
        <d v="2021-01-21T00:00:00"/>
        <d v="2021-01-22T00:00:00"/>
        <d v="2021-01-23T00:00:00"/>
        <d v="2021-01-24T00:00:00"/>
        <d v="2021-01-25T00:00:00"/>
        <d v="2021-01-26T00:00:00"/>
        <d v="2021-01-27T00:00:00"/>
        <d v="2021-01-28T00:00:00"/>
        <d v="2021-01-29T00:00:00"/>
        <d v="2021-01-30T00:00:00"/>
        <d v="2021-01-31T00:00:00"/>
        <d v="2021-02-01T00:00:00"/>
        <d v="2021-02-02T00:00:00"/>
        <d v="2021-02-03T00:00:00"/>
        <d v="2021-02-04T00:00:00"/>
        <d v="2021-02-05T00:00:00"/>
        <d v="2021-02-06T00:00:00"/>
        <d v="2021-02-07T00:00:00"/>
        <d v="2021-02-08T00:00:00"/>
        <d v="2021-02-09T00:00:00"/>
        <d v="2021-02-10T00:00:00"/>
        <d v="2021-02-11T00:00:00"/>
        <d v="2021-02-12T00:00:00"/>
        <d v="2021-02-13T00:00:00"/>
        <d v="2021-02-14T00:00:00"/>
        <d v="2021-02-15T00:00:00"/>
        <d v="2021-02-16T00:00:00"/>
        <d v="2021-02-17T00:00:00"/>
        <d v="2021-02-18T00:00:00"/>
        <d v="2021-02-19T00:00:00"/>
        <d v="2021-02-20T00:00:00"/>
        <d v="2021-02-21T00:00:00"/>
        <d v="2021-02-22T00:00:00"/>
        <d v="2021-02-23T00:00:00"/>
        <d v="2021-02-24T00:00:00"/>
        <d v="2021-02-25T00:00:00"/>
        <d v="2021-02-26T00:00:00"/>
        <d v="2021-02-27T00:00:00"/>
        <d v="2021-02-28T00:00:00"/>
        <d v="2021-03-01T00:00:00"/>
        <d v="2021-03-02T00:00:00"/>
        <d v="2021-03-03T00:00:00"/>
        <d v="2021-03-04T00:00:00"/>
        <d v="2021-03-05T00:00:00"/>
        <d v="2021-03-06T00:00:00"/>
        <d v="2021-03-07T00:00:00"/>
        <d v="2021-03-08T00:00:00"/>
        <d v="2021-03-09T00:00:00"/>
        <d v="2021-03-10T00:00:00"/>
        <d v="2021-03-11T00:00:00"/>
        <d v="2021-03-12T00:00:00"/>
        <d v="2021-03-13T00:00:00"/>
        <d v="2021-03-14T00:00:00"/>
        <d v="2021-03-15T00:00:00"/>
        <d v="2021-03-16T00:00:00"/>
        <d v="2021-03-17T00:00:00"/>
        <d v="2021-03-18T00:00:00"/>
        <d v="2021-03-19T00:00:00"/>
        <d v="2021-03-20T00:00:00"/>
        <d v="2021-03-21T00:00:00"/>
        <d v="2021-03-22T00:00:00"/>
        <d v="2021-03-23T00:00:00"/>
        <d v="2021-03-24T00:00:00"/>
        <d v="2021-03-25T00:00:00"/>
        <d v="2021-03-26T00:00:00"/>
        <d v="2021-03-27T00:00:00"/>
        <d v="2021-03-28T00:00:00"/>
        <d v="2021-03-29T00:00:00"/>
        <d v="2021-03-30T00:00:00"/>
        <d v="2021-03-31T00:00:00"/>
        <d v="2021-04-01T00:00:00"/>
        <d v="2021-04-02T00:00:00"/>
        <d v="2021-04-03T00:00:00"/>
        <d v="2021-04-04T00:00:00"/>
        <d v="2021-04-05T00:00:00"/>
        <d v="2021-04-06T00:00:00"/>
        <d v="2021-04-07T00:00:00"/>
        <d v="2021-04-08T00:00:00"/>
        <d v="2021-04-09T00:00:00"/>
        <d v="2021-04-10T00:00:00"/>
        <d v="2021-04-11T00:00:00"/>
        <d v="2021-04-12T00:00:00"/>
        <d v="2021-04-13T00:00:00"/>
        <d v="2021-04-14T00:00:00"/>
        <d v="2021-04-15T00:00:00"/>
        <d v="2021-04-16T00:00:00"/>
        <d v="2021-04-17T00:00:00"/>
        <d v="2021-04-18T00:00:00"/>
        <d v="2021-04-19T00:00:00"/>
        <d v="2021-04-20T00:00:00"/>
        <d v="2021-04-21T00:00:00"/>
        <d v="2021-04-22T00:00:00"/>
        <d v="2021-04-23T00:00:00"/>
        <d v="2021-04-24T00:00:00"/>
        <d v="2021-04-25T00:00:00"/>
        <d v="2021-04-26T00:00:00"/>
        <d v="2021-04-27T00:00:00"/>
        <d v="2021-04-28T00:00:00"/>
        <d v="2021-04-29T00:00:00"/>
        <d v="2021-04-30T00:00:00"/>
        <d v="2021-05-01T00:00:00"/>
        <d v="2021-05-02T00:00:00"/>
        <d v="2021-05-03T00:00:00"/>
        <d v="2021-05-04T00:00:00"/>
        <d v="2021-05-05T00:00:00"/>
        <d v="2021-05-06T00:00:00"/>
        <d v="2021-05-07T00:00:00"/>
        <d v="2021-05-08T00:00:00"/>
        <d v="2021-05-09T00:00:00"/>
        <d v="2021-05-10T00:00:00"/>
        <d v="2021-05-11T00:00:00"/>
        <d v="2021-05-12T00:00:00"/>
        <d v="2021-05-13T00:00:00"/>
        <d v="2021-05-14T00:00:00"/>
        <d v="2021-05-15T00:00:00"/>
        <d v="2021-05-16T00:00:00"/>
        <d v="2021-05-17T00:00:00"/>
        <d v="2021-05-18T00:00:00"/>
        <d v="2021-05-19T00:00:00"/>
        <d v="2021-05-20T00:00:00"/>
        <d v="2021-05-21T00:00:00"/>
        <d v="2021-05-22T00:00:00"/>
        <d v="2021-05-23T00:00:00"/>
        <d v="2021-05-24T00:00:00"/>
        <d v="2021-05-25T00:00:00"/>
        <d v="2021-05-26T00:00:00"/>
        <d v="2021-05-27T00:00:00"/>
        <d v="2021-05-28T00:00:00"/>
        <d v="2021-05-29T00:00:00"/>
        <d v="2021-05-30T00:00:00"/>
        <d v="2021-05-31T00:00:00"/>
        <d v="2021-06-01T00:00:00"/>
        <d v="2021-06-02T00:00:00"/>
        <d v="2021-06-03T00:00:00"/>
        <d v="2021-06-04T00:00:00"/>
        <d v="2021-06-05T00:00:00"/>
        <d v="2021-06-06T00:00:00"/>
        <d v="2021-06-07T00:00:00"/>
        <d v="2021-06-08T00:00:00"/>
        <d v="2021-06-09T00:00:00"/>
        <d v="2021-06-10T00:00:00"/>
        <d v="2021-06-11T00:00:00"/>
        <d v="2021-06-12T00:00:00"/>
        <d v="2021-06-13T00:00:00"/>
        <d v="2021-06-14T00:00:00"/>
        <d v="2021-06-15T00:00:00"/>
        <d v="2021-06-16T00:00:00"/>
        <d v="2021-06-17T00:00:00"/>
        <d v="2021-06-18T00:00:00"/>
        <d v="2021-06-19T00:00:00"/>
        <d v="2021-06-20T00:00:00"/>
        <d v="2021-06-21T00:00:00"/>
        <d v="2021-06-22T00:00:00"/>
        <d v="2021-06-23T00:00:00"/>
        <d v="2021-06-24T00:00:00"/>
        <d v="2021-06-25T00:00:00"/>
        <d v="2021-06-26T00:00:00"/>
        <d v="2021-06-27T00:00:00"/>
        <d v="2021-06-28T00:00:00"/>
        <d v="2021-06-29T00:00:00"/>
        <d v="2021-06-30T00:00:00"/>
        <d v="2021-07-01T00:00:00"/>
        <d v="2021-07-02T00:00:00"/>
        <d v="2021-07-03T00:00:00"/>
        <d v="2021-07-04T00:00:00"/>
        <d v="2021-07-05T00:00:00"/>
        <d v="2021-07-06T00:00:00"/>
        <d v="2021-07-07T00:00:00"/>
        <d v="2021-07-08T00:00:00"/>
        <d v="2021-07-09T00:00:00"/>
        <d v="2021-07-10T00:00:00"/>
        <d v="2021-07-11T00:00:00"/>
        <d v="2021-07-12T00:00:00"/>
        <d v="2021-07-13T00:00:00"/>
        <d v="2021-07-14T00:00:00"/>
        <d v="2021-07-15T00:00:00"/>
        <d v="2021-07-16T00:00:00"/>
        <d v="2021-07-17T00:00:00"/>
        <d v="2021-07-18T00:00:00"/>
        <d v="2021-07-19T00:00:00"/>
        <d v="2021-07-20T00:00:00"/>
        <d v="2021-07-21T00:00:00"/>
        <d v="2021-07-22T00:00:00"/>
        <d v="2021-07-23T00:00:00"/>
        <d v="2021-07-24T00:00:00"/>
        <d v="2021-07-25T00:00:00"/>
        <d v="2021-07-26T00:00:00"/>
        <d v="2021-07-27T00:00:00"/>
        <d v="2021-07-28T00:00:00"/>
        <d v="2021-07-29T00:00:00"/>
        <d v="2021-07-30T00:00:00"/>
        <d v="2021-07-31T00:00:00"/>
        <d v="2021-08-01T00:00:00"/>
        <d v="2021-08-02T00:00:00"/>
        <d v="2021-08-03T00:00:00"/>
        <d v="2021-08-04T00:00:00"/>
        <d v="2021-08-05T00:00:00"/>
        <d v="2021-08-06T00:00:00"/>
        <d v="2021-08-07T00:00:00"/>
        <d v="2021-08-08T00:00:00"/>
        <d v="2021-08-09T00:00:00"/>
        <d v="2021-08-10T00:00:00"/>
        <d v="2021-08-11T00:00:00"/>
        <d v="2021-08-12T00:00:00"/>
        <d v="2021-08-13T00:00:00"/>
        <d v="2021-08-14T00:00:00"/>
        <d v="2021-08-15T00:00:00"/>
        <d v="2021-08-16T00:00:00"/>
        <d v="2021-08-17T00:00:00"/>
        <d v="2021-08-18T00:00:00"/>
        <d v="2021-08-19T00:00:00"/>
        <d v="2021-08-20T00:00:00"/>
        <d v="2021-08-21T00:00:00"/>
        <d v="2021-08-22T00:00:00"/>
        <d v="2021-08-23T00:00:00"/>
        <d v="2021-08-24T00:00:00"/>
        <d v="2021-08-25T00:00:00"/>
        <d v="2021-08-26T00:00:00"/>
        <d v="2021-08-27T00:00:00"/>
        <d v="2021-08-28T00:00:00"/>
        <d v="2021-08-29T00:00:00"/>
        <d v="2021-08-30T00:00:00"/>
        <d v="2021-08-31T00:00:00"/>
        <d v="2021-09-01T00:00:00"/>
        <d v="2021-09-02T00:00:00"/>
        <d v="2021-09-03T00:00:00"/>
        <d v="2021-09-04T00:00:00"/>
        <d v="2021-09-05T00:00:00"/>
        <d v="2021-09-06T00:00:00"/>
        <d v="2021-09-07T00:00:00"/>
        <d v="2021-09-08T00:00:00"/>
        <d v="2021-09-09T00:00:00"/>
        <d v="2021-09-10T00:00:00"/>
        <d v="2021-09-11T00:00:00"/>
        <d v="2021-09-12T00:00:00"/>
        <d v="2021-09-13T00:00:00"/>
        <d v="2021-09-14T00:00:00"/>
        <d v="2021-09-15T00:00:00"/>
        <d v="2021-09-16T00:00:00"/>
        <d v="2021-09-17T00:00:00"/>
        <d v="2021-09-18T00:00:00"/>
        <d v="2021-09-19T00:00:00"/>
        <d v="2021-09-20T00:00:00"/>
        <d v="2021-09-21T00:00:00"/>
        <d v="2021-09-22T00:00:00"/>
        <d v="2021-09-23T00:00:00"/>
        <d v="2021-09-24T00:00:00"/>
        <d v="2021-09-25T00:00:00"/>
        <d v="2021-09-26T00:00:00"/>
        <d v="2021-09-27T00:00:00"/>
        <d v="2021-09-28T00:00:00"/>
        <d v="2021-09-29T00:00:00"/>
        <d v="2021-09-30T00:00:00"/>
        <d v="2021-10-01T00:00:00"/>
        <d v="2021-10-02T00:00:00"/>
        <d v="2021-10-03T00:00:00"/>
        <d v="2021-10-04T00:00:00"/>
        <d v="2021-10-05T00:00:00"/>
        <d v="2021-10-06T00:00:00"/>
        <d v="2021-10-07T00:00:00"/>
        <d v="2021-10-08T00:00:00"/>
        <d v="2021-10-09T00:00:00"/>
        <d v="2021-10-10T00:00:00"/>
        <d v="2021-10-11T00:00:00"/>
        <d v="2021-10-12T00:00:00"/>
        <d v="2021-10-13T00:00:00"/>
        <d v="2021-10-14T00:00:00"/>
        <d v="2021-10-15T00:00:00"/>
        <d v="2021-10-16T00:00:00"/>
        <d v="2021-10-17T00:00:00"/>
        <d v="2021-10-18T00:00:00"/>
        <d v="2021-10-19T00:00:00"/>
        <d v="2021-10-20T00:00:00"/>
        <d v="2021-10-21T00:00:00"/>
        <d v="2021-10-22T00:00:00"/>
        <d v="2021-10-23T00:00:00"/>
        <d v="2021-10-24T00:00:00"/>
        <d v="2021-10-25T00:00:00"/>
        <d v="2021-10-26T00:00:00"/>
        <d v="2021-10-27T00:00:00"/>
        <d v="2021-10-28T00:00:00"/>
        <d v="2021-10-29T00:00:00"/>
        <d v="2021-10-30T00:00:00"/>
        <d v="2021-10-31T00:00:00"/>
        <d v="2021-11-01T00:00:00"/>
        <d v="2021-11-02T00:00:00"/>
        <d v="2021-11-03T00:00:00"/>
        <d v="2021-11-04T00:00:00"/>
        <d v="2021-11-05T00:00:00"/>
        <d v="2021-11-06T00:00:00"/>
        <d v="2021-11-07T00:00:00"/>
        <d v="2021-11-08T00:00:00"/>
        <d v="2021-11-09T00:00:00"/>
        <d v="2021-11-10T00:00:00"/>
        <d v="2021-11-11T00:00:00"/>
        <d v="2021-11-12T00:00:00"/>
        <d v="2021-11-13T00:00:00"/>
        <d v="2021-11-14T00:00:00"/>
        <d v="2021-11-15T00:00:00"/>
        <d v="2021-11-16T00:00:00"/>
        <d v="2021-11-17T00:00:00"/>
        <d v="2021-11-18T00:00:00"/>
        <d v="2021-11-19T00:00:00"/>
        <d v="2021-11-20T00:00:00"/>
        <d v="2021-11-21T00:00:00"/>
        <d v="2021-11-22T00:00:00"/>
        <d v="2021-11-23T00:00:00"/>
        <d v="2021-11-24T00:00:00"/>
        <d v="2021-11-25T00:00:00"/>
        <d v="2021-11-26T00:00:00"/>
        <d v="2021-11-27T00:00:00"/>
        <d v="2021-11-28T00:00:00"/>
        <d v="2021-11-29T00:00:00"/>
        <d v="2021-11-30T00:00:00"/>
        <d v="2021-12-01T00:00:00"/>
        <d v="2021-12-02T00:00:00"/>
        <d v="2021-12-03T00:00:00"/>
        <d v="2021-12-04T00:00:00"/>
        <d v="2021-12-05T00:00:00"/>
        <d v="2021-12-06T00:00:00"/>
        <d v="2021-12-07T00:00:00"/>
        <d v="2021-12-08T00:00:00"/>
        <d v="2021-12-09T00:00:00"/>
        <d v="2021-12-10T00:00:00"/>
        <d v="2021-12-11T00:00:00"/>
        <d v="2021-12-12T00:00:00"/>
        <d v="2021-12-13T00:00:00"/>
        <d v="2021-12-14T00:00:00"/>
        <d v="2021-12-15T00:00:00"/>
        <d v="2021-12-16T00:00:00"/>
        <d v="2021-12-17T00:00:00"/>
        <d v="2021-12-18T00:00:00"/>
        <d v="2021-12-19T00:00:00"/>
        <d v="2021-12-20T00:00:00"/>
        <d v="2021-12-21T00:00:00"/>
        <d v="2021-12-22T00:00:00"/>
        <d v="2021-12-23T00:00:00"/>
        <d v="2021-12-24T00:00:00"/>
        <d v="2021-12-25T00:00:00"/>
        <d v="2021-12-26T00:00:00"/>
        <d v="2021-12-27T00:00:00"/>
        <d v="2021-12-28T00:00:00"/>
        <d v="2021-12-29T00:00:00"/>
        <d v="2021-12-30T00:00:00"/>
        <d v="2021-12-31T00:00:00"/>
      </sharedItems>
      <fieldGroup par="12"/>
    </cacheField>
    <cacheField name="Product Name" numFmtId="0">
      <sharedItems count="6">
        <s v="Skincare Set"/>
        <s v="Travel Set"/>
        <s v="Dental Care Set"/>
        <s v="Homeware Set"/>
        <s v="Makeup Set"/>
        <s v="Haircare Set"/>
      </sharedItems>
    </cacheField>
    <cacheField name="Quantity" numFmtId="165">
      <sharedItems containsSemiMixedTypes="0" containsString="0" containsNumber="1" containsInteger="1" minValue="1" maxValue="10"/>
    </cacheField>
    <cacheField name="Price per Unit, $" numFmtId="164">
      <sharedItems containsSemiMixedTypes="0" containsString="0" containsNumber="1" minValue="15.5" maxValue="48"/>
    </cacheField>
    <cacheField name="Total Amount, $" numFmtId="164">
      <sharedItems containsSemiMixedTypes="0" containsString="0" containsNumber="1" minValue="15.5" maxValue="480" count="55">
        <n v="74"/>
        <n v="320"/>
        <n v="166.5"/>
        <n v="64"/>
        <n v="180"/>
        <n v="192"/>
        <n v="32"/>
        <n v="96"/>
        <n v="229.5"/>
        <n v="51"/>
        <n v="129.5"/>
        <n v="288"/>
        <n v="240"/>
        <n v="72"/>
        <n v="108"/>
        <n v="144"/>
        <n v="93"/>
        <n v="25.5"/>
        <n v="255"/>
        <n v="252"/>
        <n v="31"/>
        <n v="178.5"/>
        <n v="384"/>
        <n v="256"/>
        <n v="46.5"/>
        <n v="77.5"/>
        <n v="128"/>
        <n v="185"/>
        <n v="153"/>
        <n v="216"/>
        <n v="18.5"/>
        <n v="48"/>
        <n v="324"/>
        <n v="102"/>
        <n v="432"/>
        <n v="55.5"/>
        <n v="92.5"/>
        <n v="336"/>
        <n v="111"/>
        <n v="204"/>
        <n v="15.5"/>
        <n v="37"/>
        <n v="224"/>
        <n v="155"/>
        <n v="124"/>
        <n v="36"/>
        <n v="139.5"/>
        <n v="160"/>
        <n v="108.5"/>
        <n v="480"/>
        <n v="148"/>
        <n v="360"/>
        <n v="127.5"/>
        <n v="76.5"/>
        <n v="62"/>
      </sharedItems>
    </cacheField>
    <cacheField name="Customer" numFmtId="0">
      <sharedItems/>
    </cacheField>
    <cacheField name="City" numFmtId="0">
      <sharedItems/>
    </cacheField>
    <cacheField name="State" numFmtId="0">
      <sharedItems/>
    </cacheField>
    <cacheField name="Months (Order Date)" numFmtId="0" databaseField="0">
      <fieldGroup base="2">
        <rangePr groupBy="months" startDate="2019-01-04T00:00:00" endDate="2022-01-01T00:00:00"/>
        <groupItems count="14">
          <s v="&lt;04-01-19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-01-22"/>
        </groupItems>
      </fieldGroup>
    </cacheField>
    <cacheField name="Quarters (Order Date)" numFmtId="0" databaseField="0">
      <fieldGroup base="2">
        <rangePr groupBy="quarters" startDate="2019-01-04T00:00:00" endDate="2022-01-01T00:00:00"/>
        <groupItems count="6">
          <s v="&lt;04-01-19"/>
          <s v="Qtr1"/>
          <s v="Qtr2"/>
          <s v="Qtr3"/>
          <s v="Qtr4"/>
          <s v="&gt;01-01-22"/>
        </groupItems>
      </fieldGroup>
    </cacheField>
    <cacheField name="Years (Order Date)" numFmtId="0" databaseField="0">
      <fieldGroup base="2">
        <rangePr groupBy="years" startDate="2019-01-04T00:00:00" endDate="2022-01-01T00:00:00"/>
        <groupItems count="6">
          <s v="&lt;04-01-19"/>
          <s v="2019"/>
          <s v="2020"/>
          <s v="2021"/>
          <s v="2022"/>
          <s v="&gt;01-01-22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93">
  <r>
    <n v="2500001"/>
    <x v="0"/>
    <x v="0"/>
    <x v="0"/>
    <n v="4"/>
    <n v="18.5"/>
    <x v="0"/>
    <s v="Nexora Labs"/>
    <s v="Chicago"/>
    <s v=" Illinois"/>
  </r>
  <r>
    <n v="2500002"/>
    <x v="1"/>
    <x v="0"/>
    <x v="1"/>
    <n v="10"/>
    <n v="32"/>
    <x v="1"/>
    <s v="Vivanta Co."/>
    <s v="Houston"/>
    <s v=" Texas"/>
  </r>
  <r>
    <n v="2500003"/>
    <x v="2"/>
    <x v="1"/>
    <x v="0"/>
    <n v="9"/>
    <n v="18.5"/>
    <x v="2"/>
    <s v="Bravora Group"/>
    <s v="New York City"/>
    <s v=" New York"/>
  </r>
  <r>
    <n v="2500004"/>
    <x v="1"/>
    <x v="1"/>
    <x v="1"/>
    <n v="2"/>
    <n v="32"/>
    <x v="3"/>
    <s v="Noventra"/>
    <s v="Miami"/>
    <s v=" Florida"/>
  </r>
  <r>
    <n v="2500005"/>
    <x v="3"/>
    <x v="1"/>
    <x v="1"/>
    <n v="2"/>
    <n v="32"/>
    <x v="3"/>
    <s v="Nexora Labs"/>
    <s v="Chicago"/>
    <s v=" Illinois"/>
  </r>
  <r>
    <n v="2500006"/>
    <x v="4"/>
    <x v="2"/>
    <x v="2"/>
    <n v="5"/>
    <n v="36"/>
    <x v="4"/>
    <s v="Bravora Group"/>
    <s v="New York City"/>
    <s v=" New York"/>
  </r>
  <r>
    <n v="2500007"/>
    <x v="1"/>
    <x v="2"/>
    <x v="3"/>
    <n v="4"/>
    <n v="48"/>
    <x v="5"/>
    <s v="Noventra"/>
    <s v="Miami"/>
    <s v=" Florida"/>
  </r>
  <r>
    <n v="2500008"/>
    <x v="0"/>
    <x v="2"/>
    <x v="1"/>
    <n v="1"/>
    <n v="32"/>
    <x v="6"/>
    <s v="Solvesta"/>
    <s v="Los Angeles"/>
    <s v=" California"/>
  </r>
  <r>
    <n v="2500009"/>
    <x v="2"/>
    <x v="3"/>
    <x v="1"/>
    <n v="3"/>
    <n v="32"/>
    <x v="7"/>
    <s v="Bravora Group"/>
    <s v="New York City"/>
    <s v=" New York"/>
  </r>
  <r>
    <n v="2500010"/>
    <x v="5"/>
    <x v="3"/>
    <x v="4"/>
    <n v="9"/>
    <n v="25.5"/>
    <x v="8"/>
    <s v="Nexora Labs"/>
    <s v="Chicago"/>
    <s v=" Illinois"/>
  </r>
  <r>
    <n v="2500011"/>
    <x v="2"/>
    <x v="3"/>
    <x v="4"/>
    <n v="2"/>
    <n v="25.5"/>
    <x v="9"/>
    <s v="Vivanta Co."/>
    <s v="Houston"/>
    <s v=" Texas"/>
  </r>
  <r>
    <n v="2500012"/>
    <x v="6"/>
    <x v="3"/>
    <x v="4"/>
    <n v="2"/>
    <n v="25.5"/>
    <x v="9"/>
    <s v="Velora Solutions"/>
    <s v="Seattle"/>
    <s v=" Washington"/>
  </r>
  <r>
    <n v="2500013"/>
    <x v="7"/>
    <x v="3"/>
    <x v="0"/>
    <n v="7"/>
    <n v="18.5"/>
    <x v="10"/>
    <s v="Noventra"/>
    <s v="Miami"/>
    <s v=" Florida"/>
  </r>
  <r>
    <n v="2500014"/>
    <x v="3"/>
    <x v="4"/>
    <x v="1"/>
    <n v="9"/>
    <n v="32"/>
    <x v="11"/>
    <s v="Velora Solutions"/>
    <s v="Seattle"/>
    <s v=" Washington"/>
  </r>
  <r>
    <n v="2500015"/>
    <x v="8"/>
    <x v="4"/>
    <x v="3"/>
    <n v="5"/>
    <n v="48"/>
    <x v="12"/>
    <s v="Aurelia Works"/>
    <s v="Indianapolis"/>
    <s v=" Indiana"/>
  </r>
  <r>
    <n v="2500016"/>
    <x v="8"/>
    <x v="4"/>
    <x v="1"/>
    <n v="2"/>
    <n v="32"/>
    <x v="3"/>
    <s v="Velora Solutions"/>
    <s v="Seattle"/>
    <s v=" Washington"/>
  </r>
  <r>
    <n v="2500017"/>
    <x v="2"/>
    <x v="4"/>
    <x v="4"/>
    <n v="2"/>
    <n v="25.5"/>
    <x v="9"/>
    <s v="Vivanta Co."/>
    <s v="Houston"/>
    <s v=" Texas"/>
  </r>
  <r>
    <n v="2500018"/>
    <x v="8"/>
    <x v="5"/>
    <x v="2"/>
    <n v="2"/>
    <n v="36"/>
    <x v="13"/>
    <s v="Velora Solutions"/>
    <s v="Seattle"/>
    <s v=" Washington"/>
  </r>
  <r>
    <n v="2500025"/>
    <x v="2"/>
    <x v="5"/>
    <x v="2"/>
    <n v="3"/>
    <n v="36"/>
    <x v="14"/>
    <s v="Aurelia Works"/>
    <s v="Indianapolis"/>
    <s v=" Indiana"/>
  </r>
  <r>
    <n v="2500020"/>
    <x v="1"/>
    <x v="5"/>
    <x v="4"/>
    <n v="9"/>
    <n v="25.5"/>
    <x v="8"/>
    <s v="Nexora Labs"/>
    <s v="Chicago"/>
    <s v=" Illinois"/>
  </r>
  <r>
    <n v="2500021"/>
    <x v="7"/>
    <x v="6"/>
    <x v="4"/>
    <n v="9"/>
    <n v="25.5"/>
    <x v="8"/>
    <s v="Nexora Labs"/>
    <s v="Chicago"/>
    <s v=" Illinois"/>
  </r>
  <r>
    <n v="2500022"/>
    <x v="3"/>
    <x v="6"/>
    <x v="1"/>
    <n v="1"/>
    <n v="32"/>
    <x v="6"/>
    <s v="Nexora Labs"/>
    <s v="Chicago"/>
    <s v=" Illinois"/>
  </r>
  <r>
    <n v="2500023"/>
    <x v="2"/>
    <x v="6"/>
    <x v="3"/>
    <n v="3"/>
    <n v="48"/>
    <x v="15"/>
    <s v="Noventra"/>
    <s v="Miami"/>
    <s v=" Florida"/>
  </r>
  <r>
    <n v="2500024"/>
    <x v="7"/>
    <x v="7"/>
    <x v="5"/>
    <n v="6"/>
    <n v="15.5"/>
    <x v="16"/>
    <s v="Aurelia Works"/>
    <s v="Indianapolis"/>
    <s v=" Indiana"/>
  </r>
  <r>
    <n v="2500025"/>
    <x v="8"/>
    <x v="7"/>
    <x v="4"/>
    <n v="1"/>
    <n v="25.5"/>
    <x v="17"/>
    <s v="Noventra"/>
    <s v="Miami"/>
    <s v=" Florida"/>
  </r>
  <r>
    <n v="2500026"/>
    <x v="4"/>
    <x v="7"/>
    <x v="4"/>
    <n v="10"/>
    <n v="25.5"/>
    <x v="18"/>
    <s v="Aurelia Works"/>
    <s v="Indianapolis"/>
    <s v=" Indiana"/>
  </r>
  <r>
    <n v="2500027"/>
    <x v="6"/>
    <x v="7"/>
    <x v="2"/>
    <n v="7"/>
    <n v="36"/>
    <x v="19"/>
    <s v="Noventra"/>
    <s v="Miami"/>
    <s v=" Florida"/>
  </r>
  <r>
    <n v="2500028"/>
    <x v="5"/>
    <x v="8"/>
    <x v="5"/>
    <n v="2"/>
    <n v="15.5"/>
    <x v="20"/>
    <s v="Nexora Labs"/>
    <s v="Chicago"/>
    <s v=" Illinois"/>
  </r>
  <r>
    <n v="2500029"/>
    <x v="9"/>
    <x v="8"/>
    <x v="4"/>
    <n v="7"/>
    <n v="25.5"/>
    <x v="21"/>
    <s v="Bravora Group"/>
    <s v="New York City"/>
    <s v=" New York"/>
  </r>
  <r>
    <n v="2500030"/>
    <x v="0"/>
    <x v="8"/>
    <x v="3"/>
    <n v="8"/>
    <n v="48"/>
    <x v="22"/>
    <s v="Aurelia Works"/>
    <s v="Indianapolis"/>
    <s v=" Indiana"/>
  </r>
  <r>
    <n v="2500031"/>
    <x v="4"/>
    <x v="8"/>
    <x v="1"/>
    <n v="8"/>
    <n v="32"/>
    <x v="23"/>
    <s v="Vivanta Co."/>
    <s v="Houston"/>
    <s v=" Texas"/>
  </r>
  <r>
    <n v="2500032"/>
    <x v="8"/>
    <x v="9"/>
    <x v="4"/>
    <n v="2"/>
    <n v="25.5"/>
    <x v="9"/>
    <s v="Luminexa"/>
    <s v="Dallas"/>
    <s v=" Texas"/>
  </r>
  <r>
    <n v="2500033"/>
    <x v="5"/>
    <x v="9"/>
    <x v="5"/>
    <n v="3"/>
    <n v="15.5"/>
    <x v="24"/>
    <s v="Luminexa"/>
    <s v="Dallas"/>
    <s v=" Texas"/>
  </r>
  <r>
    <n v="2500034"/>
    <x v="0"/>
    <x v="9"/>
    <x v="5"/>
    <n v="5"/>
    <n v="15.5"/>
    <x v="25"/>
    <s v="Vivanta Co."/>
    <s v="Houston"/>
    <s v=" Texas"/>
  </r>
  <r>
    <n v="2500035"/>
    <x v="2"/>
    <x v="9"/>
    <x v="1"/>
    <n v="4"/>
    <n v="32"/>
    <x v="26"/>
    <s v="Nexora Labs"/>
    <s v="Chicago"/>
    <s v=" Illinois"/>
  </r>
  <r>
    <n v="2500036"/>
    <x v="2"/>
    <x v="10"/>
    <x v="3"/>
    <n v="5"/>
    <n v="48"/>
    <x v="12"/>
    <s v="Vivanta Co."/>
    <s v="Houston"/>
    <s v=" Texas"/>
  </r>
  <r>
    <n v="2500037"/>
    <x v="9"/>
    <x v="10"/>
    <x v="0"/>
    <n v="10"/>
    <n v="18.5"/>
    <x v="27"/>
    <s v="Nexora Labs"/>
    <s v="Chicago"/>
    <s v=" Illinois"/>
  </r>
  <r>
    <n v="2500038"/>
    <x v="3"/>
    <x v="10"/>
    <x v="4"/>
    <n v="6"/>
    <n v="25.5"/>
    <x v="28"/>
    <s v="Vivanta Co."/>
    <s v="Houston"/>
    <s v=" Texas"/>
  </r>
  <r>
    <n v="2500039"/>
    <x v="6"/>
    <x v="10"/>
    <x v="2"/>
    <n v="6"/>
    <n v="36"/>
    <x v="29"/>
    <s v="Bravora Group"/>
    <s v="New York City"/>
    <s v=" New York"/>
  </r>
  <r>
    <n v="2500040"/>
    <x v="1"/>
    <x v="11"/>
    <x v="4"/>
    <n v="1"/>
    <n v="25.5"/>
    <x v="17"/>
    <s v="Velora Solutions"/>
    <s v="Seattle"/>
    <s v=" Washington"/>
  </r>
  <r>
    <n v="2500041"/>
    <x v="7"/>
    <x v="11"/>
    <x v="0"/>
    <n v="1"/>
    <n v="18.5"/>
    <x v="30"/>
    <s v="Nexora Labs"/>
    <s v="Chicago"/>
    <s v=" Illinois"/>
  </r>
  <r>
    <n v="2500042"/>
    <x v="7"/>
    <x v="11"/>
    <x v="3"/>
    <n v="1"/>
    <n v="48"/>
    <x v="31"/>
    <s v="Nexora Labs"/>
    <s v="Chicago"/>
    <s v=" Illinois"/>
  </r>
  <r>
    <n v="2500043"/>
    <x v="8"/>
    <x v="11"/>
    <x v="2"/>
    <n v="9"/>
    <n v="36"/>
    <x v="32"/>
    <s v="Solvesta"/>
    <s v="Los Angeles"/>
    <s v=" California"/>
  </r>
  <r>
    <n v="2500044"/>
    <x v="8"/>
    <x v="12"/>
    <x v="3"/>
    <n v="4"/>
    <n v="48"/>
    <x v="5"/>
    <s v="Velora Solutions"/>
    <s v="Seattle"/>
    <s v=" Washington"/>
  </r>
  <r>
    <n v="2500045"/>
    <x v="2"/>
    <x v="12"/>
    <x v="4"/>
    <n v="4"/>
    <n v="25.5"/>
    <x v="33"/>
    <s v="Aurelia Works"/>
    <s v="Indianapolis"/>
    <s v=" Indiana"/>
  </r>
  <r>
    <n v="2500046"/>
    <x v="0"/>
    <x v="12"/>
    <x v="3"/>
    <n v="5"/>
    <n v="48"/>
    <x v="12"/>
    <s v="Nexora Labs"/>
    <s v="Chicago"/>
    <s v=" Illinois"/>
  </r>
  <r>
    <n v="2500047"/>
    <x v="0"/>
    <x v="12"/>
    <x v="4"/>
    <n v="7"/>
    <n v="25.5"/>
    <x v="21"/>
    <s v="Bravora Group"/>
    <s v="New York City"/>
    <s v=" New York"/>
  </r>
  <r>
    <n v="2500048"/>
    <x v="3"/>
    <x v="12"/>
    <x v="1"/>
    <n v="6"/>
    <n v="32"/>
    <x v="5"/>
    <s v="Nexora Labs"/>
    <s v="Chicago"/>
    <s v=" Illinois"/>
  </r>
  <r>
    <n v="2500049"/>
    <x v="9"/>
    <x v="13"/>
    <x v="3"/>
    <n v="9"/>
    <n v="48"/>
    <x v="34"/>
    <s v="Solvesta"/>
    <s v="Los Angeles"/>
    <s v=" California"/>
  </r>
  <r>
    <n v="2500050"/>
    <x v="5"/>
    <x v="13"/>
    <x v="3"/>
    <n v="5"/>
    <n v="48"/>
    <x v="12"/>
    <s v="Bravora Group"/>
    <s v="New York City"/>
    <s v=" New York"/>
  </r>
  <r>
    <n v="2500051"/>
    <x v="5"/>
    <x v="13"/>
    <x v="0"/>
    <n v="3"/>
    <n v="18.5"/>
    <x v="35"/>
    <s v="Nexora Labs"/>
    <s v="Chicago"/>
    <s v=" Illinois"/>
  </r>
  <r>
    <n v="2500052"/>
    <x v="0"/>
    <x v="13"/>
    <x v="3"/>
    <n v="8"/>
    <n v="48"/>
    <x v="22"/>
    <s v="Solvesta"/>
    <s v="Los Angeles"/>
    <s v=" California"/>
  </r>
  <r>
    <n v="2500053"/>
    <x v="8"/>
    <x v="13"/>
    <x v="0"/>
    <n v="5"/>
    <n v="18.5"/>
    <x v="36"/>
    <s v="Aurelia Works"/>
    <s v="Indianapolis"/>
    <s v=" Indiana"/>
  </r>
  <r>
    <n v="2500054"/>
    <x v="2"/>
    <x v="14"/>
    <x v="0"/>
    <n v="3"/>
    <n v="18.5"/>
    <x v="35"/>
    <s v="Velora Solutions"/>
    <s v="Seattle"/>
    <s v=" Washington"/>
  </r>
  <r>
    <n v="2500055"/>
    <x v="0"/>
    <x v="14"/>
    <x v="5"/>
    <n v="2"/>
    <n v="15.5"/>
    <x v="20"/>
    <s v="Nexora Labs"/>
    <s v="Chicago"/>
    <s v=" Illinois"/>
  </r>
  <r>
    <n v="2500056"/>
    <x v="6"/>
    <x v="14"/>
    <x v="5"/>
    <n v="2"/>
    <n v="15.5"/>
    <x v="20"/>
    <s v="Bravora Group"/>
    <s v="New York City"/>
    <s v=" New York"/>
  </r>
  <r>
    <n v="2500057"/>
    <x v="2"/>
    <x v="14"/>
    <x v="3"/>
    <n v="7"/>
    <n v="48"/>
    <x v="37"/>
    <s v="Nexora Labs"/>
    <s v="Chicago"/>
    <s v=" Illinois"/>
  </r>
  <r>
    <n v="2500058"/>
    <x v="4"/>
    <x v="14"/>
    <x v="2"/>
    <n v="4"/>
    <n v="36"/>
    <x v="15"/>
    <s v="Luminexa"/>
    <s v="Dallas"/>
    <s v=" Texas"/>
  </r>
  <r>
    <n v="2500059"/>
    <x v="5"/>
    <x v="15"/>
    <x v="2"/>
    <n v="5"/>
    <n v="36"/>
    <x v="4"/>
    <s v="Solvesta"/>
    <s v="Los Angeles"/>
    <s v=" California"/>
  </r>
  <r>
    <n v="2500060"/>
    <x v="2"/>
    <x v="15"/>
    <x v="3"/>
    <n v="5"/>
    <n v="48"/>
    <x v="12"/>
    <s v="Solvesta"/>
    <s v="Los Angeles"/>
    <s v=" California"/>
  </r>
  <r>
    <n v="2500061"/>
    <x v="9"/>
    <x v="15"/>
    <x v="0"/>
    <n v="9"/>
    <n v="18.5"/>
    <x v="2"/>
    <s v="Solvesta"/>
    <s v="Los Angeles"/>
    <s v=" California"/>
  </r>
  <r>
    <n v="2500062"/>
    <x v="2"/>
    <x v="15"/>
    <x v="2"/>
    <n v="7"/>
    <n v="36"/>
    <x v="19"/>
    <s v="Aurelia Works"/>
    <s v="Indianapolis"/>
    <s v=" Indiana"/>
  </r>
  <r>
    <n v="2500063"/>
    <x v="8"/>
    <x v="15"/>
    <x v="2"/>
    <n v="9"/>
    <n v="36"/>
    <x v="32"/>
    <s v="Bravora Group"/>
    <s v="New York City"/>
    <s v=" New York"/>
  </r>
  <r>
    <n v="2500064"/>
    <x v="8"/>
    <x v="16"/>
    <x v="0"/>
    <n v="6"/>
    <n v="18.5"/>
    <x v="38"/>
    <s v="Solvesta"/>
    <s v="Los Angeles"/>
    <s v=" California"/>
  </r>
  <r>
    <n v="2500065"/>
    <x v="7"/>
    <x v="17"/>
    <x v="1"/>
    <n v="1"/>
    <n v="32"/>
    <x v="6"/>
    <s v="Velora Solutions"/>
    <s v="Seattle"/>
    <s v=" Washington"/>
  </r>
  <r>
    <n v="2500066"/>
    <x v="7"/>
    <x v="18"/>
    <x v="4"/>
    <n v="1"/>
    <n v="25.5"/>
    <x v="17"/>
    <s v="Luminexa"/>
    <s v="Dallas"/>
    <s v=" Texas"/>
  </r>
  <r>
    <n v="2500067"/>
    <x v="8"/>
    <x v="19"/>
    <x v="1"/>
    <n v="4"/>
    <n v="32"/>
    <x v="26"/>
    <s v="Aurelia Works"/>
    <s v="Indianapolis"/>
    <s v=" Indiana"/>
  </r>
  <r>
    <n v="2500068"/>
    <x v="7"/>
    <x v="20"/>
    <x v="1"/>
    <n v="6"/>
    <n v="32"/>
    <x v="5"/>
    <s v="Bravora Group"/>
    <s v="New York City"/>
    <s v=" New York"/>
  </r>
  <r>
    <n v="2500069"/>
    <x v="8"/>
    <x v="15"/>
    <x v="4"/>
    <n v="8"/>
    <n v="25.5"/>
    <x v="39"/>
    <s v="Velora Solutions"/>
    <s v="Seattle"/>
    <s v=" Washington"/>
  </r>
  <r>
    <n v="2500070"/>
    <x v="0"/>
    <x v="21"/>
    <x v="5"/>
    <n v="1"/>
    <n v="15.5"/>
    <x v="40"/>
    <s v="Solvesta"/>
    <s v="Los Angeles"/>
    <s v=" California"/>
  </r>
  <r>
    <n v="2500071"/>
    <x v="2"/>
    <x v="22"/>
    <x v="2"/>
    <n v="3"/>
    <n v="36"/>
    <x v="14"/>
    <s v="Nexora Labs"/>
    <s v="Chicago"/>
    <s v=" Illinois"/>
  </r>
  <r>
    <n v="2500072"/>
    <x v="7"/>
    <x v="23"/>
    <x v="3"/>
    <n v="2"/>
    <n v="48"/>
    <x v="7"/>
    <s v="Vivanta Co."/>
    <s v="Houston"/>
    <s v=" Texas"/>
  </r>
  <r>
    <n v="2500073"/>
    <x v="4"/>
    <x v="24"/>
    <x v="0"/>
    <n v="3"/>
    <n v="18.5"/>
    <x v="35"/>
    <s v="Aurelia Works"/>
    <s v="Indianapolis"/>
    <s v=" Indiana"/>
  </r>
  <r>
    <n v="2500074"/>
    <x v="4"/>
    <x v="25"/>
    <x v="2"/>
    <n v="7"/>
    <n v="36"/>
    <x v="19"/>
    <s v="Solvesta"/>
    <s v="Los Angeles"/>
    <s v=" California"/>
  </r>
  <r>
    <n v="2500075"/>
    <x v="0"/>
    <x v="26"/>
    <x v="0"/>
    <n v="2"/>
    <n v="18.5"/>
    <x v="41"/>
    <s v="Luminexa"/>
    <s v="Dallas"/>
    <s v=" Texas"/>
  </r>
  <r>
    <n v="2500076"/>
    <x v="1"/>
    <x v="27"/>
    <x v="0"/>
    <n v="1"/>
    <n v="18.5"/>
    <x v="30"/>
    <s v="Velora Solutions"/>
    <s v="Seattle"/>
    <s v=" Washington"/>
  </r>
  <r>
    <n v="2500077"/>
    <x v="3"/>
    <x v="28"/>
    <x v="4"/>
    <n v="1"/>
    <n v="25.5"/>
    <x v="17"/>
    <s v="Bravora Group"/>
    <s v="New York City"/>
    <s v=" New York"/>
  </r>
  <r>
    <n v="2500078"/>
    <x v="7"/>
    <x v="29"/>
    <x v="3"/>
    <n v="8"/>
    <n v="48"/>
    <x v="22"/>
    <s v="Noventra"/>
    <s v="Miami"/>
    <s v=" Florida"/>
  </r>
  <r>
    <n v="2500079"/>
    <x v="7"/>
    <x v="30"/>
    <x v="5"/>
    <n v="6"/>
    <n v="15.5"/>
    <x v="16"/>
    <s v="Nexora Labs"/>
    <s v="Chicago"/>
    <s v=" Illinois"/>
  </r>
  <r>
    <n v="2500080"/>
    <x v="6"/>
    <x v="31"/>
    <x v="5"/>
    <n v="6"/>
    <n v="15.5"/>
    <x v="16"/>
    <s v="Nexora Labs"/>
    <s v="Chicago"/>
    <s v=" Illinois"/>
  </r>
  <r>
    <n v="2500081"/>
    <x v="0"/>
    <x v="32"/>
    <x v="1"/>
    <n v="7"/>
    <n v="32"/>
    <x v="42"/>
    <s v="Bravora Group"/>
    <s v="New York City"/>
    <s v=" New York"/>
  </r>
  <r>
    <n v="2500082"/>
    <x v="6"/>
    <x v="33"/>
    <x v="4"/>
    <n v="8"/>
    <n v="25.5"/>
    <x v="39"/>
    <s v="Vivanta Co."/>
    <s v="Houston"/>
    <s v=" Texas"/>
  </r>
  <r>
    <n v="2500083"/>
    <x v="0"/>
    <x v="34"/>
    <x v="2"/>
    <n v="2"/>
    <n v="36"/>
    <x v="13"/>
    <s v="Aurelia Works"/>
    <s v="Indianapolis"/>
    <s v=" Indiana"/>
  </r>
  <r>
    <n v="2500084"/>
    <x v="9"/>
    <x v="35"/>
    <x v="5"/>
    <n v="10"/>
    <n v="15.5"/>
    <x v="43"/>
    <s v="Bravora Group"/>
    <s v="New York City"/>
    <s v=" New York"/>
  </r>
  <r>
    <n v="2500085"/>
    <x v="9"/>
    <x v="36"/>
    <x v="1"/>
    <n v="6"/>
    <n v="32"/>
    <x v="5"/>
    <s v="Vivanta Co."/>
    <s v="Houston"/>
    <s v=" Texas"/>
  </r>
  <r>
    <n v="2500086"/>
    <x v="9"/>
    <x v="37"/>
    <x v="1"/>
    <n v="6"/>
    <n v="32"/>
    <x v="5"/>
    <s v="Vivanta Co."/>
    <s v="Houston"/>
    <s v=" Texas"/>
  </r>
  <r>
    <n v="2500087"/>
    <x v="3"/>
    <x v="38"/>
    <x v="1"/>
    <n v="4"/>
    <n v="32"/>
    <x v="26"/>
    <s v="Nexora Labs"/>
    <s v="Chicago"/>
    <s v=" Illinois"/>
  </r>
  <r>
    <n v="2500088"/>
    <x v="7"/>
    <x v="39"/>
    <x v="0"/>
    <n v="4"/>
    <n v="18.5"/>
    <x v="0"/>
    <s v="Luminexa"/>
    <s v="Dallas"/>
    <s v=" Texas"/>
  </r>
  <r>
    <n v="2500089"/>
    <x v="1"/>
    <x v="40"/>
    <x v="0"/>
    <n v="6"/>
    <n v="18.5"/>
    <x v="38"/>
    <s v="Velora Solutions"/>
    <s v="Seattle"/>
    <s v=" Washington"/>
  </r>
  <r>
    <n v="2500090"/>
    <x v="0"/>
    <x v="41"/>
    <x v="4"/>
    <n v="9"/>
    <n v="25.5"/>
    <x v="8"/>
    <s v="Aurelia Works"/>
    <s v="Indianapolis"/>
    <s v=" Indiana"/>
  </r>
  <r>
    <n v="2500091"/>
    <x v="1"/>
    <x v="42"/>
    <x v="0"/>
    <n v="5"/>
    <n v="18.5"/>
    <x v="36"/>
    <s v="Bravora Group"/>
    <s v="New York City"/>
    <s v=" New York"/>
  </r>
  <r>
    <n v="2500092"/>
    <x v="1"/>
    <x v="43"/>
    <x v="5"/>
    <n v="8"/>
    <n v="15.5"/>
    <x v="44"/>
    <s v="Noventra"/>
    <s v="Miami"/>
    <s v=" Florida"/>
  </r>
  <r>
    <n v="2500093"/>
    <x v="3"/>
    <x v="44"/>
    <x v="3"/>
    <n v="3"/>
    <n v="48"/>
    <x v="15"/>
    <s v="Noventra"/>
    <s v="Miami"/>
    <s v=" Florida"/>
  </r>
  <r>
    <n v="2500094"/>
    <x v="3"/>
    <x v="45"/>
    <x v="1"/>
    <n v="7"/>
    <n v="32"/>
    <x v="42"/>
    <s v="Bravora Group"/>
    <s v="New York City"/>
    <s v=" New York"/>
  </r>
  <r>
    <n v="2500095"/>
    <x v="9"/>
    <x v="46"/>
    <x v="2"/>
    <n v="4"/>
    <n v="36"/>
    <x v="15"/>
    <s v="Solvesta"/>
    <s v="Los Angeles"/>
    <s v=" California"/>
  </r>
  <r>
    <n v="2500096"/>
    <x v="6"/>
    <x v="47"/>
    <x v="1"/>
    <n v="2"/>
    <n v="32"/>
    <x v="3"/>
    <s v="Solvesta"/>
    <s v="Los Angeles"/>
    <s v=" California"/>
  </r>
  <r>
    <n v="2500097"/>
    <x v="4"/>
    <x v="48"/>
    <x v="0"/>
    <n v="2"/>
    <n v="18.5"/>
    <x v="41"/>
    <s v="Aurelia Works"/>
    <s v="Indianapolis"/>
    <s v=" Indiana"/>
  </r>
  <r>
    <n v="2500098"/>
    <x v="8"/>
    <x v="49"/>
    <x v="5"/>
    <n v="8"/>
    <n v="15.5"/>
    <x v="44"/>
    <s v="Noventra"/>
    <s v="Miami"/>
    <s v=" Florida"/>
  </r>
  <r>
    <n v="2500099"/>
    <x v="0"/>
    <x v="50"/>
    <x v="0"/>
    <n v="4"/>
    <n v="18.5"/>
    <x v="0"/>
    <s v="Bravora Group"/>
    <s v="New York City"/>
    <s v=" New York"/>
  </r>
  <r>
    <n v="2500100"/>
    <x v="8"/>
    <x v="51"/>
    <x v="1"/>
    <n v="10"/>
    <n v="32"/>
    <x v="1"/>
    <s v="Aurelia Works"/>
    <s v="Indianapolis"/>
    <s v=" Indiana"/>
  </r>
  <r>
    <n v="2500101"/>
    <x v="6"/>
    <x v="52"/>
    <x v="5"/>
    <n v="2"/>
    <n v="15.5"/>
    <x v="20"/>
    <s v="Solvesta"/>
    <s v="Los Angeles"/>
    <s v=" California"/>
  </r>
  <r>
    <n v="2500102"/>
    <x v="5"/>
    <x v="53"/>
    <x v="3"/>
    <n v="3"/>
    <n v="48"/>
    <x v="15"/>
    <s v="Nexora Labs"/>
    <s v="Chicago"/>
    <s v=" Illinois"/>
  </r>
  <r>
    <n v="2500103"/>
    <x v="3"/>
    <x v="54"/>
    <x v="2"/>
    <n v="3"/>
    <n v="36"/>
    <x v="14"/>
    <s v="Vivanta Co."/>
    <s v="Houston"/>
    <s v=" Texas"/>
  </r>
  <r>
    <n v="2500104"/>
    <x v="7"/>
    <x v="55"/>
    <x v="3"/>
    <n v="8"/>
    <n v="48"/>
    <x v="22"/>
    <s v="Noventra"/>
    <s v="Miami"/>
    <s v=" Florida"/>
  </r>
  <r>
    <n v="2500105"/>
    <x v="0"/>
    <x v="56"/>
    <x v="4"/>
    <n v="4"/>
    <n v="25.5"/>
    <x v="33"/>
    <s v="Luminexa"/>
    <s v="Dallas"/>
    <s v=" Texas"/>
  </r>
  <r>
    <n v="2500106"/>
    <x v="6"/>
    <x v="57"/>
    <x v="4"/>
    <n v="2"/>
    <n v="25.5"/>
    <x v="9"/>
    <s v="Bravora Group"/>
    <s v="New York City"/>
    <s v=" New York"/>
  </r>
  <r>
    <n v="2500107"/>
    <x v="5"/>
    <x v="58"/>
    <x v="5"/>
    <n v="3"/>
    <n v="15.5"/>
    <x v="24"/>
    <s v="Velora Solutions"/>
    <s v="Seattle"/>
    <s v=" Washington"/>
  </r>
  <r>
    <n v="2500108"/>
    <x v="5"/>
    <x v="59"/>
    <x v="0"/>
    <n v="1"/>
    <n v="18.5"/>
    <x v="30"/>
    <s v="Aurelia Works"/>
    <s v="Indianapolis"/>
    <s v=" Indiana"/>
  </r>
  <r>
    <n v="2500109"/>
    <x v="1"/>
    <x v="60"/>
    <x v="0"/>
    <n v="10"/>
    <n v="18.5"/>
    <x v="27"/>
    <s v="Luminexa"/>
    <s v="Dallas"/>
    <s v=" Texas"/>
  </r>
  <r>
    <n v="2500110"/>
    <x v="9"/>
    <x v="61"/>
    <x v="2"/>
    <n v="1"/>
    <n v="36"/>
    <x v="45"/>
    <s v="Noventra"/>
    <s v="Miami"/>
    <s v=" Florida"/>
  </r>
  <r>
    <n v="2500111"/>
    <x v="1"/>
    <x v="62"/>
    <x v="2"/>
    <n v="1"/>
    <n v="36"/>
    <x v="45"/>
    <s v="Aurelia Works"/>
    <s v="Indianapolis"/>
    <s v=" Indiana"/>
  </r>
  <r>
    <n v="2500112"/>
    <x v="4"/>
    <x v="63"/>
    <x v="5"/>
    <n v="6"/>
    <n v="15.5"/>
    <x v="16"/>
    <s v="Luminexa"/>
    <s v="Dallas"/>
    <s v=" Texas"/>
  </r>
  <r>
    <n v="2500113"/>
    <x v="3"/>
    <x v="64"/>
    <x v="0"/>
    <n v="4"/>
    <n v="18.5"/>
    <x v="0"/>
    <s v="Luminexa"/>
    <s v="Dallas"/>
    <s v=" Texas"/>
  </r>
  <r>
    <n v="2500114"/>
    <x v="8"/>
    <x v="65"/>
    <x v="1"/>
    <n v="6"/>
    <n v="32"/>
    <x v="5"/>
    <s v="Velora Solutions"/>
    <s v="Seattle"/>
    <s v=" Washington"/>
  </r>
  <r>
    <n v="2500115"/>
    <x v="8"/>
    <x v="66"/>
    <x v="5"/>
    <n v="9"/>
    <n v="15.5"/>
    <x v="46"/>
    <s v="Noventra"/>
    <s v="Miami"/>
    <s v=" Florida"/>
  </r>
  <r>
    <n v="2500116"/>
    <x v="0"/>
    <x v="67"/>
    <x v="0"/>
    <n v="7"/>
    <n v="18.5"/>
    <x v="10"/>
    <s v="Noventra"/>
    <s v="Miami"/>
    <s v=" Florida"/>
  </r>
  <r>
    <n v="2500117"/>
    <x v="2"/>
    <x v="68"/>
    <x v="3"/>
    <n v="9"/>
    <n v="48"/>
    <x v="34"/>
    <s v="Noventra"/>
    <s v="Miami"/>
    <s v=" Florida"/>
  </r>
  <r>
    <n v="2500118"/>
    <x v="8"/>
    <x v="69"/>
    <x v="5"/>
    <n v="9"/>
    <n v="15.5"/>
    <x v="46"/>
    <s v="Noventra"/>
    <s v="Miami"/>
    <s v=" Florida"/>
  </r>
  <r>
    <n v="2500125"/>
    <x v="1"/>
    <x v="70"/>
    <x v="5"/>
    <n v="10"/>
    <n v="15.5"/>
    <x v="43"/>
    <s v="Luminexa"/>
    <s v="Dallas"/>
    <s v=" Texas"/>
  </r>
  <r>
    <n v="2500120"/>
    <x v="1"/>
    <x v="71"/>
    <x v="1"/>
    <n v="1"/>
    <n v="32"/>
    <x v="6"/>
    <s v="Velora Solutions"/>
    <s v="Seattle"/>
    <s v=" Washington"/>
  </r>
  <r>
    <n v="2500121"/>
    <x v="7"/>
    <x v="72"/>
    <x v="1"/>
    <n v="5"/>
    <n v="32"/>
    <x v="47"/>
    <s v="Vivanta Co."/>
    <s v="Houston"/>
    <s v=" Texas"/>
  </r>
  <r>
    <n v="2500122"/>
    <x v="8"/>
    <x v="73"/>
    <x v="3"/>
    <n v="4"/>
    <n v="48"/>
    <x v="5"/>
    <s v="Nexora Labs"/>
    <s v="Chicago"/>
    <s v=" Illinois"/>
  </r>
  <r>
    <n v="2500123"/>
    <x v="5"/>
    <x v="74"/>
    <x v="2"/>
    <n v="5"/>
    <n v="36"/>
    <x v="4"/>
    <s v="Velora Solutions"/>
    <s v="Seattle"/>
    <s v=" Washington"/>
  </r>
  <r>
    <n v="2500124"/>
    <x v="5"/>
    <x v="75"/>
    <x v="0"/>
    <n v="5"/>
    <n v="18.5"/>
    <x v="36"/>
    <s v="Velora Solutions"/>
    <s v="Seattle"/>
    <s v=" Washington"/>
  </r>
  <r>
    <n v="2500125"/>
    <x v="2"/>
    <x v="76"/>
    <x v="4"/>
    <n v="9"/>
    <n v="25.5"/>
    <x v="8"/>
    <s v="Solvesta"/>
    <s v="Los Angeles"/>
    <s v=" California"/>
  </r>
  <r>
    <n v="2500126"/>
    <x v="5"/>
    <x v="77"/>
    <x v="5"/>
    <n v="3"/>
    <n v="15.5"/>
    <x v="24"/>
    <s v="Solvesta"/>
    <s v="Los Angeles"/>
    <s v=" California"/>
  </r>
  <r>
    <n v="2500127"/>
    <x v="7"/>
    <x v="78"/>
    <x v="3"/>
    <n v="6"/>
    <n v="48"/>
    <x v="11"/>
    <s v="Aurelia Works"/>
    <s v="Indianapolis"/>
    <s v=" Indiana"/>
  </r>
  <r>
    <n v="2500128"/>
    <x v="5"/>
    <x v="79"/>
    <x v="0"/>
    <n v="6"/>
    <n v="18.5"/>
    <x v="38"/>
    <s v="Aurelia Works"/>
    <s v="Indianapolis"/>
    <s v=" Indiana"/>
  </r>
  <r>
    <n v="2500129"/>
    <x v="3"/>
    <x v="80"/>
    <x v="0"/>
    <n v="10"/>
    <n v="18.5"/>
    <x v="27"/>
    <s v="Bravora Group"/>
    <s v="New York City"/>
    <s v=" New York"/>
  </r>
  <r>
    <n v="2500130"/>
    <x v="4"/>
    <x v="81"/>
    <x v="1"/>
    <n v="9"/>
    <n v="32"/>
    <x v="11"/>
    <s v="Nexora Labs"/>
    <s v="Chicago"/>
    <s v=" Illinois"/>
  </r>
  <r>
    <n v="2500131"/>
    <x v="1"/>
    <x v="82"/>
    <x v="0"/>
    <n v="4"/>
    <n v="18.5"/>
    <x v="0"/>
    <s v="Velora Solutions"/>
    <s v="Seattle"/>
    <s v=" Washington"/>
  </r>
  <r>
    <n v="2500132"/>
    <x v="4"/>
    <x v="83"/>
    <x v="3"/>
    <n v="8"/>
    <n v="48"/>
    <x v="22"/>
    <s v="Bravora Group"/>
    <s v="New York City"/>
    <s v=" New York"/>
  </r>
  <r>
    <n v="2500133"/>
    <x v="5"/>
    <x v="84"/>
    <x v="2"/>
    <n v="4"/>
    <n v="36"/>
    <x v="15"/>
    <s v="Nexora Labs"/>
    <s v="Chicago"/>
    <s v=" Illinois"/>
  </r>
  <r>
    <n v="2500134"/>
    <x v="3"/>
    <x v="85"/>
    <x v="2"/>
    <n v="8"/>
    <n v="36"/>
    <x v="11"/>
    <s v="Aurelia Works"/>
    <s v="Indianapolis"/>
    <s v=" Indiana"/>
  </r>
  <r>
    <n v="2500135"/>
    <x v="4"/>
    <x v="86"/>
    <x v="3"/>
    <n v="3"/>
    <n v="48"/>
    <x v="15"/>
    <s v="Solvesta"/>
    <s v="Los Angeles"/>
    <s v=" California"/>
  </r>
  <r>
    <n v="2500136"/>
    <x v="7"/>
    <x v="87"/>
    <x v="0"/>
    <n v="4"/>
    <n v="18.5"/>
    <x v="0"/>
    <s v="Velora Solutions"/>
    <s v="Seattle"/>
    <s v=" Washington"/>
  </r>
  <r>
    <n v="2500137"/>
    <x v="1"/>
    <x v="88"/>
    <x v="5"/>
    <n v="7"/>
    <n v="15.5"/>
    <x v="48"/>
    <s v="Solvesta"/>
    <s v="Los Angeles"/>
    <s v=" California"/>
  </r>
  <r>
    <n v="2500138"/>
    <x v="0"/>
    <x v="89"/>
    <x v="0"/>
    <n v="10"/>
    <n v="18.5"/>
    <x v="27"/>
    <s v="Nexora Labs"/>
    <s v="Chicago"/>
    <s v=" Illinois"/>
  </r>
  <r>
    <n v="2500139"/>
    <x v="5"/>
    <x v="90"/>
    <x v="2"/>
    <n v="2"/>
    <n v="36"/>
    <x v="13"/>
    <s v="Velora Solutions"/>
    <s v="Seattle"/>
    <s v=" Washington"/>
  </r>
  <r>
    <n v="2500140"/>
    <x v="1"/>
    <x v="91"/>
    <x v="1"/>
    <n v="4"/>
    <n v="32"/>
    <x v="26"/>
    <s v="Velora Solutions"/>
    <s v="Seattle"/>
    <s v=" Washington"/>
  </r>
  <r>
    <n v="2500141"/>
    <x v="0"/>
    <x v="92"/>
    <x v="3"/>
    <n v="2"/>
    <n v="48"/>
    <x v="7"/>
    <s v="Velora Solutions"/>
    <s v="Seattle"/>
    <s v=" Washington"/>
  </r>
  <r>
    <n v="2500142"/>
    <x v="1"/>
    <x v="93"/>
    <x v="1"/>
    <n v="4"/>
    <n v="32"/>
    <x v="26"/>
    <s v="Vivanta Co."/>
    <s v="Houston"/>
    <s v=" Texas"/>
  </r>
  <r>
    <n v="2500143"/>
    <x v="1"/>
    <x v="94"/>
    <x v="5"/>
    <n v="9"/>
    <n v="15.5"/>
    <x v="46"/>
    <s v="Bravora Group"/>
    <s v="New York City"/>
    <s v=" New York"/>
  </r>
  <r>
    <n v="2500144"/>
    <x v="5"/>
    <x v="95"/>
    <x v="2"/>
    <n v="4"/>
    <n v="36"/>
    <x v="15"/>
    <s v="Velora Solutions"/>
    <s v="Seattle"/>
    <s v=" Washington"/>
  </r>
  <r>
    <n v="2500145"/>
    <x v="7"/>
    <x v="96"/>
    <x v="1"/>
    <n v="6"/>
    <n v="32"/>
    <x v="5"/>
    <s v="Bravora Group"/>
    <s v="New York City"/>
    <s v=" New York"/>
  </r>
  <r>
    <n v="2500146"/>
    <x v="6"/>
    <x v="97"/>
    <x v="2"/>
    <n v="9"/>
    <n v="36"/>
    <x v="32"/>
    <s v="Vivanta Co."/>
    <s v="Houston"/>
    <s v=" Texas"/>
  </r>
  <r>
    <n v="2500147"/>
    <x v="8"/>
    <x v="98"/>
    <x v="5"/>
    <n v="10"/>
    <n v="15.5"/>
    <x v="43"/>
    <s v="Vivanta Co."/>
    <s v="Houston"/>
    <s v=" Texas"/>
  </r>
  <r>
    <n v="2500148"/>
    <x v="2"/>
    <x v="99"/>
    <x v="5"/>
    <n v="9"/>
    <n v="15.5"/>
    <x v="46"/>
    <s v="Vivanta Co."/>
    <s v="Houston"/>
    <s v=" Texas"/>
  </r>
  <r>
    <n v="2500149"/>
    <x v="3"/>
    <x v="100"/>
    <x v="0"/>
    <n v="7"/>
    <n v="18.5"/>
    <x v="10"/>
    <s v="Vivanta Co."/>
    <s v="Houston"/>
    <s v=" Texas"/>
  </r>
  <r>
    <n v="2500150"/>
    <x v="0"/>
    <x v="101"/>
    <x v="5"/>
    <n v="1"/>
    <n v="15.5"/>
    <x v="40"/>
    <s v="Noventra"/>
    <s v="Miami"/>
    <s v=" Florida"/>
  </r>
  <r>
    <n v="2500151"/>
    <x v="6"/>
    <x v="102"/>
    <x v="2"/>
    <n v="6"/>
    <n v="36"/>
    <x v="29"/>
    <s v="Aurelia Works"/>
    <s v="Indianapolis"/>
    <s v=" Indiana"/>
  </r>
  <r>
    <n v="2500152"/>
    <x v="5"/>
    <x v="103"/>
    <x v="0"/>
    <n v="6"/>
    <n v="18.5"/>
    <x v="38"/>
    <s v="Noventra"/>
    <s v="Miami"/>
    <s v=" Florida"/>
  </r>
  <r>
    <n v="2500153"/>
    <x v="3"/>
    <x v="104"/>
    <x v="3"/>
    <n v="1"/>
    <n v="48"/>
    <x v="31"/>
    <s v="Noventra"/>
    <s v="Miami"/>
    <s v=" Florida"/>
  </r>
  <r>
    <n v="2500154"/>
    <x v="3"/>
    <x v="105"/>
    <x v="0"/>
    <n v="2"/>
    <n v="18.5"/>
    <x v="41"/>
    <s v="Luminexa"/>
    <s v="Dallas"/>
    <s v=" Texas"/>
  </r>
  <r>
    <n v="2500155"/>
    <x v="0"/>
    <x v="106"/>
    <x v="0"/>
    <n v="10"/>
    <n v="18.5"/>
    <x v="27"/>
    <s v="Aurelia Works"/>
    <s v="Indianapolis"/>
    <s v=" Indiana"/>
  </r>
  <r>
    <n v="2500156"/>
    <x v="6"/>
    <x v="107"/>
    <x v="3"/>
    <n v="7"/>
    <n v="48"/>
    <x v="37"/>
    <s v="Nexora Labs"/>
    <s v="Chicago"/>
    <s v=" Illinois"/>
  </r>
  <r>
    <n v="2500157"/>
    <x v="9"/>
    <x v="108"/>
    <x v="5"/>
    <n v="1"/>
    <n v="15.5"/>
    <x v="40"/>
    <s v="Solvesta"/>
    <s v="Los Angeles"/>
    <s v=" California"/>
  </r>
  <r>
    <n v="2500158"/>
    <x v="5"/>
    <x v="109"/>
    <x v="5"/>
    <n v="3"/>
    <n v="15.5"/>
    <x v="24"/>
    <s v="Nexora Labs"/>
    <s v="Chicago"/>
    <s v=" Illinois"/>
  </r>
  <r>
    <n v="2500159"/>
    <x v="8"/>
    <x v="110"/>
    <x v="3"/>
    <n v="1"/>
    <n v="48"/>
    <x v="31"/>
    <s v="Bravora Group"/>
    <s v="New York City"/>
    <s v=" New York"/>
  </r>
  <r>
    <n v="2500160"/>
    <x v="8"/>
    <x v="111"/>
    <x v="5"/>
    <n v="8"/>
    <n v="15.5"/>
    <x v="44"/>
    <s v="Bravora Group"/>
    <s v="New York City"/>
    <s v=" New York"/>
  </r>
  <r>
    <n v="2500161"/>
    <x v="0"/>
    <x v="112"/>
    <x v="3"/>
    <n v="6"/>
    <n v="48"/>
    <x v="11"/>
    <s v="Luminexa"/>
    <s v="Dallas"/>
    <s v=" Texas"/>
  </r>
  <r>
    <n v="2500162"/>
    <x v="3"/>
    <x v="113"/>
    <x v="4"/>
    <n v="7"/>
    <n v="25.5"/>
    <x v="21"/>
    <s v="Vivanta Co."/>
    <s v="Houston"/>
    <s v=" Texas"/>
  </r>
  <r>
    <n v="2500163"/>
    <x v="8"/>
    <x v="114"/>
    <x v="1"/>
    <n v="1"/>
    <n v="32"/>
    <x v="6"/>
    <s v="Velora Solutions"/>
    <s v="Seattle"/>
    <s v=" Washington"/>
  </r>
  <r>
    <n v="2500164"/>
    <x v="1"/>
    <x v="115"/>
    <x v="4"/>
    <n v="9"/>
    <n v="25.5"/>
    <x v="8"/>
    <s v="Aurelia Works"/>
    <s v="Indianapolis"/>
    <s v=" Indiana"/>
  </r>
  <r>
    <n v="2500165"/>
    <x v="7"/>
    <x v="116"/>
    <x v="3"/>
    <n v="10"/>
    <n v="48"/>
    <x v="49"/>
    <s v="Luminexa"/>
    <s v="Dallas"/>
    <s v=" Texas"/>
  </r>
  <r>
    <n v="2500166"/>
    <x v="9"/>
    <x v="117"/>
    <x v="5"/>
    <n v="8"/>
    <n v="15.5"/>
    <x v="44"/>
    <s v="Bravora Group"/>
    <s v="New York City"/>
    <s v=" New York"/>
  </r>
  <r>
    <n v="2500167"/>
    <x v="6"/>
    <x v="118"/>
    <x v="2"/>
    <n v="5"/>
    <n v="36"/>
    <x v="4"/>
    <s v="Velora Solutions"/>
    <s v="Seattle"/>
    <s v=" Washington"/>
  </r>
  <r>
    <n v="2500168"/>
    <x v="8"/>
    <x v="119"/>
    <x v="5"/>
    <n v="6"/>
    <n v="15.5"/>
    <x v="16"/>
    <s v="Aurelia Works"/>
    <s v="Indianapolis"/>
    <s v=" Indiana"/>
  </r>
  <r>
    <n v="2500169"/>
    <x v="4"/>
    <x v="120"/>
    <x v="4"/>
    <n v="6"/>
    <n v="25.5"/>
    <x v="28"/>
    <s v="Velora Solutions"/>
    <s v="Seattle"/>
    <s v=" Washington"/>
  </r>
  <r>
    <n v="2500170"/>
    <x v="8"/>
    <x v="121"/>
    <x v="1"/>
    <n v="5"/>
    <n v="32"/>
    <x v="47"/>
    <s v="Luminexa"/>
    <s v="Dallas"/>
    <s v=" Texas"/>
  </r>
  <r>
    <n v="2500171"/>
    <x v="6"/>
    <x v="122"/>
    <x v="0"/>
    <n v="9"/>
    <n v="18.5"/>
    <x v="2"/>
    <s v="Bravora Group"/>
    <s v="New York City"/>
    <s v=" New York"/>
  </r>
  <r>
    <n v="2500172"/>
    <x v="9"/>
    <x v="123"/>
    <x v="1"/>
    <n v="5"/>
    <n v="32"/>
    <x v="47"/>
    <s v="Noventra"/>
    <s v="Miami"/>
    <s v=" Florida"/>
  </r>
  <r>
    <n v="2500173"/>
    <x v="7"/>
    <x v="124"/>
    <x v="1"/>
    <n v="4"/>
    <n v="32"/>
    <x v="26"/>
    <s v="Nexora Labs"/>
    <s v="Chicago"/>
    <s v=" Illinois"/>
  </r>
  <r>
    <n v="2500174"/>
    <x v="6"/>
    <x v="125"/>
    <x v="1"/>
    <n v="4"/>
    <n v="32"/>
    <x v="26"/>
    <s v="Vivanta Co."/>
    <s v="Houston"/>
    <s v=" Texas"/>
  </r>
  <r>
    <n v="2500175"/>
    <x v="8"/>
    <x v="126"/>
    <x v="4"/>
    <n v="1"/>
    <n v="25.5"/>
    <x v="17"/>
    <s v="Aurelia Works"/>
    <s v="Indianapolis"/>
    <s v=" Indiana"/>
  </r>
  <r>
    <n v="2500176"/>
    <x v="7"/>
    <x v="127"/>
    <x v="3"/>
    <n v="3"/>
    <n v="48"/>
    <x v="15"/>
    <s v="Noventra"/>
    <s v="Miami"/>
    <s v=" Florida"/>
  </r>
  <r>
    <n v="2500177"/>
    <x v="5"/>
    <x v="128"/>
    <x v="1"/>
    <n v="3"/>
    <n v="32"/>
    <x v="7"/>
    <s v="Noventra"/>
    <s v="Miami"/>
    <s v=" Florida"/>
  </r>
  <r>
    <n v="2500178"/>
    <x v="0"/>
    <x v="129"/>
    <x v="2"/>
    <n v="8"/>
    <n v="36"/>
    <x v="11"/>
    <s v="Solvesta"/>
    <s v="Los Angeles"/>
    <s v=" California"/>
  </r>
  <r>
    <n v="2500179"/>
    <x v="4"/>
    <x v="130"/>
    <x v="2"/>
    <n v="5"/>
    <n v="36"/>
    <x v="4"/>
    <s v="Noventra"/>
    <s v="Miami"/>
    <s v=" Florida"/>
  </r>
  <r>
    <n v="2500180"/>
    <x v="9"/>
    <x v="131"/>
    <x v="2"/>
    <n v="7"/>
    <n v="36"/>
    <x v="19"/>
    <s v="Aurelia Works"/>
    <s v="Indianapolis"/>
    <s v=" Indiana"/>
  </r>
  <r>
    <n v="2500181"/>
    <x v="3"/>
    <x v="132"/>
    <x v="3"/>
    <n v="4"/>
    <n v="48"/>
    <x v="5"/>
    <s v="Aurelia Works"/>
    <s v="Indianapolis"/>
    <s v=" Indiana"/>
  </r>
  <r>
    <n v="2500182"/>
    <x v="9"/>
    <x v="133"/>
    <x v="1"/>
    <n v="3"/>
    <n v="32"/>
    <x v="7"/>
    <s v="Bravora Group"/>
    <s v="New York City"/>
    <s v=" New York"/>
  </r>
  <r>
    <n v="2500183"/>
    <x v="5"/>
    <x v="134"/>
    <x v="0"/>
    <n v="4"/>
    <n v="18.5"/>
    <x v="0"/>
    <s v="Noventra"/>
    <s v="Miami"/>
    <s v=" Florida"/>
  </r>
  <r>
    <n v="2500184"/>
    <x v="3"/>
    <x v="135"/>
    <x v="5"/>
    <n v="9"/>
    <n v="15.5"/>
    <x v="46"/>
    <s v="Bravora Group"/>
    <s v="New York City"/>
    <s v=" New York"/>
  </r>
  <r>
    <n v="2500185"/>
    <x v="4"/>
    <x v="136"/>
    <x v="5"/>
    <n v="8"/>
    <n v="15.5"/>
    <x v="44"/>
    <s v="Bravora Group"/>
    <s v="New York City"/>
    <s v=" New York"/>
  </r>
  <r>
    <n v="2500186"/>
    <x v="8"/>
    <x v="137"/>
    <x v="4"/>
    <n v="2"/>
    <n v="25.5"/>
    <x v="9"/>
    <s v="Nexora Labs"/>
    <s v="Chicago"/>
    <s v=" Illinois"/>
  </r>
  <r>
    <n v="2500187"/>
    <x v="8"/>
    <x v="138"/>
    <x v="5"/>
    <n v="2"/>
    <n v="15.5"/>
    <x v="20"/>
    <s v="Aurelia Works"/>
    <s v="Indianapolis"/>
    <s v=" Indiana"/>
  </r>
  <r>
    <n v="2500188"/>
    <x v="5"/>
    <x v="139"/>
    <x v="0"/>
    <n v="8"/>
    <n v="18.5"/>
    <x v="50"/>
    <s v="Solvesta"/>
    <s v="Los Angeles"/>
    <s v=" California"/>
  </r>
  <r>
    <n v="2500189"/>
    <x v="8"/>
    <x v="140"/>
    <x v="2"/>
    <n v="10"/>
    <n v="36"/>
    <x v="51"/>
    <s v="Aurelia Works"/>
    <s v="Indianapolis"/>
    <s v=" Indiana"/>
  </r>
  <r>
    <n v="2500250"/>
    <x v="5"/>
    <x v="141"/>
    <x v="1"/>
    <n v="3"/>
    <n v="32"/>
    <x v="7"/>
    <s v="Luminexa"/>
    <s v="Dallas"/>
    <s v=" Texas"/>
  </r>
  <r>
    <n v="2500251"/>
    <x v="4"/>
    <x v="142"/>
    <x v="0"/>
    <n v="5"/>
    <n v="18.5"/>
    <x v="36"/>
    <s v="Solvesta"/>
    <s v="Los Angeles"/>
    <s v=" California"/>
  </r>
  <r>
    <n v="2500252"/>
    <x v="1"/>
    <x v="143"/>
    <x v="5"/>
    <n v="5"/>
    <n v="15.5"/>
    <x v="25"/>
    <s v="Solvesta"/>
    <s v="Los Angeles"/>
    <s v=" California"/>
  </r>
  <r>
    <n v="2500253"/>
    <x v="6"/>
    <x v="144"/>
    <x v="3"/>
    <n v="8"/>
    <n v="48"/>
    <x v="22"/>
    <s v="Solvesta"/>
    <s v="Los Angeles"/>
    <s v=" California"/>
  </r>
  <r>
    <n v="2500254"/>
    <x v="3"/>
    <x v="145"/>
    <x v="3"/>
    <n v="10"/>
    <n v="48"/>
    <x v="49"/>
    <s v="Bravora Group"/>
    <s v="New York City"/>
    <s v=" New York"/>
  </r>
  <r>
    <n v="2500255"/>
    <x v="8"/>
    <x v="146"/>
    <x v="0"/>
    <n v="5"/>
    <n v="18.5"/>
    <x v="36"/>
    <s v="Aurelia Works"/>
    <s v="Indianapolis"/>
    <s v=" Indiana"/>
  </r>
  <r>
    <n v="2500256"/>
    <x v="5"/>
    <x v="147"/>
    <x v="0"/>
    <n v="6"/>
    <n v="18.5"/>
    <x v="38"/>
    <s v="Nexora Labs"/>
    <s v="Chicago"/>
    <s v=" Illinois"/>
  </r>
  <r>
    <n v="2500257"/>
    <x v="3"/>
    <x v="148"/>
    <x v="4"/>
    <n v="6"/>
    <n v="25.5"/>
    <x v="28"/>
    <s v="Solvesta"/>
    <s v="Los Angeles"/>
    <s v=" California"/>
  </r>
  <r>
    <n v="2500258"/>
    <x v="8"/>
    <x v="149"/>
    <x v="1"/>
    <n v="5"/>
    <n v="32"/>
    <x v="47"/>
    <s v="Bravora Group"/>
    <s v="New York City"/>
    <s v=" New York"/>
  </r>
  <r>
    <n v="2500259"/>
    <x v="5"/>
    <x v="150"/>
    <x v="4"/>
    <n v="5"/>
    <n v="25.5"/>
    <x v="52"/>
    <s v="Nexora Labs"/>
    <s v="Chicago"/>
    <s v=" Illinois"/>
  </r>
  <r>
    <n v="2500200"/>
    <x v="6"/>
    <x v="151"/>
    <x v="0"/>
    <n v="1"/>
    <n v="18.5"/>
    <x v="30"/>
    <s v="Vivanta Co."/>
    <s v="Houston"/>
    <s v=" Texas"/>
  </r>
  <r>
    <n v="2500201"/>
    <x v="7"/>
    <x v="152"/>
    <x v="0"/>
    <n v="2"/>
    <n v="18.5"/>
    <x v="41"/>
    <s v="Bravora Group"/>
    <s v="New York City"/>
    <s v=" New York"/>
  </r>
  <r>
    <n v="2500202"/>
    <x v="1"/>
    <x v="153"/>
    <x v="4"/>
    <n v="10"/>
    <n v="25.5"/>
    <x v="18"/>
    <s v="Velora Solutions"/>
    <s v="Seattle"/>
    <s v=" Washington"/>
  </r>
  <r>
    <n v="2500203"/>
    <x v="6"/>
    <x v="154"/>
    <x v="3"/>
    <n v="7"/>
    <n v="48"/>
    <x v="37"/>
    <s v="Velora Solutions"/>
    <s v="Seattle"/>
    <s v=" Washington"/>
  </r>
  <r>
    <n v="2500204"/>
    <x v="1"/>
    <x v="155"/>
    <x v="2"/>
    <n v="6"/>
    <n v="36"/>
    <x v="29"/>
    <s v="Luminexa"/>
    <s v="Dallas"/>
    <s v=" Texas"/>
  </r>
  <r>
    <n v="2500205"/>
    <x v="1"/>
    <x v="156"/>
    <x v="2"/>
    <n v="1"/>
    <n v="36"/>
    <x v="45"/>
    <s v="Vivanta Co."/>
    <s v="Houston"/>
    <s v=" Texas"/>
  </r>
  <r>
    <n v="2500206"/>
    <x v="9"/>
    <x v="157"/>
    <x v="1"/>
    <n v="5"/>
    <n v="32"/>
    <x v="47"/>
    <s v="Luminexa"/>
    <s v="Dallas"/>
    <s v=" Texas"/>
  </r>
  <r>
    <n v="2500207"/>
    <x v="6"/>
    <x v="158"/>
    <x v="5"/>
    <n v="6"/>
    <n v="15.5"/>
    <x v="16"/>
    <s v="Vivanta Co."/>
    <s v="Houston"/>
    <s v=" Texas"/>
  </r>
  <r>
    <n v="2500208"/>
    <x v="7"/>
    <x v="159"/>
    <x v="0"/>
    <n v="8"/>
    <n v="18.5"/>
    <x v="50"/>
    <s v="Bravora Group"/>
    <s v="New York City"/>
    <s v=" New York"/>
  </r>
  <r>
    <n v="2500209"/>
    <x v="6"/>
    <x v="160"/>
    <x v="2"/>
    <n v="8"/>
    <n v="36"/>
    <x v="11"/>
    <s v="Noventra"/>
    <s v="Miami"/>
    <s v=" Florida"/>
  </r>
  <r>
    <n v="2500210"/>
    <x v="5"/>
    <x v="161"/>
    <x v="0"/>
    <n v="1"/>
    <n v="18.5"/>
    <x v="30"/>
    <s v="Velora Solutions"/>
    <s v="Seattle"/>
    <s v=" Washington"/>
  </r>
  <r>
    <n v="2500211"/>
    <x v="8"/>
    <x v="162"/>
    <x v="0"/>
    <n v="10"/>
    <n v="18.5"/>
    <x v="27"/>
    <s v="Vivanta Co."/>
    <s v="Houston"/>
    <s v=" Texas"/>
  </r>
  <r>
    <n v="2500212"/>
    <x v="8"/>
    <x v="163"/>
    <x v="2"/>
    <n v="9"/>
    <n v="36"/>
    <x v="32"/>
    <s v="Bravora Group"/>
    <s v="New York City"/>
    <s v=" New York"/>
  </r>
  <r>
    <n v="2500213"/>
    <x v="3"/>
    <x v="164"/>
    <x v="0"/>
    <n v="7"/>
    <n v="18.5"/>
    <x v="10"/>
    <s v="Aurelia Works"/>
    <s v="Indianapolis"/>
    <s v=" Indiana"/>
  </r>
  <r>
    <n v="2500214"/>
    <x v="0"/>
    <x v="165"/>
    <x v="1"/>
    <n v="8"/>
    <n v="32"/>
    <x v="23"/>
    <s v="Solvesta"/>
    <s v="Los Angeles"/>
    <s v=" California"/>
  </r>
  <r>
    <n v="2500215"/>
    <x v="4"/>
    <x v="166"/>
    <x v="0"/>
    <n v="9"/>
    <n v="18.5"/>
    <x v="2"/>
    <s v="Bravora Group"/>
    <s v="New York City"/>
    <s v=" New York"/>
  </r>
  <r>
    <n v="2500216"/>
    <x v="3"/>
    <x v="167"/>
    <x v="0"/>
    <n v="4"/>
    <n v="18.5"/>
    <x v="0"/>
    <s v="Vivanta Co."/>
    <s v="Houston"/>
    <s v=" Texas"/>
  </r>
  <r>
    <n v="2500217"/>
    <x v="9"/>
    <x v="168"/>
    <x v="1"/>
    <n v="10"/>
    <n v="32"/>
    <x v="1"/>
    <s v="Bravora Group"/>
    <s v="New York City"/>
    <s v=" New York"/>
  </r>
  <r>
    <n v="2500218"/>
    <x v="0"/>
    <x v="169"/>
    <x v="2"/>
    <n v="8"/>
    <n v="36"/>
    <x v="11"/>
    <s v="Noventra"/>
    <s v="Miami"/>
    <s v=" Florida"/>
  </r>
  <r>
    <n v="2500225"/>
    <x v="1"/>
    <x v="170"/>
    <x v="0"/>
    <n v="6"/>
    <n v="18.5"/>
    <x v="38"/>
    <s v="Aurelia Works"/>
    <s v="Indianapolis"/>
    <s v=" Indiana"/>
  </r>
  <r>
    <n v="2500220"/>
    <x v="5"/>
    <x v="171"/>
    <x v="2"/>
    <n v="1"/>
    <n v="36"/>
    <x v="45"/>
    <s v="Luminexa"/>
    <s v="Dallas"/>
    <s v=" Texas"/>
  </r>
  <r>
    <n v="2500221"/>
    <x v="5"/>
    <x v="172"/>
    <x v="3"/>
    <n v="3"/>
    <n v="48"/>
    <x v="15"/>
    <s v="Aurelia Works"/>
    <s v="Indianapolis"/>
    <s v=" Indiana"/>
  </r>
  <r>
    <n v="2500222"/>
    <x v="5"/>
    <x v="173"/>
    <x v="0"/>
    <n v="7"/>
    <n v="18.5"/>
    <x v="10"/>
    <s v="Solvesta"/>
    <s v="Los Angeles"/>
    <s v=" California"/>
  </r>
  <r>
    <n v="2500223"/>
    <x v="7"/>
    <x v="174"/>
    <x v="4"/>
    <n v="8"/>
    <n v="25.5"/>
    <x v="39"/>
    <s v="Vivanta Co."/>
    <s v="Houston"/>
    <s v=" Texas"/>
  </r>
  <r>
    <n v="2500224"/>
    <x v="4"/>
    <x v="175"/>
    <x v="2"/>
    <n v="10"/>
    <n v="36"/>
    <x v="51"/>
    <s v="Luminexa"/>
    <s v="Dallas"/>
    <s v=" Texas"/>
  </r>
  <r>
    <n v="2500225"/>
    <x v="9"/>
    <x v="176"/>
    <x v="4"/>
    <n v="1"/>
    <n v="25.5"/>
    <x v="17"/>
    <s v="Aurelia Works"/>
    <s v="Indianapolis"/>
    <s v=" Indiana"/>
  </r>
  <r>
    <n v="2500226"/>
    <x v="3"/>
    <x v="177"/>
    <x v="3"/>
    <n v="1"/>
    <n v="48"/>
    <x v="31"/>
    <s v="Velora Solutions"/>
    <s v="Seattle"/>
    <s v=" Washington"/>
  </r>
  <r>
    <n v="2500227"/>
    <x v="1"/>
    <x v="178"/>
    <x v="1"/>
    <n v="8"/>
    <n v="32"/>
    <x v="23"/>
    <s v="Luminexa"/>
    <s v="Dallas"/>
    <s v=" Texas"/>
  </r>
  <r>
    <n v="2500228"/>
    <x v="4"/>
    <x v="179"/>
    <x v="2"/>
    <n v="3"/>
    <n v="36"/>
    <x v="14"/>
    <s v="Noventra"/>
    <s v="Miami"/>
    <s v=" Florida"/>
  </r>
  <r>
    <n v="2500229"/>
    <x v="5"/>
    <x v="180"/>
    <x v="3"/>
    <n v="1"/>
    <n v="48"/>
    <x v="31"/>
    <s v="Velora Solutions"/>
    <s v="Seattle"/>
    <s v=" Washington"/>
  </r>
  <r>
    <n v="2500230"/>
    <x v="2"/>
    <x v="181"/>
    <x v="3"/>
    <n v="10"/>
    <n v="48"/>
    <x v="49"/>
    <s v="Bravora Group"/>
    <s v="New York City"/>
    <s v=" New York"/>
  </r>
  <r>
    <n v="2500231"/>
    <x v="3"/>
    <x v="182"/>
    <x v="0"/>
    <n v="9"/>
    <n v="18.5"/>
    <x v="2"/>
    <s v="Luminexa"/>
    <s v="Dallas"/>
    <s v=" Texas"/>
  </r>
  <r>
    <n v="2500232"/>
    <x v="2"/>
    <x v="183"/>
    <x v="0"/>
    <n v="10"/>
    <n v="18.5"/>
    <x v="27"/>
    <s v="Noventra"/>
    <s v="Miami"/>
    <s v=" Florida"/>
  </r>
  <r>
    <n v="2500233"/>
    <x v="4"/>
    <x v="184"/>
    <x v="2"/>
    <n v="4"/>
    <n v="36"/>
    <x v="15"/>
    <s v="Velora Solutions"/>
    <s v="Seattle"/>
    <s v=" Washington"/>
  </r>
  <r>
    <n v="2500234"/>
    <x v="2"/>
    <x v="185"/>
    <x v="1"/>
    <n v="10"/>
    <n v="32"/>
    <x v="1"/>
    <s v="Bravora Group"/>
    <s v="New York City"/>
    <s v=" New York"/>
  </r>
  <r>
    <n v="2500235"/>
    <x v="6"/>
    <x v="186"/>
    <x v="5"/>
    <n v="10"/>
    <n v="15.5"/>
    <x v="43"/>
    <s v="Solvesta"/>
    <s v="Los Angeles"/>
    <s v=" California"/>
  </r>
  <r>
    <n v="2500236"/>
    <x v="1"/>
    <x v="187"/>
    <x v="3"/>
    <n v="10"/>
    <n v="48"/>
    <x v="49"/>
    <s v="Velora Solutions"/>
    <s v="Seattle"/>
    <s v=" Washington"/>
  </r>
  <r>
    <n v="2500237"/>
    <x v="1"/>
    <x v="188"/>
    <x v="3"/>
    <n v="10"/>
    <n v="48"/>
    <x v="49"/>
    <s v="Vivanta Co."/>
    <s v="Houston"/>
    <s v=" Texas"/>
  </r>
  <r>
    <n v="2500238"/>
    <x v="5"/>
    <x v="189"/>
    <x v="1"/>
    <n v="8"/>
    <n v="32"/>
    <x v="23"/>
    <s v="Luminexa"/>
    <s v="Dallas"/>
    <s v=" Texas"/>
  </r>
  <r>
    <n v="2500239"/>
    <x v="6"/>
    <x v="190"/>
    <x v="3"/>
    <n v="2"/>
    <n v="48"/>
    <x v="7"/>
    <s v="Aurelia Works"/>
    <s v="Indianapolis"/>
    <s v=" Indiana"/>
  </r>
  <r>
    <n v="2500240"/>
    <x v="8"/>
    <x v="191"/>
    <x v="4"/>
    <n v="10"/>
    <n v="25.5"/>
    <x v="18"/>
    <s v="Nexora Labs"/>
    <s v="Chicago"/>
    <s v=" Illinois"/>
  </r>
  <r>
    <n v="2500241"/>
    <x v="7"/>
    <x v="192"/>
    <x v="2"/>
    <n v="3"/>
    <n v="36"/>
    <x v="14"/>
    <s v="Vivanta Co."/>
    <s v="Houston"/>
    <s v=" Texas"/>
  </r>
  <r>
    <n v="2500242"/>
    <x v="0"/>
    <x v="193"/>
    <x v="0"/>
    <n v="6"/>
    <n v="18.5"/>
    <x v="38"/>
    <s v="Velora Solutions"/>
    <s v="Seattle"/>
    <s v=" Washington"/>
  </r>
  <r>
    <n v="2500243"/>
    <x v="4"/>
    <x v="194"/>
    <x v="4"/>
    <n v="5"/>
    <n v="25.5"/>
    <x v="52"/>
    <s v="Luminexa"/>
    <s v="Dallas"/>
    <s v=" Texas"/>
  </r>
  <r>
    <n v="2500244"/>
    <x v="8"/>
    <x v="195"/>
    <x v="3"/>
    <n v="4"/>
    <n v="48"/>
    <x v="5"/>
    <s v="Noventra"/>
    <s v="Miami"/>
    <s v=" Florida"/>
  </r>
  <r>
    <n v="2500245"/>
    <x v="3"/>
    <x v="196"/>
    <x v="5"/>
    <n v="7"/>
    <n v="15.5"/>
    <x v="48"/>
    <s v="Solvesta"/>
    <s v="Los Angeles"/>
    <s v=" California"/>
  </r>
  <r>
    <n v="2500246"/>
    <x v="9"/>
    <x v="197"/>
    <x v="0"/>
    <n v="7"/>
    <n v="18.5"/>
    <x v="10"/>
    <s v="Nexora Labs"/>
    <s v="Chicago"/>
    <s v=" Illinois"/>
  </r>
  <r>
    <n v="2500247"/>
    <x v="6"/>
    <x v="198"/>
    <x v="2"/>
    <n v="4"/>
    <n v="36"/>
    <x v="15"/>
    <s v="Noventra"/>
    <s v="Miami"/>
    <s v=" Florida"/>
  </r>
  <r>
    <n v="2500248"/>
    <x v="7"/>
    <x v="199"/>
    <x v="1"/>
    <n v="2"/>
    <n v="32"/>
    <x v="3"/>
    <s v="Vivanta Co."/>
    <s v="Houston"/>
    <s v=" Texas"/>
  </r>
  <r>
    <n v="2500249"/>
    <x v="7"/>
    <x v="200"/>
    <x v="4"/>
    <n v="7"/>
    <n v="25.5"/>
    <x v="21"/>
    <s v="Solvesta"/>
    <s v="Los Angeles"/>
    <s v=" California"/>
  </r>
  <r>
    <n v="2500250"/>
    <x v="1"/>
    <x v="201"/>
    <x v="1"/>
    <n v="9"/>
    <n v="32"/>
    <x v="11"/>
    <s v="Nexora Labs"/>
    <s v="Chicago"/>
    <s v=" Illinois"/>
  </r>
  <r>
    <n v="2500251"/>
    <x v="9"/>
    <x v="202"/>
    <x v="3"/>
    <n v="6"/>
    <n v="48"/>
    <x v="11"/>
    <s v="Vivanta Co."/>
    <s v="Houston"/>
    <s v=" Texas"/>
  </r>
  <r>
    <n v="2500252"/>
    <x v="8"/>
    <x v="203"/>
    <x v="3"/>
    <n v="5"/>
    <n v="48"/>
    <x v="12"/>
    <s v="Velora Solutions"/>
    <s v="Seattle"/>
    <s v=" Washington"/>
  </r>
  <r>
    <n v="2500253"/>
    <x v="7"/>
    <x v="204"/>
    <x v="0"/>
    <n v="10"/>
    <n v="18.5"/>
    <x v="27"/>
    <s v="Aurelia Works"/>
    <s v="Indianapolis"/>
    <s v=" Indiana"/>
  </r>
  <r>
    <n v="2500254"/>
    <x v="3"/>
    <x v="205"/>
    <x v="3"/>
    <n v="1"/>
    <n v="48"/>
    <x v="31"/>
    <s v="Nexora Labs"/>
    <s v="Chicago"/>
    <s v=" Illinois"/>
  </r>
  <r>
    <n v="2500255"/>
    <x v="8"/>
    <x v="206"/>
    <x v="4"/>
    <n v="1"/>
    <n v="25.5"/>
    <x v="17"/>
    <s v="Solvesta"/>
    <s v="Los Angeles"/>
    <s v=" California"/>
  </r>
  <r>
    <n v="2500256"/>
    <x v="3"/>
    <x v="207"/>
    <x v="1"/>
    <n v="9"/>
    <n v="32"/>
    <x v="11"/>
    <s v="Vivanta Co."/>
    <s v="Houston"/>
    <s v=" Texas"/>
  </r>
  <r>
    <n v="2500257"/>
    <x v="1"/>
    <x v="208"/>
    <x v="2"/>
    <n v="6"/>
    <n v="36"/>
    <x v="29"/>
    <s v="Solvesta"/>
    <s v="Los Angeles"/>
    <s v=" California"/>
  </r>
  <r>
    <n v="2500258"/>
    <x v="4"/>
    <x v="209"/>
    <x v="2"/>
    <n v="3"/>
    <n v="36"/>
    <x v="14"/>
    <s v="Vivanta Co."/>
    <s v="Houston"/>
    <s v=" Texas"/>
  </r>
  <r>
    <n v="2500259"/>
    <x v="8"/>
    <x v="210"/>
    <x v="2"/>
    <n v="1"/>
    <n v="36"/>
    <x v="45"/>
    <s v="Noventra"/>
    <s v="Miami"/>
    <s v=" Florida"/>
  </r>
  <r>
    <n v="2500260"/>
    <x v="2"/>
    <x v="211"/>
    <x v="4"/>
    <n v="3"/>
    <n v="25.5"/>
    <x v="53"/>
    <s v="Vivanta Co."/>
    <s v="Houston"/>
    <s v=" Texas"/>
  </r>
  <r>
    <n v="2500261"/>
    <x v="4"/>
    <x v="212"/>
    <x v="5"/>
    <n v="4"/>
    <n v="15.5"/>
    <x v="54"/>
    <s v="Aurelia Works"/>
    <s v="Indianapolis"/>
    <s v=" Indiana"/>
  </r>
  <r>
    <n v="2500262"/>
    <x v="1"/>
    <x v="213"/>
    <x v="2"/>
    <n v="9"/>
    <n v="36"/>
    <x v="32"/>
    <s v="Bravora Group"/>
    <s v="New York City"/>
    <s v=" New York"/>
  </r>
  <r>
    <n v="2500263"/>
    <x v="6"/>
    <x v="214"/>
    <x v="3"/>
    <n v="6"/>
    <n v="48"/>
    <x v="11"/>
    <s v="Bravora Group"/>
    <s v="New York City"/>
    <s v=" New York"/>
  </r>
  <r>
    <n v="2500264"/>
    <x v="6"/>
    <x v="215"/>
    <x v="2"/>
    <n v="1"/>
    <n v="36"/>
    <x v="45"/>
    <s v="Nexora Labs"/>
    <s v="Chicago"/>
    <s v=" Illinois"/>
  </r>
  <r>
    <n v="2500265"/>
    <x v="2"/>
    <x v="216"/>
    <x v="5"/>
    <n v="3"/>
    <n v="15.5"/>
    <x v="24"/>
    <s v="Solvesta"/>
    <s v="Los Angeles"/>
    <s v=" California"/>
  </r>
  <r>
    <n v="2500266"/>
    <x v="4"/>
    <x v="217"/>
    <x v="5"/>
    <n v="3"/>
    <n v="15.5"/>
    <x v="24"/>
    <s v="Velora Solutions"/>
    <s v="Seattle"/>
    <s v=" Washington"/>
  </r>
  <r>
    <n v="2500267"/>
    <x v="5"/>
    <x v="218"/>
    <x v="2"/>
    <n v="6"/>
    <n v="36"/>
    <x v="29"/>
    <s v="Noventra"/>
    <s v="Miami"/>
    <s v=" Florida"/>
  </r>
  <r>
    <n v="2500268"/>
    <x v="4"/>
    <x v="219"/>
    <x v="1"/>
    <n v="3"/>
    <n v="32"/>
    <x v="7"/>
    <s v="Solvesta"/>
    <s v="Los Angeles"/>
    <s v=" California"/>
  </r>
  <r>
    <n v="2500269"/>
    <x v="1"/>
    <x v="220"/>
    <x v="0"/>
    <n v="1"/>
    <n v="18.5"/>
    <x v="30"/>
    <s v="Nexora Labs"/>
    <s v="Chicago"/>
    <s v=" Illinois"/>
  </r>
  <r>
    <n v="2500270"/>
    <x v="2"/>
    <x v="221"/>
    <x v="2"/>
    <n v="2"/>
    <n v="36"/>
    <x v="13"/>
    <s v="Luminexa"/>
    <s v="Dallas"/>
    <s v=" Texas"/>
  </r>
  <r>
    <n v="2500271"/>
    <x v="9"/>
    <x v="222"/>
    <x v="4"/>
    <n v="10"/>
    <n v="25.5"/>
    <x v="18"/>
    <s v="Velora Solutions"/>
    <s v="Seattle"/>
    <s v=" Washington"/>
  </r>
  <r>
    <n v="2500272"/>
    <x v="0"/>
    <x v="223"/>
    <x v="1"/>
    <n v="6"/>
    <n v="32"/>
    <x v="5"/>
    <s v="Vivanta Co."/>
    <s v="Houston"/>
    <s v=" Texas"/>
  </r>
  <r>
    <n v="2500273"/>
    <x v="8"/>
    <x v="224"/>
    <x v="4"/>
    <n v="6"/>
    <n v="25.5"/>
    <x v="28"/>
    <s v="Vivanta Co."/>
    <s v="Houston"/>
    <s v=" Texas"/>
  </r>
  <r>
    <n v="2500274"/>
    <x v="0"/>
    <x v="225"/>
    <x v="4"/>
    <n v="9"/>
    <n v="25.5"/>
    <x v="8"/>
    <s v="Velora Solutions"/>
    <s v="Seattle"/>
    <s v=" Washington"/>
  </r>
  <r>
    <n v="2500275"/>
    <x v="5"/>
    <x v="226"/>
    <x v="2"/>
    <n v="7"/>
    <n v="36"/>
    <x v="19"/>
    <s v="Velora Solutions"/>
    <s v="Seattle"/>
    <s v=" Washington"/>
  </r>
  <r>
    <n v="2500276"/>
    <x v="7"/>
    <x v="227"/>
    <x v="4"/>
    <n v="5"/>
    <n v="25.5"/>
    <x v="52"/>
    <s v="Velora Solutions"/>
    <s v="Seattle"/>
    <s v=" Washington"/>
  </r>
  <r>
    <n v="2500277"/>
    <x v="4"/>
    <x v="228"/>
    <x v="2"/>
    <n v="7"/>
    <n v="36"/>
    <x v="19"/>
    <s v="Vivanta Co."/>
    <s v="Houston"/>
    <s v=" Texas"/>
  </r>
  <r>
    <n v="2500278"/>
    <x v="1"/>
    <x v="229"/>
    <x v="1"/>
    <n v="9"/>
    <n v="32"/>
    <x v="11"/>
    <s v="Velora Solutions"/>
    <s v="Seattle"/>
    <s v=" Washington"/>
  </r>
  <r>
    <n v="2500279"/>
    <x v="9"/>
    <x v="230"/>
    <x v="0"/>
    <n v="8"/>
    <n v="18.5"/>
    <x v="50"/>
    <s v="Bravora Group"/>
    <s v="New York City"/>
    <s v=" New York"/>
  </r>
  <r>
    <n v="2500280"/>
    <x v="3"/>
    <x v="231"/>
    <x v="4"/>
    <n v="10"/>
    <n v="25.5"/>
    <x v="18"/>
    <s v="Bravora Group"/>
    <s v="New York City"/>
    <s v=" New York"/>
  </r>
  <r>
    <n v="2500281"/>
    <x v="6"/>
    <x v="232"/>
    <x v="2"/>
    <n v="4"/>
    <n v="36"/>
    <x v="15"/>
    <s v="Velora Solutions"/>
    <s v="Seattle"/>
    <s v=" Washington"/>
  </r>
  <r>
    <n v="2500282"/>
    <x v="6"/>
    <x v="233"/>
    <x v="4"/>
    <n v="9"/>
    <n v="25.5"/>
    <x v="8"/>
    <s v="Luminexa"/>
    <s v="Dallas"/>
    <s v=" Texas"/>
  </r>
  <r>
    <n v="2500283"/>
    <x v="4"/>
    <x v="234"/>
    <x v="0"/>
    <n v="4"/>
    <n v="18.5"/>
    <x v="0"/>
    <s v="Aurelia Works"/>
    <s v="Indianapolis"/>
    <s v=" Indiana"/>
  </r>
  <r>
    <n v="2500284"/>
    <x v="4"/>
    <x v="235"/>
    <x v="3"/>
    <n v="6"/>
    <n v="48"/>
    <x v="11"/>
    <s v="Noventra"/>
    <s v="Miami"/>
    <s v=" Florida"/>
  </r>
  <r>
    <n v="2500285"/>
    <x v="3"/>
    <x v="236"/>
    <x v="4"/>
    <n v="6"/>
    <n v="25.5"/>
    <x v="28"/>
    <s v="Bravora Group"/>
    <s v="New York City"/>
    <s v=" New York"/>
  </r>
  <r>
    <n v="2500286"/>
    <x v="0"/>
    <x v="237"/>
    <x v="2"/>
    <n v="7"/>
    <n v="36"/>
    <x v="19"/>
    <s v="Bravora Group"/>
    <s v="New York City"/>
    <s v=" New York"/>
  </r>
  <r>
    <n v="2500287"/>
    <x v="7"/>
    <x v="238"/>
    <x v="0"/>
    <n v="5"/>
    <n v="18.5"/>
    <x v="36"/>
    <s v="Noventra"/>
    <s v="Miami"/>
    <s v=" Florida"/>
  </r>
  <r>
    <n v="2500288"/>
    <x v="8"/>
    <x v="239"/>
    <x v="5"/>
    <n v="1"/>
    <n v="15.5"/>
    <x v="40"/>
    <s v="Velora Solutions"/>
    <s v="Seattle"/>
    <s v=" Washington"/>
  </r>
  <r>
    <n v="2500289"/>
    <x v="0"/>
    <x v="240"/>
    <x v="3"/>
    <n v="8"/>
    <n v="48"/>
    <x v="22"/>
    <s v="Vivanta Co."/>
    <s v="Houston"/>
    <s v=" Texas"/>
  </r>
  <r>
    <n v="2500290"/>
    <x v="5"/>
    <x v="241"/>
    <x v="0"/>
    <n v="7"/>
    <n v="18.5"/>
    <x v="10"/>
    <s v="Solvesta"/>
    <s v="Los Angeles"/>
    <s v=" California"/>
  </r>
  <r>
    <n v="2500291"/>
    <x v="5"/>
    <x v="242"/>
    <x v="3"/>
    <n v="8"/>
    <n v="48"/>
    <x v="22"/>
    <s v="Velora Solutions"/>
    <s v="Seattle"/>
    <s v=" Washington"/>
  </r>
  <r>
    <n v="2500292"/>
    <x v="2"/>
    <x v="243"/>
    <x v="4"/>
    <n v="9"/>
    <n v="25.5"/>
    <x v="8"/>
    <s v="Noventra"/>
    <s v="Miami"/>
    <s v=" Florida"/>
  </r>
  <r>
    <n v="2500293"/>
    <x v="9"/>
    <x v="244"/>
    <x v="0"/>
    <n v="2"/>
    <n v="18.5"/>
    <x v="41"/>
    <s v="Noventra"/>
    <s v="Miami"/>
    <s v=" Florida"/>
  </r>
  <r>
    <n v="2500294"/>
    <x v="8"/>
    <x v="245"/>
    <x v="5"/>
    <n v="1"/>
    <n v="15.5"/>
    <x v="40"/>
    <s v="Aurelia Works"/>
    <s v="Indianapolis"/>
    <s v=" Indiana"/>
  </r>
  <r>
    <n v="2500295"/>
    <x v="3"/>
    <x v="246"/>
    <x v="3"/>
    <n v="3"/>
    <n v="48"/>
    <x v="15"/>
    <s v="Vivanta Co."/>
    <s v="Houston"/>
    <s v=" Texas"/>
  </r>
  <r>
    <n v="2500296"/>
    <x v="7"/>
    <x v="247"/>
    <x v="5"/>
    <n v="6"/>
    <n v="15.5"/>
    <x v="16"/>
    <s v="Noventra"/>
    <s v="Miami"/>
    <s v=" Florida"/>
  </r>
  <r>
    <n v="2500297"/>
    <x v="6"/>
    <x v="248"/>
    <x v="1"/>
    <n v="9"/>
    <n v="32"/>
    <x v="11"/>
    <s v="Vivanta Co."/>
    <s v="Houston"/>
    <s v=" Texas"/>
  </r>
  <r>
    <n v="2500298"/>
    <x v="6"/>
    <x v="249"/>
    <x v="3"/>
    <n v="1"/>
    <n v="48"/>
    <x v="31"/>
    <s v="Aurelia Works"/>
    <s v="Indianapolis"/>
    <s v=" Indiana"/>
  </r>
  <r>
    <n v="2500299"/>
    <x v="2"/>
    <x v="250"/>
    <x v="5"/>
    <n v="8"/>
    <n v="15.5"/>
    <x v="44"/>
    <s v="Aurelia Works"/>
    <s v="Indianapolis"/>
    <s v=" Indiana"/>
  </r>
  <r>
    <n v="2500300"/>
    <x v="2"/>
    <x v="251"/>
    <x v="5"/>
    <n v="9"/>
    <n v="15.5"/>
    <x v="46"/>
    <s v="Nexora Labs"/>
    <s v="Chicago"/>
    <s v=" Illinois"/>
  </r>
  <r>
    <n v="2500301"/>
    <x v="7"/>
    <x v="252"/>
    <x v="4"/>
    <n v="10"/>
    <n v="25.5"/>
    <x v="18"/>
    <s v="Solvesta"/>
    <s v="Los Angeles"/>
    <s v=" California"/>
  </r>
  <r>
    <n v="2500302"/>
    <x v="0"/>
    <x v="253"/>
    <x v="5"/>
    <n v="8"/>
    <n v="15.5"/>
    <x v="44"/>
    <s v="Luminexa"/>
    <s v="Dallas"/>
    <s v=" Texas"/>
  </r>
  <r>
    <n v="2500303"/>
    <x v="8"/>
    <x v="254"/>
    <x v="2"/>
    <n v="5"/>
    <n v="36"/>
    <x v="4"/>
    <s v="Aurelia Works"/>
    <s v="Indianapolis"/>
    <s v=" Indiana"/>
  </r>
  <r>
    <n v="2500304"/>
    <x v="0"/>
    <x v="255"/>
    <x v="0"/>
    <n v="9"/>
    <n v="18.5"/>
    <x v="2"/>
    <s v="Solvesta"/>
    <s v="Los Angeles"/>
    <s v=" California"/>
  </r>
  <r>
    <n v="2500305"/>
    <x v="7"/>
    <x v="256"/>
    <x v="5"/>
    <n v="9"/>
    <n v="15.5"/>
    <x v="46"/>
    <s v="Bravora Group"/>
    <s v="New York City"/>
    <s v=" New York"/>
  </r>
  <r>
    <n v="2500306"/>
    <x v="9"/>
    <x v="257"/>
    <x v="0"/>
    <n v="1"/>
    <n v="18.5"/>
    <x v="30"/>
    <s v="Luminexa"/>
    <s v="Dallas"/>
    <s v=" Texas"/>
  </r>
  <r>
    <n v="2500307"/>
    <x v="2"/>
    <x v="258"/>
    <x v="4"/>
    <n v="2"/>
    <n v="25.5"/>
    <x v="9"/>
    <s v="Velora Solutions"/>
    <s v="Seattle"/>
    <s v=" Washington"/>
  </r>
  <r>
    <n v="2500308"/>
    <x v="6"/>
    <x v="259"/>
    <x v="2"/>
    <n v="3"/>
    <n v="36"/>
    <x v="14"/>
    <s v="Noventra"/>
    <s v="Miami"/>
    <s v=" Florida"/>
  </r>
  <r>
    <n v="2500309"/>
    <x v="3"/>
    <x v="260"/>
    <x v="5"/>
    <n v="5"/>
    <n v="15.5"/>
    <x v="25"/>
    <s v="Noventra"/>
    <s v="Miami"/>
    <s v=" Florida"/>
  </r>
  <r>
    <n v="2500310"/>
    <x v="7"/>
    <x v="261"/>
    <x v="3"/>
    <n v="8"/>
    <n v="48"/>
    <x v="22"/>
    <s v="Aurelia Works"/>
    <s v="Indianapolis"/>
    <s v=" Indiana"/>
  </r>
  <r>
    <n v="2500311"/>
    <x v="0"/>
    <x v="262"/>
    <x v="4"/>
    <n v="9"/>
    <n v="25.5"/>
    <x v="8"/>
    <s v="Velora Solutions"/>
    <s v="Seattle"/>
    <s v=" Washington"/>
  </r>
  <r>
    <n v="2500312"/>
    <x v="6"/>
    <x v="263"/>
    <x v="4"/>
    <n v="10"/>
    <n v="25.5"/>
    <x v="18"/>
    <s v="Velora Solutions"/>
    <s v="Seattle"/>
    <s v=" Washington"/>
  </r>
  <r>
    <n v="2500313"/>
    <x v="2"/>
    <x v="264"/>
    <x v="2"/>
    <n v="5"/>
    <n v="36"/>
    <x v="4"/>
    <s v="Nexora Labs"/>
    <s v="Chicago"/>
    <s v=" Illinois"/>
  </r>
  <r>
    <n v="2500314"/>
    <x v="4"/>
    <x v="265"/>
    <x v="2"/>
    <n v="6"/>
    <n v="36"/>
    <x v="29"/>
    <s v="Luminexa"/>
    <s v="Dallas"/>
    <s v=" Texas"/>
  </r>
  <r>
    <n v="2500315"/>
    <x v="3"/>
    <x v="266"/>
    <x v="2"/>
    <n v="6"/>
    <n v="36"/>
    <x v="29"/>
    <s v="Noventra"/>
    <s v="Miami"/>
    <s v=" Florida"/>
  </r>
  <r>
    <n v="2500316"/>
    <x v="9"/>
    <x v="267"/>
    <x v="2"/>
    <n v="10"/>
    <n v="36"/>
    <x v="51"/>
    <s v="Nexora Labs"/>
    <s v="Chicago"/>
    <s v=" Illinois"/>
  </r>
  <r>
    <n v="2500317"/>
    <x v="5"/>
    <x v="268"/>
    <x v="2"/>
    <n v="3"/>
    <n v="36"/>
    <x v="14"/>
    <s v="Luminexa"/>
    <s v="Dallas"/>
    <s v=" Texas"/>
  </r>
  <r>
    <n v="2500318"/>
    <x v="1"/>
    <x v="269"/>
    <x v="2"/>
    <n v="9"/>
    <n v="36"/>
    <x v="32"/>
    <s v="Luminexa"/>
    <s v="Dallas"/>
    <s v=" Texas"/>
  </r>
  <r>
    <n v="2500319"/>
    <x v="1"/>
    <x v="270"/>
    <x v="3"/>
    <n v="7"/>
    <n v="48"/>
    <x v="37"/>
    <s v="Luminexa"/>
    <s v="Dallas"/>
    <s v=" Texas"/>
  </r>
  <r>
    <n v="2500320"/>
    <x v="8"/>
    <x v="271"/>
    <x v="3"/>
    <n v="9"/>
    <n v="48"/>
    <x v="34"/>
    <s v="Noventra"/>
    <s v="Miami"/>
    <s v=" Florida"/>
  </r>
  <r>
    <n v="2500321"/>
    <x v="7"/>
    <x v="272"/>
    <x v="2"/>
    <n v="10"/>
    <n v="36"/>
    <x v="51"/>
    <s v="Noventra"/>
    <s v="Miami"/>
    <s v=" Florida"/>
  </r>
  <r>
    <n v="2500322"/>
    <x v="0"/>
    <x v="273"/>
    <x v="4"/>
    <n v="8"/>
    <n v="25.5"/>
    <x v="39"/>
    <s v="Luminexa"/>
    <s v="Dallas"/>
    <s v=" Texas"/>
  </r>
  <r>
    <n v="2500323"/>
    <x v="1"/>
    <x v="274"/>
    <x v="2"/>
    <n v="4"/>
    <n v="36"/>
    <x v="15"/>
    <s v="Vivanta Co."/>
    <s v="Houston"/>
    <s v=" Texas"/>
  </r>
  <r>
    <n v="2500324"/>
    <x v="6"/>
    <x v="275"/>
    <x v="3"/>
    <n v="3"/>
    <n v="48"/>
    <x v="15"/>
    <s v="Noventra"/>
    <s v="Miami"/>
    <s v=" Florida"/>
  </r>
  <r>
    <n v="2500325"/>
    <x v="7"/>
    <x v="276"/>
    <x v="0"/>
    <n v="2"/>
    <n v="18.5"/>
    <x v="41"/>
    <s v="Solvesta"/>
    <s v="Los Angeles"/>
    <s v=" California"/>
  </r>
  <r>
    <n v="2500326"/>
    <x v="0"/>
    <x v="277"/>
    <x v="4"/>
    <n v="6"/>
    <n v="25.5"/>
    <x v="28"/>
    <s v="Luminexa"/>
    <s v="Dallas"/>
    <s v=" Texas"/>
  </r>
  <r>
    <n v="2500327"/>
    <x v="7"/>
    <x v="278"/>
    <x v="5"/>
    <n v="3"/>
    <n v="15.5"/>
    <x v="24"/>
    <s v="Aurelia Works"/>
    <s v="Indianapolis"/>
    <s v=" Indiana"/>
  </r>
  <r>
    <n v="2500328"/>
    <x v="9"/>
    <x v="279"/>
    <x v="3"/>
    <n v="1"/>
    <n v="48"/>
    <x v="31"/>
    <s v="Noventra"/>
    <s v="Miami"/>
    <s v=" Florida"/>
  </r>
  <r>
    <n v="2500329"/>
    <x v="0"/>
    <x v="280"/>
    <x v="1"/>
    <n v="10"/>
    <n v="32"/>
    <x v="1"/>
    <s v="Vivanta Co."/>
    <s v="Houston"/>
    <s v=" Texas"/>
  </r>
  <r>
    <n v="2500330"/>
    <x v="2"/>
    <x v="281"/>
    <x v="4"/>
    <n v="9"/>
    <n v="25.5"/>
    <x v="8"/>
    <s v="Vivanta Co."/>
    <s v="Houston"/>
    <s v=" Texas"/>
  </r>
  <r>
    <n v="2500331"/>
    <x v="9"/>
    <x v="282"/>
    <x v="1"/>
    <n v="5"/>
    <n v="32"/>
    <x v="47"/>
    <s v="Aurelia Works"/>
    <s v="Indianapolis"/>
    <s v=" Indiana"/>
  </r>
  <r>
    <n v="2500332"/>
    <x v="7"/>
    <x v="283"/>
    <x v="5"/>
    <n v="8"/>
    <n v="15.5"/>
    <x v="44"/>
    <s v="Vivanta Co."/>
    <s v="Houston"/>
    <s v=" Texas"/>
  </r>
  <r>
    <n v="2500333"/>
    <x v="6"/>
    <x v="284"/>
    <x v="0"/>
    <n v="4"/>
    <n v="18.5"/>
    <x v="0"/>
    <s v="Solvesta"/>
    <s v="Los Angeles"/>
    <s v=" California"/>
  </r>
  <r>
    <n v="2500334"/>
    <x v="4"/>
    <x v="285"/>
    <x v="1"/>
    <n v="4"/>
    <n v="32"/>
    <x v="26"/>
    <s v="Noventra"/>
    <s v="Miami"/>
    <s v=" Florida"/>
  </r>
  <r>
    <n v="2500335"/>
    <x v="8"/>
    <x v="286"/>
    <x v="1"/>
    <n v="1"/>
    <n v="32"/>
    <x v="6"/>
    <s v="Luminexa"/>
    <s v="Dallas"/>
    <s v=" Texas"/>
  </r>
  <r>
    <n v="2500336"/>
    <x v="7"/>
    <x v="287"/>
    <x v="3"/>
    <n v="9"/>
    <n v="48"/>
    <x v="34"/>
    <s v="Luminexa"/>
    <s v="Dallas"/>
    <s v=" Texas"/>
  </r>
  <r>
    <n v="2500337"/>
    <x v="1"/>
    <x v="288"/>
    <x v="5"/>
    <n v="1"/>
    <n v="15.5"/>
    <x v="40"/>
    <s v="Vivanta Co."/>
    <s v="Houston"/>
    <s v=" Texas"/>
  </r>
  <r>
    <n v="2500338"/>
    <x v="1"/>
    <x v="289"/>
    <x v="0"/>
    <n v="5"/>
    <n v="18.5"/>
    <x v="36"/>
    <s v="Noventra"/>
    <s v="Miami"/>
    <s v=" Florida"/>
  </r>
  <r>
    <n v="2500339"/>
    <x v="4"/>
    <x v="290"/>
    <x v="1"/>
    <n v="10"/>
    <n v="32"/>
    <x v="1"/>
    <s v="Bravora Group"/>
    <s v="New York City"/>
    <s v=" New York"/>
  </r>
  <r>
    <n v="2500340"/>
    <x v="5"/>
    <x v="291"/>
    <x v="2"/>
    <n v="7"/>
    <n v="36"/>
    <x v="19"/>
    <s v="Noventra"/>
    <s v="Miami"/>
    <s v=" Florida"/>
  </r>
  <r>
    <n v="2500341"/>
    <x v="6"/>
    <x v="292"/>
    <x v="2"/>
    <n v="9"/>
    <n v="36"/>
    <x v="32"/>
    <s v="Aurelia Works"/>
    <s v="Indianapolis"/>
    <s v=" Indiana"/>
  </r>
  <r>
    <n v="2500342"/>
    <x v="4"/>
    <x v="293"/>
    <x v="1"/>
    <n v="5"/>
    <n v="32"/>
    <x v="47"/>
    <s v="Luminexa"/>
    <s v="Dallas"/>
    <s v=" Texas"/>
  </r>
  <r>
    <n v="2500343"/>
    <x v="7"/>
    <x v="294"/>
    <x v="0"/>
    <n v="1"/>
    <n v="18.5"/>
    <x v="30"/>
    <s v="Velora Solutions"/>
    <s v="Seattle"/>
    <s v=" Washington"/>
  </r>
  <r>
    <n v="2500344"/>
    <x v="9"/>
    <x v="295"/>
    <x v="3"/>
    <n v="7"/>
    <n v="48"/>
    <x v="37"/>
    <s v="Solvesta"/>
    <s v="Los Angeles"/>
    <s v=" California"/>
  </r>
  <r>
    <n v="2500345"/>
    <x v="6"/>
    <x v="296"/>
    <x v="1"/>
    <n v="10"/>
    <n v="32"/>
    <x v="1"/>
    <s v="Noventra"/>
    <s v="Miami"/>
    <s v=" Florida"/>
  </r>
  <r>
    <n v="2500346"/>
    <x v="1"/>
    <x v="297"/>
    <x v="4"/>
    <n v="1"/>
    <n v="25.5"/>
    <x v="17"/>
    <s v="Luminexa"/>
    <s v="Dallas"/>
    <s v=" Texas"/>
  </r>
  <r>
    <n v="2500347"/>
    <x v="1"/>
    <x v="298"/>
    <x v="3"/>
    <n v="2"/>
    <n v="48"/>
    <x v="7"/>
    <s v="Velora Solutions"/>
    <s v="Seattle"/>
    <s v=" Washington"/>
  </r>
  <r>
    <n v="2500348"/>
    <x v="9"/>
    <x v="299"/>
    <x v="4"/>
    <n v="2"/>
    <n v="25.5"/>
    <x v="9"/>
    <s v="Nexora Labs"/>
    <s v="Chicago"/>
    <s v=" Illinois"/>
  </r>
  <r>
    <n v="2500349"/>
    <x v="2"/>
    <x v="300"/>
    <x v="0"/>
    <n v="2"/>
    <n v="18.5"/>
    <x v="41"/>
    <s v="Bravora Group"/>
    <s v="New York City"/>
    <s v=" New York"/>
  </r>
  <r>
    <n v="2500350"/>
    <x v="8"/>
    <x v="301"/>
    <x v="0"/>
    <n v="1"/>
    <n v="18.5"/>
    <x v="30"/>
    <s v="Nexora Labs"/>
    <s v="Chicago"/>
    <s v=" Illinois"/>
  </r>
  <r>
    <n v="2500351"/>
    <x v="6"/>
    <x v="302"/>
    <x v="1"/>
    <n v="9"/>
    <n v="32"/>
    <x v="11"/>
    <s v="Bravora Group"/>
    <s v="New York City"/>
    <s v=" New York"/>
  </r>
  <r>
    <n v="2500352"/>
    <x v="2"/>
    <x v="303"/>
    <x v="2"/>
    <n v="1"/>
    <n v="36"/>
    <x v="45"/>
    <s v="Solvesta"/>
    <s v="Los Angeles"/>
    <s v=" California"/>
  </r>
  <r>
    <n v="2500353"/>
    <x v="0"/>
    <x v="304"/>
    <x v="4"/>
    <n v="10"/>
    <n v="25.5"/>
    <x v="18"/>
    <s v="Nexora Labs"/>
    <s v="Chicago"/>
    <s v=" Illinois"/>
  </r>
  <r>
    <n v="2500354"/>
    <x v="7"/>
    <x v="305"/>
    <x v="5"/>
    <n v="4"/>
    <n v="15.5"/>
    <x v="54"/>
    <s v="Aurelia Works"/>
    <s v="Indianapolis"/>
    <s v=" Indiana"/>
  </r>
  <r>
    <n v="2500355"/>
    <x v="9"/>
    <x v="306"/>
    <x v="4"/>
    <n v="6"/>
    <n v="25.5"/>
    <x v="28"/>
    <s v="Solvesta"/>
    <s v="Los Angeles"/>
    <s v=" California"/>
  </r>
  <r>
    <n v="2500356"/>
    <x v="2"/>
    <x v="307"/>
    <x v="3"/>
    <n v="1"/>
    <n v="48"/>
    <x v="31"/>
    <s v="Luminexa"/>
    <s v="Dallas"/>
    <s v=" Texas"/>
  </r>
  <r>
    <n v="2500357"/>
    <x v="5"/>
    <x v="308"/>
    <x v="3"/>
    <n v="1"/>
    <n v="48"/>
    <x v="31"/>
    <s v="Nexora Labs"/>
    <s v="Chicago"/>
    <s v=" Illinois"/>
  </r>
  <r>
    <n v="2500358"/>
    <x v="1"/>
    <x v="309"/>
    <x v="4"/>
    <n v="1"/>
    <n v="25.5"/>
    <x v="17"/>
    <s v="Solvesta"/>
    <s v="Los Angeles"/>
    <s v=" California"/>
  </r>
  <r>
    <n v="2500359"/>
    <x v="5"/>
    <x v="310"/>
    <x v="5"/>
    <n v="2"/>
    <n v="15.5"/>
    <x v="20"/>
    <s v="Nexora Labs"/>
    <s v="Chicago"/>
    <s v=" Illinois"/>
  </r>
  <r>
    <n v="2500360"/>
    <x v="5"/>
    <x v="311"/>
    <x v="2"/>
    <n v="8"/>
    <n v="36"/>
    <x v="11"/>
    <s v="Luminexa"/>
    <s v="Dallas"/>
    <s v=" Texas"/>
  </r>
  <r>
    <n v="2500361"/>
    <x v="7"/>
    <x v="312"/>
    <x v="5"/>
    <n v="5"/>
    <n v="15.5"/>
    <x v="25"/>
    <s v="Noventra"/>
    <s v="Miami"/>
    <s v=" Florida"/>
  </r>
  <r>
    <n v="2500362"/>
    <x v="0"/>
    <x v="313"/>
    <x v="0"/>
    <n v="6"/>
    <n v="18.5"/>
    <x v="38"/>
    <s v="Solvesta"/>
    <s v="Los Angeles"/>
    <s v=" California"/>
  </r>
  <r>
    <n v="2500363"/>
    <x v="5"/>
    <x v="314"/>
    <x v="1"/>
    <n v="6"/>
    <n v="32"/>
    <x v="5"/>
    <s v="Velora Solutions"/>
    <s v="Seattle"/>
    <s v=" Washington"/>
  </r>
  <r>
    <n v="2500364"/>
    <x v="1"/>
    <x v="315"/>
    <x v="5"/>
    <n v="9"/>
    <n v="15.5"/>
    <x v="46"/>
    <s v="Aurelia Works"/>
    <s v="Indianapolis"/>
    <s v=" Indiana"/>
  </r>
  <r>
    <n v="2500365"/>
    <x v="1"/>
    <x v="316"/>
    <x v="3"/>
    <n v="10"/>
    <n v="48"/>
    <x v="49"/>
    <s v="Vivanta Co."/>
    <s v="Houston"/>
    <s v=" Texas"/>
  </r>
  <r>
    <n v="2500366"/>
    <x v="6"/>
    <x v="317"/>
    <x v="4"/>
    <n v="6"/>
    <n v="25.5"/>
    <x v="28"/>
    <s v="Noventra"/>
    <s v="Miami"/>
    <s v=" Florida"/>
  </r>
  <r>
    <n v="2500367"/>
    <x v="6"/>
    <x v="318"/>
    <x v="0"/>
    <n v="7"/>
    <n v="18.5"/>
    <x v="10"/>
    <s v="Noventra"/>
    <s v="Miami"/>
    <s v=" Florida"/>
  </r>
  <r>
    <n v="2500368"/>
    <x v="4"/>
    <x v="319"/>
    <x v="5"/>
    <n v="3"/>
    <n v="15.5"/>
    <x v="24"/>
    <s v="Solvesta"/>
    <s v="Los Angeles"/>
    <s v=" California"/>
  </r>
  <r>
    <n v="2500369"/>
    <x v="3"/>
    <x v="320"/>
    <x v="5"/>
    <n v="1"/>
    <n v="15.5"/>
    <x v="40"/>
    <s v="Noventra"/>
    <s v="Miami"/>
    <s v=" Florida"/>
  </r>
  <r>
    <n v="2500370"/>
    <x v="3"/>
    <x v="321"/>
    <x v="5"/>
    <n v="2"/>
    <n v="15.5"/>
    <x v="20"/>
    <s v="Noventra"/>
    <s v="Miami"/>
    <s v=" Florida"/>
  </r>
  <r>
    <n v="2500371"/>
    <x v="3"/>
    <x v="322"/>
    <x v="5"/>
    <n v="1"/>
    <n v="15.5"/>
    <x v="40"/>
    <s v="Velora Solutions"/>
    <s v="Seattle"/>
    <s v=" Washington"/>
  </r>
  <r>
    <n v="2500372"/>
    <x v="1"/>
    <x v="323"/>
    <x v="1"/>
    <n v="9"/>
    <n v="32"/>
    <x v="11"/>
    <s v="Noventra"/>
    <s v="Miami"/>
    <s v=" Florida"/>
  </r>
  <r>
    <n v="2500373"/>
    <x v="5"/>
    <x v="324"/>
    <x v="4"/>
    <n v="3"/>
    <n v="25.5"/>
    <x v="53"/>
    <s v="Solvesta"/>
    <s v="Los Angeles"/>
    <s v=" California"/>
  </r>
  <r>
    <n v="2500374"/>
    <x v="7"/>
    <x v="325"/>
    <x v="4"/>
    <n v="4"/>
    <n v="25.5"/>
    <x v="33"/>
    <s v="Aurelia Works"/>
    <s v="Indianapolis"/>
    <s v=" Indiana"/>
  </r>
  <r>
    <n v="2500375"/>
    <x v="9"/>
    <x v="326"/>
    <x v="1"/>
    <n v="8"/>
    <n v="32"/>
    <x v="23"/>
    <s v="Bravora Group"/>
    <s v="New York City"/>
    <s v=" New York"/>
  </r>
  <r>
    <n v="2500376"/>
    <x v="8"/>
    <x v="327"/>
    <x v="0"/>
    <n v="9"/>
    <n v="18.5"/>
    <x v="2"/>
    <s v="Solvesta"/>
    <s v="Los Angeles"/>
    <s v=" California"/>
  </r>
  <r>
    <n v="2500377"/>
    <x v="0"/>
    <x v="328"/>
    <x v="5"/>
    <n v="4"/>
    <n v="15.5"/>
    <x v="54"/>
    <s v="Aurelia Works"/>
    <s v="Indianapolis"/>
    <s v=" Indiana"/>
  </r>
  <r>
    <n v="2500378"/>
    <x v="1"/>
    <x v="329"/>
    <x v="2"/>
    <n v="1"/>
    <n v="36"/>
    <x v="45"/>
    <s v="Aurelia Works"/>
    <s v="Indianapolis"/>
    <s v=" Indiana"/>
  </r>
  <r>
    <n v="2500379"/>
    <x v="4"/>
    <x v="330"/>
    <x v="3"/>
    <n v="9"/>
    <n v="48"/>
    <x v="34"/>
    <s v="Aurelia Works"/>
    <s v="Indianapolis"/>
    <s v=" Indiana"/>
  </r>
  <r>
    <n v="2500380"/>
    <x v="6"/>
    <x v="331"/>
    <x v="4"/>
    <n v="3"/>
    <n v="25.5"/>
    <x v="53"/>
    <s v="Velora Solutions"/>
    <s v="Seattle"/>
    <s v=" Washington"/>
  </r>
  <r>
    <n v="2500381"/>
    <x v="4"/>
    <x v="332"/>
    <x v="3"/>
    <n v="10"/>
    <n v="48"/>
    <x v="49"/>
    <s v="Solvesta"/>
    <s v="Los Angeles"/>
    <s v=" California"/>
  </r>
  <r>
    <n v="2500382"/>
    <x v="6"/>
    <x v="333"/>
    <x v="0"/>
    <n v="6"/>
    <n v="18.5"/>
    <x v="38"/>
    <s v="Vivanta Co."/>
    <s v="Houston"/>
    <s v=" Texas"/>
  </r>
  <r>
    <n v="2500383"/>
    <x v="4"/>
    <x v="334"/>
    <x v="2"/>
    <n v="2"/>
    <n v="36"/>
    <x v="13"/>
    <s v="Nexora Labs"/>
    <s v="Chicago"/>
    <s v=" Illinois"/>
  </r>
  <r>
    <n v="2500384"/>
    <x v="5"/>
    <x v="335"/>
    <x v="4"/>
    <n v="10"/>
    <n v="25.5"/>
    <x v="18"/>
    <s v="Bravora Group"/>
    <s v="New York City"/>
    <s v=" New York"/>
  </r>
  <r>
    <n v="2500385"/>
    <x v="6"/>
    <x v="336"/>
    <x v="1"/>
    <n v="4"/>
    <n v="32"/>
    <x v="26"/>
    <s v="Solvesta"/>
    <s v="Los Angeles"/>
    <s v=" California"/>
  </r>
  <r>
    <n v="2500386"/>
    <x v="7"/>
    <x v="337"/>
    <x v="5"/>
    <n v="2"/>
    <n v="15.5"/>
    <x v="20"/>
    <s v="Aurelia Works"/>
    <s v="Indianapolis"/>
    <s v=" Indiana"/>
  </r>
  <r>
    <n v="2500387"/>
    <x v="9"/>
    <x v="338"/>
    <x v="2"/>
    <n v="9"/>
    <n v="36"/>
    <x v="32"/>
    <s v="Nexora Labs"/>
    <s v="Chicago"/>
    <s v=" Illinois"/>
  </r>
  <r>
    <n v="2500388"/>
    <x v="8"/>
    <x v="339"/>
    <x v="2"/>
    <n v="4"/>
    <n v="36"/>
    <x v="15"/>
    <s v="Bravora Group"/>
    <s v="New York City"/>
    <s v=" New York"/>
  </r>
  <r>
    <n v="2500389"/>
    <x v="7"/>
    <x v="340"/>
    <x v="4"/>
    <n v="10"/>
    <n v="25.5"/>
    <x v="18"/>
    <s v="Nexora Labs"/>
    <s v="Chicago"/>
    <s v=" Illinois"/>
  </r>
  <r>
    <n v="2500390"/>
    <x v="2"/>
    <x v="341"/>
    <x v="0"/>
    <n v="5"/>
    <n v="18.5"/>
    <x v="36"/>
    <s v="Solvesta"/>
    <s v="Los Angeles"/>
    <s v=" California"/>
  </r>
  <r>
    <n v="2500391"/>
    <x v="6"/>
    <x v="342"/>
    <x v="1"/>
    <n v="4"/>
    <n v="32"/>
    <x v="26"/>
    <s v="Bravora Group"/>
    <s v="New York City"/>
    <s v=" New York"/>
  </r>
  <r>
    <n v="2500392"/>
    <x v="1"/>
    <x v="343"/>
    <x v="1"/>
    <n v="2"/>
    <n v="32"/>
    <x v="3"/>
    <s v="Vivanta Co."/>
    <s v="Houston"/>
    <s v=" Texas"/>
  </r>
  <r>
    <n v="2500393"/>
    <x v="6"/>
    <x v="344"/>
    <x v="1"/>
    <n v="2"/>
    <n v="32"/>
    <x v="3"/>
    <s v="Solvesta"/>
    <s v="Los Angeles"/>
    <s v=" California"/>
  </r>
  <r>
    <n v="2500394"/>
    <x v="6"/>
    <x v="345"/>
    <x v="2"/>
    <n v="7"/>
    <n v="36"/>
    <x v="19"/>
    <s v="Luminexa"/>
    <s v="Dallas"/>
    <s v=" Texas"/>
  </r>
  <r>
    <n v="2500395"/>
    <x v="3"/>
    <x v="346"/>
    <x v="3"/>
    <n v="4"/>
    <n v="48"/>
    <x v="5"/>
    <s v="Vivanta Co."/>
    <s v="Houston"/>
    <s v=" Texas"/>
  </r>
  <r>
    <n v="2500396"/>
    <x v="0"/>
    <x v="347"/>
    <x v="1"/>
    <n v="5"/>
    <n v="32"/>
    <x v="47"/>
    <s v="Noventra"/>
    <s v="Miami"/>
    <s v=" Florida"/>
  </r>
  <r>
    <n v="2500397"/>
    <x v="4"/>
    <x v="348"/>
    <x v="3"/>
    <n v="8"/>
    <n v="48"/>
    <x v="22"/>
    <s v="Bravora Group"/>
    <s v="New York City"/>
    <s v=" New York"/>
  </r>
  <r>
    <n v="2500398"/>
    <x v="4"/>
    <x v="349"/>
    <x v="2"/>
    <n v="2"/>
    <n v="36"/>
    <x v="13"/>
    <s v="Vivanta Co."/>
    <s v="Houston"/>
    <s v=" Texas"/>
  </r>
  <r>
    <n v="2500399"/>
    <x v="4"/>
    <x v="350"/>
    <x v="3"/>
    <n v="2"/>
    <n v="48"/>
    <x v="7"/>
    <s v="Vivanta Co."/>
    <s v="Houston"/>
    <s v=" Texas"/>
  </r>
  <r>
    <n v="2500400"/>
    <x v="7"/>
    <x v="351"/>
    <x v="0"/>
    <n v="5"/>
    <n v="18.5"/>
    <x v="36"/>
    <s v="Luminexa"/>
    <s v="Dallas"/>
    <s v=" Texas"/>
  </r>
  <r>
    <n v="2500401"/>
    <x v="7"/>
    <x v="352"/>
    <x v="5"/>
    <n v="1"/>
    <n v="15.5"/>
    <x v="40"/>
    <s v="Velora Solutions"/>
    <s v="Seattle"/>
    <s v=" Washington"/>
  </r>
  <r>
    <n v="2500402"/>
    <x v="0"/>
    <x v="353"/>
    <x v="4"/>
    <n v="7"/>
    <n v="25.5"/>
    <x v="21"/>
    <s v="Vivanta Co."/>
    <s v="Houston"/>
    <s v=" Texas"/>
  </r>
  <r>
    <n v="2500403"/>
    <x v="2"/>
    <x v="354"/>
    <x v="3"/>
    <n v="2"/>
    <n v="48"/>
    <x v="7"/>
    <s v="Solvesta"/>
    <s v="Los Angeles"/>
    <s v=" California"/>
  </r>
  <r>
    <n v="2500404"/>
    <x v="8"/>
    <x v="355"/>
    <x v="0"/>
    <n v="8"/>
    <n v="18.5"/>
    <x v="50"/>
    <s v="Solvesta"/>
    <s v="Los Angeles"/>
    <s v=" California"/>
  </r>
  <r>
    <n v="2500405"/>
    <x v="5"/>
    <x v="356"/>
    <x v="1"/>
    <n v="1"/>
    <n v="32"/>
    <x v="6"/>
    <s v="Solvesta"/>
    <s v="Los Angeles"/>
    <s v=" California"/>
  </r>
  <r>
    <n v="2500406"/>
    <x v="2"/>
    <x v="357"/>
    <x v="4"/>
    <n v="1"/>
    <n v="25.5"/>
    <x v="17"/>
    <s v="Velora Solutions"/>
    <s v="Seattle"/>
    <s v=" Washington"/>
  </r>
  <r>
    <n v="2500407"/>
    <x v="7"/>
    <x v="358"/>
    <x v="0"/>
    <n v="4"/>
    <n v="18.5"/>
    <x v="0"/>
    <s v="Luminexa"/>
    <s v="Dallas"/>
    <s v=" Texas"/>
  </r>
  <r>
    <n v="2500408"/>
    <x v="0"/>
    <x v="359"/>
    <x v="4"/>
    <n v="8"/>
    <n v="25.5"/>
    <x v="39"/>
    <s v="Noventra"/>
    <s v="Miami"/>
    <s v=" Florida"/>
  </r>
  <r>
    <n v="2500409"/>
    <x v="9"/>
    <x v="360"/>
    <x v="0"/>
    <n v="10"/>
    <n v="18.5"/>
    <x v="27"/>
    <s v="Vivanta Co."/>
    <s v="Houston"/>
    <s v=" Texas"/>
  </r>
  <r>
    <n v="2500410"/>
    <x v="6"/>
    <x v="361"/>
    <x v="3"/>
    <n v="1"/>
    <n v="48"/>
    <x v="31"/>
    <s v="Velora Solutions"/>
    <s v="Seattle"/>
    <s v=" Washington"/>
  </r>
  <r>
    <n v="2500411"/>
    <x v="6"/>
    <x v="362"/>
    <x v="3"/>
    <n v="10"/>
    <n v="48"/>
    <x v="49"/>
    <s v="Solvesta"/>
    <s v="Los Angeles"/>
    <s v=" California"/>
  </r>
  <r>
    <n v="2500412"/>
    <x v="1"/>
    <x v="363"/>
    <x v="2"/>
    <n v="3"/>
    <n v="36"/>
    <x v="14"/>
    <s v="Solvesta"/>
    <s v="Los Angeles"/>
    <s v=" California"/>
  </r>
  <r>
    <n v="2500413"/>
    <x v="4"/>
    <x v="364"/>
    <x v="4"/>
    <n v="7"/>
    <n v="25.5"/>
    <x v="21"/>
    <s v="Solvesta"/>
    <s v="Los Angeles"/>
    <s v=" California"/>
  </r>
  <r>
    <n v="2500414"/>
    <x v="0"/>
    <x v="365"/>
    <x v="1"/>
    <n v="3"/>
    <n v="32"/>
    <x v="7"/>
    <s v="Solvesta"/>
    <s v="Los Angeles"/>
    <s v=" California"/>
  </r>
  <r>
    <n v="2500415"/>
    <x v="4"/>
    <x v="366"/>
    <x v="2"/>
    <n v="5"/>
    <n v="36"/>
    <x v="4"/>
    <s v="Velora Solutions"/>
    <s v="Seattle"/>
    <s v=" Washington"/>
  </r>
  <r>
    <n v="2500416"/>
    <x v="4"/>
    <x v="367"/>
    <x v="5"/>
    <n v="5"/>
    <n v="15.5"/>
    <x v="25"/>
    <s v="Nexora Labs"/>
    <s v="Chicago"/>
    <s v=" Illinois"/>
  </r>
  <r>
    <n v="2500417"/>
    <x v="8"/>
    <x v="368"/>
    <x v="4"/>
    <n v="4"/>
    <n v="25.5"/>
    <x v="33"/>
    <s v="Aurelia Works"/>
    <s v="Indianapolis"/>
    <s v=" Indiana"/>
  </r>
  <r>
    <n v="2500418"/>
    <x v="0"/>
    <x v="369"/>
    <x v="5"/>
    <n v="5"/>
    <n v="15.5"/>
    <x v="25"/>
    <s v="Luminexa"/>
    <s v="Dallas"/>
    <s v=" Texas"/>
  </r>
  <r>
    <n v="2500419"/>
    <x v="2"/>
    <x v="370"/>
    <x v="4"/>
    <n v="9"/>
    <n v="25.5"/>
    <x v="8"/>
    <s v="Luminexa"/>
    <s v="Dallas"/>
    <s v=" Texas"/>
  </r>
  <r>
    <n v="2500420"/>
    <x v="6"/>
    <x v="371"/>
    <x v="1"/>
    <n v="5"/>
    <n v="32"/>
    <x v="47"/>
    <s v="Solvesta"/>
    <s v="Los Angeles"/>
    <s v=" California"/>
  </r>
  <r>
    <n v="2500421"/>
    <x v="6"/>
    <x v="372"/>
    <x v="3"/>
    <n v="9"/>
    <n v="48"/>
    <x v="34"/>
    <s v="Noventra"/>
    <s v="Miami"/>
    <s v=" Florida"/>
  </r>
  <r>
    <n v="2500422"/>
    <x v="7"/>
    <x v="373"/>
    <x v="0"/>
    <n v="6"/>
    <n v="18.5"/>
    <x v="38"/>
    <s v="Vivanta Co."/>
    <s v="Houston"/>
    <s v=" Texas"/>
  </r>
  <r>
    <n v="2500423"/>
    <x v="9"/>
    <x v="374"/>
    <x v="0"/>
    <n v="5"/>
    <n v="18.5"/>
    <x v="36"/>
    <s v="Solvesta"/>
    <s v="Los Angeles"/>
    <s v=" California"/>
  </r>
  <r>
    <n v="2500424"/>
    <x v="3"/>
    <x v="375"/>
    <x v="3"/>
    <n v="1"/>
    <n v="48"/>
    <x v="31"/>
    <s v="Velora Solutions"/>
    <s v="Seattle"/>
    <s v=" Washington"/>
  </r>
  <r>
    <n v="2500425"/>
    <x v="8"/>
    <x v="376"/>
    <x v="0"/>
    <n v="2"/>
    <n v="18.5"/>
    <x v="41"/>
    <s v="Velora Solutions"/>
    <s v="Seattle"/>
    <s v=" Washington"/>
  </r>
  <r>
    <n v="2500426"/>
    <x v="4"/>
    <x v="377"/>
    <x v="1"/>
    <n v="5"/>
    <n v="32"/>
    <x v="47"/>
    <s v="Luminexa"/>
    <s v="Dallas"/>
    <s v=" Texas"/>
  </r>
  <r>
    <n v="2500427"/>
    <x v="9"/>
    <x v="378"/>
    <x v="1"/>
    <n v="5"/>
    <n v="32"/>
    <x v="47"/>
    <s v="Luminexa"/>
    <s v="Dallas"/>
    <s v=" Texas"/>
  </r>
  <r>
    <n v="2500428"/>
    <x v="0"/>
    <x v="379"/>
    <x v="0"/>
    <n v="9"/>
    <n v="18.5"/>
    <x v="2"/>
    <s v="Luminexa"/>
    <s v="Dallas"/>
    <s v=" Texas"/>
  </r>
  <r>
    <n v="2500429"/>
    <x v="6"/>
    <x v="380"/>
    <x v="5"/>
    <n v="7"/>
    <n v="15.5"/>
    <x v="48"/>
    <s v="Bravora Group"/>
    <s v="New York City"/>
    <s v=" New York"/>
  </r>
  <r>
    <n v="2500430"/>
    <x v="5"/>
    <x v="381"/>
    <x v="4"/>
    <n v="9"/>
    <n v="25.5"/>
    <x v="8"/>
    <s v="Aurelia Works"/>
    <s v="Indianapolis"/>
    <s v=" Indiana"/>
  </r>
  <r>
    <n v="2500431"/>
    <x v="8"/>
    <x v="382"/>
    <x v="4"/>
    <n v="3"/>
    <n v="25.5"/>
    <x v="53"/>
    <s v="Nexora Labs"/>
    <s v="Chicago"/>
    <s v=" Illinois"/>
  </r>
  <r>
    <n v="2500432"/>
    <x v="8"/>
    <x v="383"/>
    <x v="4"/>
    <n v="9"/>
    <n v="25.5"/>
    <x v="8"/>
    <s v="Aurelia Works"/>
    <s v="Indianapolis"/>
    <s v=" Indiana"/>
  </r>
  <r>
    <n v="2500433"/>
    <x v="4"/>
    <x v="384"/>
    <x v="1"/>
    <n v="1"/>
    <n v="32"/>
    <x v="6"/>
    <s v="Luminexa"/>
    <s v="Dallas"/>
    <s v=" Texas"/>
  </r>
  <r>
    <n v="2500434"/>
    <x v="1"/>
    <x v="385"/>
    <x v="2"/>
    <n v="3"/>
    <n v="36"/>
    <x v="14"/>
    <s v="Aurelia Works"/>
    <s v="Indianapolis"/>
    <s v=" Indiana"/>
  </r>
  <r>
    <n v="2500435"/>
    <x v="6"/>
    <x v="386"/>
    <x v="0"/>
    <n v="7"/>
    <n v="18.5"/>
    <x v="10"/>
    <s v="Bravora Group"/>
    <s v="New York City"/>
    <s v=" New York"/>
  </r>
  <r>
    <n v="2500436"/>
    <x v="2"/>
    <x v="387"/>
    <x v="3"/>
    <n v="1"/>
    <n v="48"/>
    <x v="31"/>
    <s v="Bravora Group"/>
    <s v="New York City"/>
    <s v=" New York"/>
  </r>
  <r>
    <n v="2500437"/>
    <x v="4"/>
    <x v="388"/>
    <x v="2"/>
    <n v="8"/>
    <n v="36"/>
    <x v="11"/>
    <s v="Noventra"/>
    <s v="Miami"/>
    <s v=" Florida"/>
  </r>
  <r>
    <n v="2500438"/>
    <x v="2"/>
    <x v="389"/>
    <x v="4"/>
    <n v="5"/>
    <n v="25.5"/>
    <x v="52"/>
    <s v="Vivanta Co."/>
    <s v="Houston"/>
    <s v=" Texas"/>
  </r>
  <r>
    <n v="2500439"/>
    <x v="2"/>
    <x v="390"/>
    <x v="3"/>
    <n v="4"/>
    <n v="48"/>
    <x v="5"/>
    <s v="Nexora Labs"/>
    <s v="Chicago"/>
    <s v=" Illinois"/>
  </r>
  <r>
    <n v="2500440"/>
    <x v="2"/>
    <x v="391"/>
    <x v="2"/>
    <n v="7"/>
    <n v="36"/>
    <x v="19"/>
    <s v="Bravora Group"/>
    <s v="New York City"/>
    <s v=" New York"/>
  </r>
  <r>
    <n v="2500441"/>
    <x v="2"/>
    <x v="392"/>
    <x v="4"/>
    <n v="7"/>
    <n v="25.5"/>
    <x v="21"/>
    <s v="Luminexa"/>
    <s v="Dallas"/>
    <s v=" Texas"/>
  </r>
  <r>
    <n v="2500442"/>
    <x v="0"/>
    <x v="393"/>
    <x v="1"/>
    <n v="1"/>
    <n v="32"/>
    <x v="6"/>
    <s v="Nexora Labs"/>
    <s v="Chicago"/>
    <s v=" Illinois"/>
  </r>
  <r>
    <n v="2500443"/>
    <x v="6"/>
    <x v="394"/>
    <x v="1"/>
    <n v="5"/>
    <n v="32"/>
    <x v="47"/>
    <s v="Luminexa"/>
    <s v="Dallas"/>
    <s v=" Texas"/>
  </r>
  <r>
    <n v="2500444"/>
    <x v="2"/>
    <x v="395"/>
    <x v="3"/>
    <n v="1"/>
    <n v="48"/>
    <x v="31"/>
    <s v="Noventra"/>
    <s v="Miami"/>
    <s v=" Florida"/>
  </r>
  <r>
    <n v="2500445"/>
    <x v="5"/>
    <x v="396"/>
    <x v="5"/>
    <n v="2"/>
    <n v="15.5"/>
    <x v="20"/>
    <s v="Velora Solutions"/>
    <s v="Seattle"/>
    <s v=" Washington"/>
  </r>
  <r>
    <n v="2500446"/>
    <x v="0"/>
    <x v="397"/>
    <x v="4"/>
    <n v="10"/>
    <n v="25.5"/>
    <x v="18"/>
    <s v="Vivanta Co."/>
    <s v="Houston"/>
    <s v=" Texas"/>
  </r>
  <r>
    <n v="2500447"/>
    <x v="0"/>
    <x v="398"/>
    <x v="3"/>
    <n v="2"/>
    <n v="48"/>
    <x v="7"/>
    <s v="Noventra"/>
    <s v="Miami"/>
    <s v=" Florida"/>
  </r>
  <r>
    <n v="2500448"/>
    <x v="8"/>
    <x v="399"/>
    <x v="1"/>
    <n v="6"/>
    <n v="32"/>
    <x v="5"/>
    <s v="Bravora Group"/>
    <s v="New York City"/>
    <s v=" New York"/>
  </r>
  <r>
    <n v="2500449"/>
    <x v="7"/>
    <x v="400"/>
    <x v="4"/>
    <n v="2"/>
    <n v="25.5"/>
    <x v="9"/>
    <s v="Noventra"/>
    <s v="Miami"/>
    <s v=" Florida"/>
  </r>
  <r>
    <n v="2500450"/>
    <x v="6"/>
    <x v="401"/>
    <x v="2"/>
    <n v="4"/>
    <n v="36"/>
    <x v="15"/>
    <s v="Solvesta"/>
    <s v="Los Angeles"/>
    <s v=" California"/>
  </r>
  <r>
    <n v="2500451"/>
    <x v="2"/>
    <x v="402"/>
    <x v="3"/>
    <n v="5"/>
    <n v="48"/>
    <x v="12"/>
    <s v="Vivanta Co."/>
    <s v="Houston"/>
    <s v=" Texas"/>
  </r>
  <r>
    <n v="2500452"/>
    <x v="9"/>
    <x v="403"/>
    <x v="5"/>
    <n v="8"/>
    <n v="15.5"/>
    <x v="44"/>
    <s v="Nexora Labs"/>
    <s v="Chicago"/>
    <s v=" Illinois"/>
  </r>
  <r>
    <n v="2500453"/>
    <x v="2"/>
    <x v="404"/>
    <x v="1"/>
    <n v="7"/>
    <n v="32"/>
    <x v="42"/>
    <s v="Luminexa"/>
    <s v="Dallas"/>
    <s v=" Texas"/>
  </r>
  <r>
    <n v="2500454"/>
    <x v="5"/>
    <x v="405"/>
    <x v="5"/>
    <n v="4"/>
    <n v="15.5"/>
    <x v="54"/>
    <s v="Noventra"/>
    <s v="Miami"/>
    <s v=" Florida"/>
  </r>
  <r>
    <n v="2500455"/>
    <x v="9"/>
    <x v="406"/>
    <x v="1"/>
    <n v="5"/>
    <n v="32"/>
    <x v="47"/>
    <s v="Solvesta"/>
    <s v="Los Angeles"/>
    <s v=" California"/>
  </r>
  <r>
    <n v="2500456"/>
    <x v="7"/>
    <x v="407"/>
    <x v="3"/>
    <n v="5"/>
    <n v="48"/>
    <x v="12"/>
    <s v="Velora Solutions"/>
    <s v="Seattle"/>
    <s v=" Washington"/>
  </r>
  <r>
    <n v="2500457"/>
    <x v="1"/>
    <x v="408"/>
    <x v="5"/>
    <n v="6"/>
    <n v="15.5"/>
    <x v="16"/>
    <s v="Noventra"/>
    <s v="Miami"/>
    <s v=" Florida"/>
  </r>
  <r>
    <n v="2500458"/>
    <x v="7"/>
    <x v="409"/>
    <x v="4"/>
    <n v="7"/>
    <n v="25.5"/>
    <x v="21"/>
    <s v="Nexora Labs"/>
    <s v="Chicago"/>
    <s v=" Illinois"/>
  </r>
  <r>
    <n v="2500459"/>
    <x v="5"/>
    <x v="410"/>
    <x v="1"/>
    <n v="2"/>
    <n v="32"/>
    <x v="3"/>
    <s v="Noventra"/>
    <s v="Miami"/>
    <s v=" Florida"/>
  </r>
  <r>
    <n v="2500460"/>
    <x v="1"/>
    <x v="411"/>
    <x v="5"/>
    <n v="4"/>
    <n v="15.5"/>
    <x v="54"/>
    <s v="Vivanta Co."/>
    <s v="Houston"/>
    <s v=" Texas"/>
  </r>
  <r>
    <n v="2500461"/>
    <x v="0"/>
    <x v="412"/>
    <x v="3"/>
    <n v="9"/>
    <n v="48"/>
    <x v="34"/>
    <s v="Aurelia Works"/>
    <s v="Indianapolis"/>
    <s v=" Indiana"/>
  </r>
  <r>
    <n v="2500462"/>
    <x v="0"/>
    <x v="413"/>
    <x v="0"/>
    <n v="5"/>
    <n v="18.5"/>
    <x v="36"/>
    <s v="Solvesta"/>
    <s v="Los Angeles"/>
    <s v=" California"/>
  </r>
  <r>
    <n v="2500463"/>
    <x v="9"/>
    <x v="414"/>
    <x v="4"/>
    <n v="4"/>
    <n v="25.5"/>
    <x v="33"/>
    <s v="Luminexa"/>
    <s v="Dallas"/>
    <s v=" Texas"/>
  </r>
  <r>
    <n v="2500464"/>
    <x v="4"/>
    <x v="415"/>
    <x v="3"/>
    <n v="2"/>
    <n v="48"/>
    <x v="7"/>
    <s v="Noventra"/>
    <s v="Miami"/>
    <s v=" Florida"/>
  </r>
  <r>
    <n v="2500465"/>
    <x v="5"/>
    <x v="416"/>
    <x v="0"/>
    <n v="2"/>
    <n v="18.5"/>
    <x v="41"/>
    <s v="Nexora Labs"/>
    <s v="Chicago"/>
    <s v=" Illinois"/>
  </r>
  <r>
    <n v="2500466"/>
    <x v="1"/>
    <x v="417"/>
    <x v="5"/>
    <n v="3"/>
    <n v="15.5"/>
    <x v="24"/>
    <s v="Bravora Group"/>
    <s v="New York City"/>
    <s v=" New York"/>
  </r>
  <r>
    <n v="2500467"/>
    <x v="3"/>
    <x v="418"/>
    <x v="4"/>
    <n v="9"/>
    <n v="25.5"/>
    <x v="8"/>
    <s v="Luminexa"/>
    <s v="Dallas"/>
    <s v=" Texas"/>
  </r>
  <r>
    <n v="2500468"/>
    <x v="7"/>
    <x v="419"/>
    <x v="3"/>
    <n v="1"/>
    <n v="48"/>
    <x v="31"/>
    <s v="Velora Solutions"/>
    <s v="Seattle"/>
    <s v=" Washington"/>
  </r>
  <r>
    <n v="2500469"/>
    <x v="6"/>
    <x v="420"/>
    <x v="0"/>
    <n v="4"/>
    <n v="18.5"/>
    <x v="0"/>
    <s v="Nexora Labs"/>
    <s v="Chicago"/>
    <s v=" Illinois"/>
  </r>
  <r>
    <n v="2500470"/>
    <x v="1"/>
    <x v="421"/>
    <x v="0"/>
    <n v="2"/>
    <n v="18.5"/>
    <x v="41"/>
    <s v="Nexora Labs"/>
    <s v="Chicago"/>
    <s v=" Illinois"/>
  </r>
  <r>
    <n v="2500471"/>
    <x v="1"/>
    <x v="422"/>
    <x v="0"/>
    <n v="3"/>
    <n v="18.5"/>
    <x v="35"/>
    <s v="Luminexa"/>
    <s v="Dallas"/>
    <s v=" Texas"/>
  </r>
  <r>
    <n v="2500472"/>
    <x v="4"/>
    <x v="423"/>
    <x v="3"/>
    <n v="1"/>
    <n v="48"/>
    <x v="31"/>
    <s v="Vivanta Co."/>
    <s v="Houston"/>
    <s v=" Texas"/>
  </r>
  <r>
    <n v="2500473"/>
    <x v="7"/>
    <x v="424"/>
    <x v="4"/>
    <n v="4"/>
    <n v="25.5"/>
    <x v="33"/>
    <s v="Aurelia Works"/>
    <s v="Indianapolis"/>
    <s v=" Indiana"/>
  </r>
  <r>
    <n v="2500474"/>
    <x v="6"/>
    <x v="425"/>
    <x v="5"/>
    <n v="3"/>
    <n v="15.5"/>
    <x v="24"/>
    <s v="Bravora Group"/>
    <s v="New York City"/>
    <s v=" New York"/>
  </r>
  <r>
    <n v="2500475"/>
    <x v="3"/>
    <x v="426"/>
    <x v="5"/>
    <n v="3"/>
    <n v="15.5"/>
    <x v="24"/>
    <s v="Luminexa"/>
    <s v="Dallas"/>
    <s v=" Texas"/>
  </r>
  <r>
    <n v="2500476"/>
    <x v="5"/>
    <x v="427"/>
    <x v="0"/>
    <n v="6"/>
    <n v="18.5"/>
    <x v="38"/>
    <s v="Velora Solutions"/>
    <s v="Seattle"/>
    <s v=" Washington"/>
  </r>
  <r>
    <n v="2500477"/>
    <x v="0"/>
    <x v="428"/>
    <x v="0"/>
    <n v="8"/>
    <n v="18.5"/>
    <x v="50"/>
    <s v="Solvesta"/>
    <s v="Los Angeles"/>
    <s v=" California"/>
  </r>
  <r>
    <n v="2500478"/>
    <x v="0"/>
    <x v="429"/>
    <x v="4"/>
    <n v="4"/>
    <n v="25.5"/>
    <x v="33"/>
    <s v="Nexora Labs"/>
    <s v="Chicago"/>
    <s v=" Illinois"/>
  </r>
  <r>
    <n v="2500479"/>
    <x v="7"/>
    <x v="430"/>
    <x v="2"/>
    <n v="7"/>
    <n v="36"/>
    <x v="19"/>
    <s v="Bravora Group"/>
    <s v="New York City"/>
    <s v=" New York"/>
  </r>
  <r>
    <n v="2500480"/>
    <x v="2"/>
    <x v="431"/>
    <x v="5"/>
    <n v="9"/>
    <n v="15.5"/>
    <x v="46"/>
    <s v="Noventra"/>
    <s v="Miami"/>
    <s v=" Florida"/>
  </r>
  <r>
    <n v="2500481"/>
    <x v="3"/>
    <x v="432"/>
    <x v="5"/>
    <n v="8"/>
    <n v="15.5"/>
    <x v="44"/>
    <s v="Bravora Group"/>
    <s v="New York City"/>
    <s v=" New York"/>
  </r>
  <r>
    <n v="2500482"/>
    <x v="3"/>
    <x v="433"/>
    <x v="5"/>
    <n v="9"/>
    <n v="15.5"/>
    <x v="46"/>
    <s v="Noventra"/>
    <s v="Miami"/>
    <s v=" Florida"/>
  </r>
  <r>
    <n v="2500483"/>
    <x v="4"/>
    <x v="434"/>
    <x v="0"/>
    <n v="9"/>
    <n v="18.5"/>
    <x v="2"/>
    <s v="Luminexa"/>
    <s v="Dallas"/>
    <s v=" Texas"/>
  </r>
  <r>
    <n v="2500484"/>
    <x v="8"/>
    <x v="435"/>
    <x v="2"/>
    <n v="7"/>
    <n v="36"/>
    <x v="19"/>
    <s v="Vivanta Co."/>
    <s v="Houston"/>
    <s v=" Texas"/>
  </r>
  <r>
    <n v="2500485"/>
    <x v="4"/>
    <x v="436"/>
    <x v="1"/>
    <n v="6"/>
    <n v="32"/>
    <x v="5"/>
    <s v="Vivanta Co."/>
    <s v="Houston"/>
    <s v=" Texas"/>
  </r>
  <r>
    <n v="2500486"/>
    <x v="1"/>
    <x v="437"/>
    <x v="0"/>
    <n v="9"/>
    <n v="18.5"/>
    <x v="2"/>
    <s v="Vivanta Co."/>
    <s v="Houston"/>
    <s v=" Texas"/>
  </r>
  <r>
    <n v="2500487"/>
    <x v="1"/>
    <x v="438"/>
    <x v="1"/>
    <n v="5"/>
    <n v="32"/>
    <x v="47"/>
    <s v="Noventra"/>
    <s v="Miami"/>
    <s v=" Florida"/>
  </r>
  <r>
    <n v="2500488"/>
    <x v="8"/>
    <x v="439"/>
    <x v="4"/>
    <n v="9"/>
    <n v="25.5"/>
    <x v="8"/>
    <s v="Velora Solutions"/>
    <s v="Seattle"/>
    <s v=" Washington"/>
  </r>
  <r>
    <n v="2500489"/>
    <x v="3"/>
    <x v="440"/>
    <x v="3"/>
    <n v="1"/>
    <n v="48"/>
    <x v="31"/>
    <s v="Nexora Labs"/>
    <s v="Chicago"/>
    <s v=" Illinois"/>
  </r>
  <r>
    <n v="2500490"/>
    <x v="9"/>
    <x v="441"/>
    <x v="1"/>
    <n v="2"/>
    <n v="32"/>
    <x v="3"/>
    <s v="Bravora Group"/>
    <s v="New York City"/>
    <s v=" New York"/>
  </r>
  <r>
    <n v="2500491"/>
    <x v="5"/>
    <x v="442"/>
    <x v="2"/>
    <n v="3"/>
    <n v="36"/>
    <x v="14"/>
    <s v="Noventra"/>
    <s v="Miami"/>
    <s v=" Florida"/>
  </r>
  <r>
    <n v="2500492"/>
    <x v="2"/>
    <x v="443"/>
    <x v="0"/>
    <n v="5"/>
    <n v="18.5"/>
    <x v="36"/>
    <s v="Bravora Group"/>
    <s v="New York City"/>
    <s v=" New York"/>
  </r>
  <r>
    <n v="2500493"/>
    <x v="5"/>
    <x v="444"/>
    <x v="2"/>
    <n v="10"/>
    <n v="36"/>
    <x v="51"/>
    <s v="Aurelia Works"/>
    <s v="Indianapolis"/>
    <s v=" Indiana"/>
  </r>
  <r>
    <n v="2500494"/>
    <x v="4"/>
    <x v="445"/>
    <x v="1"/>
    <n v="5"/>
    <n v="32"/>
    <x v="47"/>
    <s v="Luminexa"/>
    <s v="Dallas"/>
    <s v=" Texas"/>
  </r>
  <r>
    <n v="2500495"/>
    <x v="8"/>
    <x v="446"/>
    <x v="2"/>
    <n v="10"/>
    <n v="36"/>
    <x v="51"/>
    <s v="Vivanta Co."/>
    <s v="Houston"/>
    <s v=" Texas"/>
  </r>
  <r>
    <n v="2500496"/>
    <x v="1"/>
    <x v="447"/>
    <x v="1"/>
    <n v="2"/>
    <n v="32"/>
    <x v="3"/>
    <s v="Nexora Labs"/>
    <s v="Chicago"/>
    <s v=" Illinois"/>
  </r>
  <r>
    <n v="2500497"/>
    <x v="6"/>
    <x v="448"/>
    <x v="4"/>
    <n v="4"/>
    <n v="25.5"/>
    <x v="33"/>
    <s v="Solvesta"/>
    <s v="Los Angeles"/>
    <s v=" California"/>
  </r>
  <r>
    <n v="2500498"/>
    <x v="7"/>
    <x v="449"/>
    <x v="2"/>
    <n v="7"/>
    <n v="36"/>
    <x v="19"/>
    <s v="Vivanta Co."/>
    <s v="Houston"/>
    <s v=" Texas"/>
  </r>
  <r>
    <n v="2500499"/>
    <x v="2"/>
    <x v="450"/>
    <x v="0"/>
    <n v="1"/>
    <n v="18.5"/>
    <x v="30"/>
    <s v="Noventra"/>
    <s v="Miami"/>
    <s v=" Florida"/>
  </r>
  <r>
    <n v="2500500"/>
    <x v="5"/>
    <x v="451"/>
    <x v="2"/>
    <n v="8"/>
    <n v="36"/>
    <x v="11"/>
    <s v="Aurelia Works"/>
    <s v="Indianapolis"/>
    <s v=" Indiana"/>
  </r>
  <r>
    <n v="2500501"/>
    <x v="5"/>
    <x v="452"/>
    <x v="0"/>
    <n v="3"/>
    <n v="18.5"/>
    <x v="35"/>
    <s v="Luminexa"/>
    <s v="Dallas"/>
    <s v=" Texas"/>
  </r>
  <r>
    <n v="2500502"/>
    <x v="1"/>
    <x v="453"/>
    <x v="0"/>
    <n v="7"/>
    <n v="18.5"/>
    <x v="10"/>
    <s v="Vivanta Co."/>
    <s v="Houston"/>
    <s v=" Texas"/>
  </r>
  <r>
    <n v="2500503"/>
    <x v="0"/>
    <x v="454"/>
    <x v="1"/>
    <n v="8"/>
    <n v="32"/>
    <x v="23"/>
    <s v="Nexora Labs"/>
    <s v="Chicago"/>
    <s v=" Illinois"/>
  </r>
  <r>
    <n v="2500504"/>
    <x v="2"/>
    <x v="455"/>
    <x v="3"/>
    <n v="8"/>
    <n v="48"/>
    <x v="22"/>
    <s v="Solvesta"/>
    <s v="Los Angeles"/>
    <s v=" California"/>
  </r>
  <r>
    <n v="2500505"/>
    <x v="4"/>
    <x v="456"/>
    <x v="5"/>
    <n v="4"/>
    <n v="15.5"/>
    <x v="54"/>
    <s v="Aurelia Works"/>
    <s v="Indianapolis"/>
    <s v=" Indiana"/>
  </r>
  <r>
    <n v="2500506"/>
    <x v="2"/>
    <x v="457"/>
    <x v="0"/>
    <n v="1"/>
    <n v="18.5"/>
    <x v="30"/>
    <s v="Solvesta"/>
    <s v="Los Angeles"/>
    <s v=" California"/>
  </r>
  <r>
    <n v="2500507"/>
    <x v="7"/>
    <x v="458"/>
    <x v="0"/>
    <n v="8"/>
    <n v="18.5"/>
    <x v="50"/>
    <s v="Vivanta Co."/>
    <s v="Houston"/>
    <s v=" Texas"/>
  </r>
  <r>
    <n v="2500508"/>
    <x v="8"/>
    <x v="459"/>
    <x v="1"/>
    <n v="10"/>
    <n v="32"/>
    <x v="1"/>
    <s v="Vivanta Co."/>
    <s v="Houston"/>
    <s v=" Texas"/>
  </r>
  <r>
    <n v="2500509"/>
    <x v="6"/>
    <x v="460"/>
    <x v="3"/>
    <n v="2"/>
    <n v="48"/>
    <x v="7"/>
    <s v="Nexora Labs"/>
    <s v="Chicago"/>
    <s v=" Illinois"/>
  </r>
  <r>
    <n v="2500510"/>
    <x v="1"/>
    <x v="461"/>
    <x v="4"/>
    <n v="1"/>
    <n v="25.5"/>
    <x v="17"/>
    <s v="Solvesta"/>
    <s v="Los Angeles"/>
    <s v=" California"/>
  </r>
  <r>
    <n v="2500511"/>
    <x v="0"/>
    <x v="462"/>
    <x v="1"/>
    <n v="1"/>
    <n v="32"/>
    <x v="6"/>
    <s v="Velora Solutions"/>
    <s v="Seattle"/>
    <s v=" Washington"/>
  </r>
  <r>
    <n v="2500512"/>
    <x v="7"/>
    <x v="463"/>
    <x v="0"/>
    <n v="5"/>
    <n v="18.5"/>
    <x v="36"/>
    <s v="Solvesta"/>
    <s v="Los Angeles"/>
    <s v=" California"/>
  </r>
  <r>
    <n v="2500513"/>
    <x v="0"/>
    <x v="464"/>
    <x v="3"/>
    <n v="8"/>
    <n v="48"/>
    <x v="22"/>
    <s v="Noventra"/>
    <s v="Miami"/>
    <s v=" Florida"/>
  </r>
  <r>
    <n v="2500514"/>
    <x v="1"/>
    <x v="465"/>
    <x v="4"/>
    <n v="5"/>
    <n v="25.5"/>
    <x v="52"/>
    <s v="Solvesta"/>
    <s v="Los Angeles"/>
    <s v=" California"/>
  </r>
  <r>
    <n v="2500515"/>
    <x v="0"/>
    <x v="466"/>
    <x v="4"/>
    <n v="4"/>
    <n v="25.5"/>
    <x v="33"/>
    <s v="Luminexa"/>
    <s v="Dallas"/>
    <s v=" Texas"/>
  </r>
  <r>
    <n v="2500516"/>
    <x v="6"/>
    <x v="467"/>
    <x v="4"/>
    <n v="4"/>
    <n v="25.5"/>
    <x v="33"/>
    <s v="Velora Solutions"/>
    <s v="Seattle"/>
    <s v=" Washington"/>
  </r>
  <r>
    <n v="2500517"/>
    <x v="3"/>
    <x v="468"/>
    <x v="5"/>
    <n v="1"/>
    <n v="15.5"/>
    <x v="40"/>
    <s v="Aurelia Works"/>
    <s v="Indianapolis"/>
    <s v=" Indiana"/>
  </r>
  <r>
    <n v="2500518"/>
    <x v="6"/>
    <x v="469"/>
    <x v="1"/>
    <n v="10"/>
    <n v="32"/>
    <x v="1"/>
    <s v="Noventra"/>
    <s v="Miami"/>
    <s v=" Florida"/>
  </r>
  <r>
    <n v="2500519"/>
    <x v="1"/>
    <x v="470"/>
    <x v="3"/>
    <n v="10"/>
    <n v="48"/>
    <x v="49"/>
    <s v="Vivanta Co."/>
    <s v="Houston"/>
    <s v=" Texas"/>
  </r>
  <r>
    <n v="2500520"/>
    <x v="5"/>
    <x v="471"/>
    <x v="2"/>
    <n v="6"/>
    <n v="36"/>
    <x v="29"/>
    <s v="Bravora Group"/>
    <s v="New York City"/>
    <s v=" New York"/>
  </r>
  <r>
    <n v="2500521"/>
    <x v="5"/>
    <x v="472"/>
    <x v="3"/>
    <n v="4"/>
    <n v="48"/>
    <x v="5"/>
    <s v="Noventra"/>
    <s v="Miami"/>
    <s v=" Florida"/>
  </r>
  <r>
    <n v="2500522"/>
    <x v="9"/>
    <x v="473"/>
    <x v="2"/>
    <n v="2"/>
    <n v="36"/>
    <x v="13"/>
    <s v="Velora Solutions"/>
    <s v="Seattle"/>
    <s v=" Washington"/>
  </r>
  <r>
    <n v="2500523"/>
    <x v="6"/>
    <x v="474"/>
    <x v="2"/>
    <n v="8"/>
    <n v="36"/>
    <x v="11"/>
    <s v="Bravora Group"/>
    <s v="New York City"/>
    <s v=" New York"/>
  </r>
  <r>
    <n v="2500524"/>
    <x v="6"/>
    <x v="475"/>
    <x v="1"/>
    <n v="10"/>
    <n v="32"/>
    <x v="1"/>
    <s v="Aurelia Works"/>
    <s v="Indianapolis"/>
    <s v=" Indiana"/>
  </r>
  <r>
    <n v="2500525"/>
    <x v="1"/>
    <x v="476"/>
    <x v="1"/>
    <n v="2"/>
    <n v="32"/>
    <x v="3"/>
    <s v="Velora Solutions"/>
    <s v="Seattle"/>
    <s v=" Washington"/>
  </r>
  <r>
    <n v="2500526"/>
    <x v="6"/>
    <x v="477"/>
    <x v="5"/>
    <n v="9"/>
    <n v="15.5"/>
    <x v="46"/>
    <s v="Luminexa"/>
    <s v="Dallas"/>
    <s v=" Texas"/>
  </r>
  <r>
    <n v="2500527"/>
    <x v="6"/>
    <x v="478"/>
    <x v="4"/>
    <n v="8"/>
    <n v="25.5"/>
    <x v="39"/>
    <s v="Bravora Group"/>
    <s v="New York City"/>
    <s v=" New York"/>
  </r>
  <r>
    <n v="2500528"/>
    <x v="9"/>
    <x v="479"/>
    <x v="5"/>
    <n v="8"/>
    <n v="15.5"/>
    <x v="44"/>
    <s v="Vivanta Co."/>
    <s v="Houston"/>
    <s v=" Texas"/>
  </r>
  <r>
    <n v="2500529"/>
    <x v="3"/>
    <x v="480"/>
    <x v="1"/>
    <n v="8"/>
    <n v="32"/>
    <x v="23"/>
    <s v="Velora Solutions"/>
    <s v="Seattle"/>
    <s v=" Washington"/>
  </r>
  <r>
    <n v="2500530"/>
    <x v="1"/>
    <x v="481"/>
    <x v="4"/>
    <n v="6"/>
    <n v="25.5"/>
    <x v="28"/>
    <s v="Aurelia Works"/>
    <s v="Indianapolis"/>
    <s v=" Indiana"/>
  </r>
  <r>
    <n v="2500531"/>
    <x v="5"/>
    <x v="482"/>
    <x v="2"/>
    <n v="7"/>
    <n v="36"/>
    <x v="19"/>
    <s v="Vivanta Co."/>
    <s v="Houston"/>
    <s v=" Texas"/>
  </r>
  <r>
    <n v="2500532"/>
    <x v="1"/>
    <x v="483"/>
    <x v="2"/>
    <n v="5"/>
    <n v="36"/>
    <x v="4"/>
    <s v="Bravora Group"/>
    <s v="New York City"/>
    <s v=" New York"/>
  </r>
  <r>
    <n v="2500533"/>
    <x v="7"/>
    <x v="484"/>
    <x v="0"/>
    <n v="8"/>
    <n v="18.5"/>
    <x v="50"/>
    <s v="Vivanta Co."/>
    <s v="Houston"/>
    <s v=" Texas"/>
  </r>
  <r>
    <n v="2500534"/>
    <x v="6"/>
    <x v="485"/>
    <x v="5"/>
    <n v="4"/>
    <n v="15.5"/>
    <x v="54"/>
    <s v="Nexora Labs"/>
    <s v="Chicago"/>
    <s v=" Illinois"/>
  </r>
  <r>
    <n v="2500535"/>
    <x v="0"/>
    <x v="486"/>
    <x v="1"/>
    <n v="5"/>
    <n v="32"/>
    <x v="47"/>
    <s v="Bravora Group"/>
    <s v="New York City"/>
    <s v=" New York"/>
  </r>
  <r>
    <n v="2500536"/>
    <x v="6"/>
    <x v="487"/>
    <x v="5"/>
    <n v="10"/>
    <n v="15.5"/>
    <x v="43"/>
    <s v="Aurelia Works"/>
    <s v="Indianapolis"/>
    <s v=" Indiana"/>
  </r>
  <r>
    <n v="2500537"/>
    <x v="1"/>
    <x v="488"/>
    <x v="5"/>
    <n v="5"/>
    <n v="15.5"/>
    <x v="25"/>
    <s v="Solvesta"/>
    <s v="Los Angeles"/>
    <s v=" California"/>
  </r>
  <r>
    <n v="2500538"/>
    <x v="5"/>
    <x v="489"/>
    <x v="1"/>
    <n v="2"/>
    <n v="32"/>
    <x v="3"/>
    <s v="Bravora Group"/>
    <s v="New York City"/>
    <s v=" New York"/>
  </r>
  <r>
    <n v="2500539"/>
    <x v="2"/>
    <x v="490"/>
    <x v="1"/>
    <n v="10"/>
    <n v="32"/>
    <x v="1"/>
    <s v="Nexora Labs"/>
    <s v="Chicago"/>
    <s v=" Illinois"/>
  </r>
  <r>
    <n v="2500540"/>
    <x v="1"/>
    <x v="491"/>
    <x v="5"/>
    <n v="4"/>
    <n v="15.5"/>
    <x v="54"/>
    <s v="Noventra"/>
    <s v="Miami"/>
    <s v=" Florida"/>
  </r>
  <r>
    <n v="2500541"/>
    <x v="0"/>
    <x v="492"/>
    <x v="3"/>
    <n v="9"/>
    <n v="48"/>
    <x v="34"/>
    <s v="Velora Solutions"/>
    <s v="Seattle"/>
    <s v=" Washington"/>
  </r>
  <r>
    <n v="2500542"/>
    <x v="4"/>
    <x v="493"/>
    <x v="3"/>
    <n v="3"/>
    <n v="48"/>
    <x v="15"/>
    <s v="Bravora Group"/>
    <s v="New York City"/>
    <s v=" New York"/>
  </r>
  <r>
    <n v="2500543"/>
    <x v="3"/>
    <x v="494"/>
    <x v="4"/>
    <n v="10"/>
    <n v="25.5"/>
    <x v="18"/>
    <s v="Aurelia Works"/>
    <s v="Indianapolis"/>
    <s v=" Indiana"/>
  </r>
  <r>
    <n v="2500544"/>
    <x v="3"/>
    <x v="495"/>
    <x v="4"/>
    <n v="8"/>
    <n v="25.5"/>
    <x v="39"/>
    <s v="Bravora Group"/>
    <s v="New York City"/>
    <s v=" New York"/>
  </r>
  <r>
    <n v="2500545"/>
    <x v="5"/>
    <x v="496"/>
    <x v="2"/>
    <n v="7"/>
    <n v="36"/>
    <x v="19"/>
    <s v="Bravora Group"/>
    <s v="New York City"/>
    <s v=" New York"/>
  </r>
  <r>
    <n v="2500546"/>
    <x v="4"/>
    <x v="497"/>
    <x v="4"/>
    <n v="9"/>
    <n v="25.5"/>
    <x v="8"/>
    <s v="Vivanta Co."/>
    <s v="Houston"/>
    <s v=" Texas"/>
  </r>
  <r>
    <n v="2500547"/>
    <x v="5"/>
    <x v="498"/>
    <x v="4"/>
    <n v="2"/>
    <n v="25.5"/>
    <x v="9"/>
    <s v="Noventra"/>
    <s v="Miami"/>
    <s v=" Florida"/>
  </r>
  <r>
    <n v="2500548"/>
    <x v="7"/>
    <x v="499"/>
    <x v="3"/>
    <n v="7"/>
    <n v="48"/>
    <x v="37"/>
    <s v="Nexora Labs"/>
    <s v="Chicago"/>
    <s v=" Illinois"/>
  </r>
  <r>
    <n v="2500549"/>
    <x v="4"/>
    <x v="500"/>
    <x v="2"/>
    <n v="10"/>
    <n v="36"/>
    <x v="51"/>
    <s v="Nexora Labs"/>
    <s v="Chicago"/>
    <s v=" Illinois"/>
  </r>
  <r>
    <n v="2500550"/>
    <x v="2"/>
    <x v="501"/>
    <x v="2"/>
    <n v="3"/>
    <n v="36"/>
    <x v="14"/>
    <s v="Luminexa"/>
    <s v="Dallas"/>
    <s v=" Texas"/>
  </r>
  <r>
    <n v="2500551"/>
    <x v="2"/>
    <x v="502"/>
    <x v="1"/>
    <n v="9"/>
    <n v="32"/>
    <x v="11"/>
    <s v="Nexora Labs"/>
    <s v="Chicago"/>
    <s v=" Illinois"/>
  </r>
  <r>
    <n v="2500552"/>
    <x v="3"/>
    <x v="503"/>
    <x v="4"/>
    <n v="1"/>
    <n v="25.5"/>
    <x v="17"/>
    <s v="Aurelia Works"/>
    <s v="Indianapolis"/>
    <s v=" Indiana"/>
  </r>
  <r>
    <n v="2500553"/>
    <x v="7"/>
    <x v="504"/>
    <x v="4"/>
    <n v="9"/>
    <n v="25.5"/>
    <x v="8"/>
    <s v="Bravora Group"/>
    <s v="New York City"/>
    <s v=" New York"/>
  </r>
  <r>
    <n v="2500554"/>
    <x v="5"/>
    <x v="505"/>
    <x v="1"/>
    <n v="2"/>
    <n v="32"/>
    <x v="3"/>
    <s v="Nexora Labs"/>
    <s v="Chicago"/>
    <s v=" Illinois"/>
  </r>
  <r>
    <n v="2500555"/>
    <x v="4"/>
    <x v="506"/>
    <x v="2"/>
    <n v="9"/>
    <n v="36"/>
    <x v="32"/>
    <s v="Aurelia Works"/>
    <s v="Indianapolis"/>
    <s v=" Indiana"/>
  </r>
  <r>
    <n v="2500556"/>
    <x v="1"/>
    <x v="507"/>
    <x v="1"/>
    <n v="8"/>
    <n v="32"/>
    <x v="23"/>
    <s v="Noventra"/>
    <s v="Miami"/>
    <s v=" Florida"/>
  </r>
  <r>
    <n v="2500557"/>
    <x v="9"/>
    <x v="508"/>
    <x v="0"/>
    <n v="1"/>
    <n v="18.5"/>
    <x v="30"/>
    <s v="Velora Solutions"/>
    <s v="Seattle"/>
    <s v=" Washington"/>
  </r>
  <r>
    <n v="2500558"/>
    <x v="6"/>
    <x v="509"/>
    <x v="0"/>
    <n v="7"/>
    <n v="18.5"/>
    <x v="10"/>
    <s v="Bravora Group"/>
    <s v="New York City"/>
    <s v=" New York"/>
  </r>
  <r>
    <n v="2500559"/>
    <x v="7"/>
    <x v="510"/>
    <x v="4"/>
    <n v="9"/>
    <n v="25.5"/>
    <x v="8"/>
    <s v="Vivanta Co."/>
    <s v="Houston"/>
    <s v=" Texas"/>
  </r>
  <r>
    <n v="2500560"/>
    <x v="3"/>
    <x v="511"/>
    <x v="2"/>
    <n v="2"/>
    <n v="36"/>
    <x v="13"/>
    <s v="Bravora Group"/>
    <s v="New York City"/>
    <s v=" New York"/>
  </r>
  <r>
    <n v="2500561"/>
    <x v="0"/>
    <x v="512"/>
    <x v="0"/>
    <n v="4"/>
    <n v="18.5"/>
    <x v="0"/>
    <s v="Velora Solutions"/>
    <s v="Seattle"/>
    <s v=" Washington"/>
  </r>
  <r>
    <n v="2500562"/>
    <x v="4"/>
    <x v="513"/>
    <x v="0"/>
    <n v="7"/>
    <n v="18.5"/>
    <x v="10"/>
    <s v="Bravora Group"/>
    <s v="New York City"/>
    <s v=" New York"/>
  </r>
  <r>
    <n v="2500563"/>
    <x v="8"/>
    <x v="514"/>
    <x v="0"/>
    <n v="4"/>
    <n v="18.5"/>
    <x v="0"/>
    <s v="Noventra"/>
    <s v="Miami"/>
    <s v=" Florida"/>
  </r>
  <r>
    <n v="2500564"/>
    <x v="7"/>
    <x v="515"/>
    <x v="2"/>
    <n v="10"/>
    <n v="36"/>
    <x v="51"/>
    <s v="Noventra"/>
    <s v="Miami"/>
    <s v=" Florida"/>
  </r>
  <r>
    <n v="2500565"/>
    <x v="8"/>
    <x v="516"/>
    <x v="1"/>
    <n v="9"/>
    <n v="32"/>
    <x v="11"/>
    <s v="Bravora Group"/>
    <s v="New York City"/>
    <s v=" New York"/>
  </r>
  <r>
    <n v="2500566"/>
    <x v="5"/>
    <x v="517"/>
    <x v="4"/>
    <n v="4"/>
    <n v="25.5"/>
    <x v="33"/>
    <s v="Nexora Labs"/>
    <s v="Chicago"/>
    <s v=" Illinois"/>
  </r>
  <r>
    <n v="2500567"/>
    <x v="1"/>
    <x v="518"/>
    <x v="2"/>
    <n v="8"/>
    <n v="36"/>
    <x v="11"/>
    <s v="Luminexa"/>
    <s v="Dallas"/>
    <s v=" Texas"/>
  </r>
  <r>
    <n v="2500568"/>
    <x v="6"/>
    <x v="519"/>
    <x v="5"/>
    <n v="5"/>
    <n v="15.5"/>
    <x v="25"/>
    <s v="Luminexa"/>
    <s v="Dallas"/>
    <s v=" Texas"/>
  </r>
  <r>
    <n v="2500569"/>
    <x v="6"/>
    <x v="520"/>
    <x v="5"/>
    <n v="4"/>
    <n v="15.5"/>
    <x v="54"/>
    <s v="Nexora Labs"/>
    <s v="Chicago"/>
    <s v=" Illinois"/>
  </r>
  <r>
    <n v="2500570"/>
    <x v="4"/>
    <x v="521"/>
    <x v="3"/>
    <n v="2"/>
    <n v="48"/>
    <x v="7"/>
    <s v="Vivanta Co."/>
    <s v="Houston"/>
    <s v=" Texas"/>
  </r>
  <r>
    <n v="2500571"/>
    <x v="0"/>
    <x v="522"/>
    <x v="2"/>
    <n v="1"/>
    <n v="36"/>
    <x v="45"/>
    <s v="Bravora Group"/>
    <s v="New York City"/>
    <s v=" New York"/>
  </r>
  <r>
    <n v="2500572"/>
    <x v="9"/>
    <x v="523"/>
    <x v="3"/>
    <n v="2"/>
    <n v="48"/>
    <x v="7"/>
    <s v="Solvesta"/>
    <s v="Los Angeles"/>
    <s v=" California"/>
  </r>
  <r>
    <n v="2500573"/>
    <x v="0"/>
    <x v="524"/>
    <x v="5"/>
    <n v="7"/>
    <n v="15.5"/>
    <x v="48"/>
    <s v="Solvesta"/>
    <s v="Los Angeles"/>
    <s v=" California"/>
  </r>
  <r>
    <n v="2500574"/>
    <x v="7"/>
    <x v="525"/>
    <x v="5"/>
    <n v="2"/>
    <n v="15.5"/>
    <x v="20"/>
    <s v="Bravora Group"/>
    <s v="New York City"/>
    <s v=" New York"/>
  </r>
  <r>
    <n v="2500575"/>
    <x v="4"/>
    <x v="526"/>
    <x v="1"/>
    <n v="3"/>
    <n v="32"/>
    <x v="7"/>
    <s v="Bravora Group"/>
    <s v="New York City"/>
    <s v=" New York"/>
  </r>
  <r>
    <n v="2500576"/>
    <x v="7"/>
    <x v="527"/>
    <x v="0"/>
    <n v="5"/>
    <n v="18.5"/>
    <x v="36"/>
    <s v="Nexora Labs"/>
    <s v="Chicago"/>
    <s v=" Illinois"/>
  </r>
  <r>
    <n v="2500577"/>
    <x v="7"/>
    <x v="528"/>
    <x v="1"/>
    <n v="3"/>
    <n v="32"/>
    <x v="7"/>
    <s v="Solvesta"/>
    <s v="Los Angeles"/>
    <s v=" California"/>
  </r>
  <r>
    <n v="2500578"/>
    <x v="6"/>
    <x v="529"/>
    <x v="5"/>
    <n v="9"/>
    <n v="15.5"/>
    <x v="46"/>
    <s v="Noventra"/>
    <s v="Miami"/>
    <s v=" Florida"/>
  </r>
  <r>
    <n v="2500579"/>
    <x v="7"/>
    <x v="530"/>
    <x v="3"/>
    <n v="10"/>
    <n v="48"/>
    <x v="49"/>
    <s v="Bravora Group"/>
    <s v="New York City"/>
    <s v=" New York"/>
  </r>
  <r>
    <n v="2500580"/>
    <x v="7"/>
    <x v="531"/>
    <x v="1"/>
    <n v="2"/>
    <n v="32"/>
    <x v="3"/>
    <s v="Solvesta"/>
    <s v="Los Angeles"/>
    <s v=" California"/>
  </r>
  <r>
    <n v="2500581"/>
    <x v="4"/>
    <x v="532"/>
    <x v="3"/>
    <n v="2"/>
    <n v="48"/>
    <x v="7"/>
    <s v="Solvesta"/>
    <s v="Los Angeles"/>
    <s v=" California"/>
  </r>
  <r>
    <n v="2500582"/>
    <x v="5"/>
    <x v="533"/>
    <x v="4"/>
    <n v="2"/>
    <n v="25.5"/>
    <x v="9"/>
    <s v="Luminexa"/>
    <s v="Dallas"/>
    <s v=" Texas"/>
  </r>
  <r>
    <n v="2500583"/>
    <x v="8"/>
    <x v="534"/>
    <x v="3"/>
    <n v="6"/>
    <n v="48"/>
    <x v="11"/>
    <s v="Vivanta Co."/>
    <s v="Houston"/>
    <s v=" Texas"/>
  </r>
  <r>
    <n v="2500584"/>
    <x v="4"/>
    <x v="535"/>
    <x v="0"/>
    <n v="3"/>
    <n v="18.5"/>
    <x v="35"/>
    <s v="Nexora Labs"/>
    <s v="Chicago"/>
    <s v=" Illinois"/>
  </r>
  <r>
    <n v="2500585"/>
    <x v="8"/>
    <x v="536"/>
    <x v="3"/>
    <n v="3"/>
    <n v="48"/>
    <x v="15"/>
    <s v="Noventra"/>
    <s v="Miami"/>
    <s v=" Florida"/>
  </r>
  <r>
    <n v="2500586"/>
    <x v="4"/>
    <x v="537"/>
    <x v="3"/>
    <n v="2"/>
    <n v="48"/>
    <x v="7"/>
    <s v="Solvesta"/>
    <s v="Los Angeles"/>
    <s v=" California"/>
  </r>
  <r>
    <n v="2500587"/>
    <x v="6"/>
    <x v="538"/>
    <x v="3"/>
    <n v="4"/>
    <n v="48"/>
    <x v="5"/>
    <s v="Noventra"/>
    <s v="Miami"/>
    <s v=" Florida"/>
  </r>
  <r>
    <n v="2500588"/>
    <x v="8"/>
    <x v="539"/>
    <x v="2"/>
    <n v="6"/>
    <n v="36"/>
    <x v="29"/>
    <s v="Luminexa"/>
    <s v="Dallas"/>
    <s v=" Texas"/>
  </r>
  <r>
    <n v="2500589"/>
    <x v="4"/>
    <x v="540"/>
    <x v="4"/>
    <n v="6"/>
    <n v="25.5"/>
    <x v="28"/>
    <s v="Velora Solutions"/>
    <s v="Seattle"/>
    <s v=" Washington"/>
  </r>
  <r>
    <n v="2500590"/>
    <x v="9"/>
    <x v="541"/>
    <x v="3"/>
    <n v="1"/>
    <n v="48"/>
    <x v="31"/>
    <s v="Nexora Labs"/>
    <s v="Chicago"/>
    <s v=" Illinois"/>
  </r>
  <r>
    <n v="2500591"/>
    <x v="9"/>
    <x v="542"/>
    <x v="0"/>
    <n v="8"/>
    <n v="18.5"/>
    <x v="50"/>
    <s v="Luminexa"/>
    <s v="Dallas"/>
    <s v=" Texas"/>
  </r>
  <r>
    <n v="2500592"/>
    <x v="9"/>
    <x v="543"/>
    <x v="2"/>
    <n v="10"/>
    <n v="36"/>
    <x v="51"/>
    <s v="Solvesta"/>
    <s v="Los Angeles"/>
    <s v=" California"/>
  </r>
  <r>
    <n v="2500593"/>
    <x v="0"/>
    <x v="544"/>
    <x v="1"/>
    <n v="1"/>
    <n v="32"/>
    <x v="6"/>
    <s v="Velora Solutions"/>
    <s v="Seattle"/>
    <s v=" Washington"/>
  </r>
  <r>
    <n v="2500594"/>
    <x v="5"/>
    <x v="545"/>
    <x v="2"/>
    <n v="7"/>
    <n v="36"/>
    <x v="19"/>
    <s v="Vivanta Co."/>
    <s v="Houston"/>
    <s v=" Texas"/>
  </r>
  <r>
    <n v="2500595"/>
    <x v="2"/>
    <x v="546"/>
    <x v="0"/>
    <n v="8"/>
    <n v="18.5"/>
    <x v="50"/>
    <s v="Velora Solutions"/>
    <s v="Seattle"/>
    <s v=" Washington"/>
  </r>
  <r>
    <n v="2500596"/>
    <x v="6"/>
    <x v="547"/>
    <x v="5"/>
    <n v="1"/>
    <n v="15.5"/>
    <x v="40"/>
    <s v="Nexora Labs"/>
    <s v="Chicago"/>
    <s v=" Illinois"/>
  </r>
  <r>
    <n v="2500597"/>
    <x v="6"/>
    <x v="548"/>
    <x v="3"/>
    <n v="4"/>
    <n v="48"/>
    <x v="5"/>
    <s v="Aurelia Works"/>
    <s v="Indianapolis"/>
    <s v=" Indiana"/>
  </r>
  <r>
    <n v="2500598"/>
    <x v="4"/>
    <x v="549"/>
    <x v="4"/>
    <n v="10"/>
    <n v="25.5"/>
    <x v="18"/>
    <s v="Aurelia Works"/>
    <s v="Indianapolis"/>
    <s v=" Indiana"/>
  </r>
  <r>
    <n v="2500599"/>
    <x v="0"/>
    <x v="550"/>
    <x v="0"/>
    <n v="1"/>
    <n v="18.5"/>
    <x v="30"/>
    <s v="Vivanta Co."/>
    <s v="Houston"/>
    <s v=" Texas"/>
  </r>
  <r>
    <n v="2500600"/>
    <x v="5"/>
    <x v="551"/>
    <x v="5"/>
    <n v="10"/>
    <n v="15.5"/>
    <x v="43"/>
    <s v="Vivanta Co."/>
    <s v="Houston"/>
    <s v=" Texas"/>
  </r>
  <r>
    <n v="2500601"/>
    <x v="3"/>
    <x v="552"/>
    <x v="3"/>
    <n v="10"/>
    <n v="48"/>
    <x v="49"/>
    <s v="Noventra"/>
    <s v="Miami"/>
    <s v=" Florida"/>
  </r>
  <r>
    <n v="2500602"/>
    <x v="8"/>
    <x v="553"/>
    <x v="5"/>
    <n v="10"/>
    <n v="15.5"/>
    <x v="43"/>
    <s v="Noventra"/>
    <s v="Miami"/>
    <s v=" Florida"/>
  </r>
  <r>
    <n v="2500603"/>
    <x v="0"/>
    <x v="554"/>
    <x v="0"/>
    <n v="8"/>
    <n v="18.5"/>
    <x v="50"/>
    <s v="Luminexa"/>
    <s v="Dallas"/>
    <s v=" Texas"/>
  </r>
  <r>
    <n v="2500604"/>
    <x v="8"/>
    <x v="555"/>
    <x v="0"/>
    <n v="6"/>
    <n v="18.5"/>
    <x v="38"/>
    <s v="Nexora Labs"/>
    <s v="Chicago"/>
    <s v=" Illinois"/>
  </r>
  <r>
    <n v="2500605"/>
    <x v="6"/>
    <x v="556"/>
    <x v="2"/>
    <n v="10"/>
    <n v="36"/>
    <x v="51"/>
    <s v="Aurelia Works"/>
    <s v="Indianapolis"/>
    <s v=" Indiana"/>
  </r>
  <r>
    <n v="2500606"/>
    <x v="5"/>
    <x v="557"/>
    <x v="2"/>
    <n v="3"/>
    <n v="36"/>
    <x v="14"/>
    <s v="Bravora Group"/>
    <s v="New York City"/>
    <s v=" New York"/>
  </r>
  <r>
    <n v="2500607"/>
    <x v="3"/>
    <x v="558"/>
    <x v="4"/>
    <n v="2"/>
    <n v="25.5"/>
    <x v="9"/>
    <s v="Aurelia Works"/>
    <s v="Indianapolis"/>
    <s v=" Indiana"/>
  </r>
  <r>
    <n v="2500608"/>
    <x v="5"/>
    <x v="559"/>
    <x v="5"/>
    <n v="10"/>
    <n v="15.5"/>
    <x v="43"/>
    <s v="Nexora Labs"/>
    <s v="Chicago"/>
    <s v=" Illinois"/>
  </r>
  <r>
    <n v="2500609"/>
    <x v="1"/>
    <x v="560"/>
    <x v="5"/>
    <n v="9"/>
    <n v="15.5"/>
    <x v="46"/>
    <s v="Solvesta"/>
    <s v="Los Angeles"/>
    <s v=" California"/>
  </r>
  <r>
    <n v="2500610"/>
    <x v="5"/>
    <x v="561"/>
    <x v="5"/>
    <n v="4"/>
    <n v="15.5"/>
    <x v="54"/>
    <s v="Velora Solutions"/>
    <s v="Seattle"/>
    <s v=" Washington"/>
  </r>
  <r>
    <n v="2500611"/>
    <x v="8"/>
    <x v="562"/>
    <x v="2"/>
    <n v="6"/>
    <n v="36"/>
    <x v="29"/>
    <s v="Solvesta"/>
    <s v="Los Angeles"/>
    <s v=" California"/>
  </r>
  <r>
    <n v="2500612"/>
    <x v="0"/>
    <x v="563"/>
    <x v="4"/>
    <n v="9"/>
    <n v="25.5"/>
    <x v="8"/>
    <s v="Luminexa"/>
    <s v="Dallas"/>
    <s v=" Texas"/>
  </r>
  <r>
    <n v="2500613"/>
    <x v="2"/>
    <x v="564"/>
    <x v="4"/>
    <n v="2"/>
    <n v="25.5"/>
    <x v="9"/>
    <s v="Luminexa"/>
    <s v="Dallas"/>
    <s v=" Texas"/>
  </r>
  <r>
    <n v="2500614"/>
    <x v="0"/>
    <x v="565"/>
    <x v="3"/>
    <n v="1"/>
    <n v="48"/>
    <x v="31"/>
    <s v="Vivanta Co."/>
    <s v="Houston"/>
    <s v=" Texas"/>
  </r>
  <r>
    <n v="2500615"/>
    <x v="2"/>
    <x v="566"/>
    <x v="4"/>
    <n v="3"/>
    <n v="25.5"/>
    <x v="53"/>
    <s v="Bravora Group"/>
    <s v="New York City"/>
    <s v=" New York"/>
  </r>
  <r>
    <n v="2500616"/>
    <x v="2"/>
    <x v="567"/>
    <x v="4"/>
    <n v="2"/>
    <n v="25.5"/>
    <x v="9"/>
    <s v="Solvesta"/>
    <s v="Los Angeles"/>
    <s v=" California"/>
  </r>
  <r>
    <n v="2500617"/>
    <x v="7"/>
    <x v="568"/>
    <x v="0"/>
    <n v="10"/>
    <n v="18.5"/>
    <x v="27"/>
    <s v="Velora Solutions"/>
    <s v="Seattle"/>
    <s v=" Washington"/>
  </r>
  <r>
    <n v="2500618"/>
    <x v="2"/>
    <x v="569"/>
    <x v="5"/>
    <n v="6"/>
    <n v="15.5"/>
    <x v="16"/>
    <s v="Vivanta Co."/>
    <s v="Houston"/>
    <s v=" Texas"/>
  </r>
  <r>
    <n v="2500619"/>
    <x v="8"/>
    <x v="570"/>
    <x v="5"/>
    <n v="4"/>
    <n v="15.5"/>
    <x v="54"/>
    <s v="Bravora Group"/>
    <s v="New York City"/>
    <s v=" New York"/>
  </r>
  <r>
    <n v="2500620"/>
    <x v="8"/>
    <x v="571"/>
    <x v="2"/>
    <n v="5"/>
    <n v="36"/>
    <x v="4"/>
    <s v="Velora Solutions"/>
    <s v="Seattle"/>
    <s v=" Washington"/>
  </r>
  <r>
    <n v="2500621"/>
    <x v="7"/>
    <x v="572"/>
    <x v="3"/>
    <n v="7"/>
    <n v="48"/>
    <x v="37"/>
    <s v="Nexora Labs"/>
    <s v="Chicago"/>
    <s v=" Illinois"/>
  </r>
  <r>
    <n v="2500622"/>
    <x v="3"/>
    <x v="573"/>
    <x v="4"/>
    <n v="5"/>
    <n v="25.5"/>
    <x v="52"/>
    <s v="Noventra"/>
    <s v="Miami"/>
    <s v=" Florida"/>
  </r>
  <r>
    <n v="2500623"/>
    <x v="7"/>
    <x v="574"/>
    <x v="3"/>
    <n v="10"/>
    <n v="48"/>
    <x v="49"/>
    <s v="Solvesta"/>
    <s v="Los Angeles"/>
    <s v=" California"/>
  </r>
  <r>
    <n v="2500624"/>
    <x v="2"/>
    <x v="575"/>
    <x v="3"/>
    <n v="9"/>
    <n v="48"/>
    <x v="34"/>
    <s v="Noventra"/>
    <s v="Miami"/>
    <s v=" Florida"/>
  </r>
  <r>
    <n v="2500625"/>
    <x v="9"/>
    <x v="576"/>
    <x v="5"/>
    <n v="2"/>
    <n v="15.5"/>
    <x v="20"/>
    <s v="Vivanta Co."/>
    <s v="Houston"/>
    <s v=" Texas"/>
  </r>
  <r>
    <n v="2500626"/>
    <x v="5"/>
    <x v="577"/>
    <x v="0"/>
    <n v="6"/>
    <n v="18.5"/>
    <x v="38"/>
    <s v="Vivanta Co."/>
    <s v="Houston"/>
    <s v=" Texas"/>
  </r>
  <r>
    <n v="2500627"/>
    <x v="9"/>
    <x v="578"/>
    <x v="3"/>
    <n v="5"/>
    <n v="48"/>
    <x v="12"/>
    <s v="Bravora Group"/>
    <s v="New York City"/>
    <s v=" New York"/>
  </r>
  <r>
    <n v="2500628"/>
    <x v="1"/>
    <x v="579"/>
    <x v="4"/>
    <n v="5"/>
    <n v="25.5"/>
    <x v="52"/>
    <s v="Noventra"/>
    <s v="Miami"/>
    <s v=" Florida"/>
  </r>
  <r>
    <n v="2500629"/>
    <x v="9"/>
    <x v="580"/>
    <x v="5"/>
    <n v="4"/>
    <n v="15.5"/>
    <x v="54"/>
    <s v="Aurelia Works"/>
    <s v="Indianapolis"/>
    <s v=" Indiana"/>
  </r>
  <r>
    <n v="2500630"/>
    <x v="4"/>
    <x v="581"/>
    <x v="4"/>
    <n v="4"/>
    <n v="25.5"/>
    <x v="33"/>
    <s v="Solvesta"/>
    <s v="Los Angeles"/>
    <s v=" California"/>
  </r>
  <r>
    <n v="2500631"/>
    <x v="7"/>
    <x v="582"/>
    <x v="0"/>
    <n v="9"/>
    <n v="18.5"/>
    <x v="2"/>
    <s v="Luminexa"/>
    <s v="Dallas"/>
    <s v=" Texas"/>
  </r>
  <r>
    <n v="2500632"/>
    <x v="6"/>
    <x v="583"/>
    <x v="3"/>
    <n v="8"/>
    <n v="48"/>
    <x v="22"/>
    <s v="Noventra"/>
    <s v="Miami"/>
    <s v=" Florida"/>
  </r>
  <r>
    <n v="2500633"/>
    <x v="6"/>
    <x v="584"/>
    <x v="3"/>
    <n v="3"/>
    <n v="48"/>
    <x v="15"/>
    <s v="Noventra"/>
    <s v="Miami"/>
    <s v=" Florida"/>
  </r>
  <r>
    <n v="2500634"/>
    <x v="2"/>
    <x v="585"/>
    <x v="0"/>
    <n v="1"/>
    <n v="18.5"/>
    <x v="30"/>
    <s v="Vivanta Co."/>
    <s v="Houston"/>
    <s v=" Texas"/>
  </r>
  <r>
    <n v="2500635"/>
    <x v="7"/>
    <x v="586"/>
    <x v="0"/>
    <n v="10"/>
    <n v="18.5"/>
    <x v="27"/>
    <s v="Nexora Labs"/>
    <s v="Chicago"/>
    <s v=" Illinois"/>
  </r>
  <r>
    <n v="2500636"/>
    <x v="2"/>
    <x v="587"/>
    <x v="2"/>
    <n v="6"/>
    <n v="36"/>
    <x v="29"/>
    <s v="Nexora Labs"/>
    <s v="Chicago"/>
    <s v=" Illinois"/>
  </r>
  <r>
    <n v="2500637"/>
    <x v="1"/>
    <x v="588"/>
    <x v="1"/>
    <n v="1"/>
    <n v="32"/>
    <x v="6"/>
    <s v="Velora Solutions"/>
    <s v="Seattle"/>
    <s v=" Washington"/>
  </r>
  <r>
    <n v="2500638"/>
    <x v="2"/>
    <x v="589"/>
    <x v="3"/>
    <n v="9"/>
    <n v="48"/>
    <x v="34"/>
    <s v="Vivanta Co."/>
    <s v="Houston"/>
    <s v=" Texas"/>
  </r>
  <r>
    <n v="2500639"/>
    <x v="6"/>
    <x v="590"/>
    <x v="4"/>
    <n v="9"/>
    <n v="25.5"/>
    <x v="8"/>
    <s v="Noventra"/>
    <s v="Miami"/>
    <s v=" Florida"/>
  </r>
  <r>
    <n v="2500640"/>
    <x v="8"/>
    <x v="591"/>
    <x v="1"/>
    <n v="5"/>
    <n v="32"/>
    <x v="47"/>
    <s v="Bravora Group"/>
    <s v="New York City"/>
    <s v=" New York"/>
  </r>
  <r>
    <n v="2500641"/>
    <x v="4"/>
    <x v="592"/>
    <x v="5"/>
    <n v="9"/>
    <n v="15.5"/>
    <x v="46"/>
    <s v="Velora Solutions"/>
    <s v="Seattle"/>
    <s v=" Washington"/>
  </r>
  <r>
    <n v="2500642"/>
    <x v="4"/>
    <x v="593"/>
    <x v="1"/>
    <n v="2"/>
    <n v="32"/>
    <x v="3"/>
    <s v="Aurelia Works"/>
    <s v="Indianapolis"/>
    <s v=" Indiana"/>
  </r>
  <r>
    <n v="2500643"/>
    <x v="2"/>
    <x v="594"/>
    <x v="5"/>
    <n v="5"/>
    <n v="15.5"/>
    <x v="25"/>
    <s v="Luminexa"/>
    <s v="Dallas"/>
    <s v=" Texas"/>
  </r>
  <r>
    <n v="2500644"/>
    <x v="2"/>
    <x v="595"/>
    <x v="1"/>
    <n v="6"/>
    <n v="32"/>
    <x v="5"/>
    <s v="Noventra"/>
    <s v="Miami"/>
    <s v=" Florida"/>
  </r>
  <r>
    <n v="2500645"/>
    <x v="4"/>
    <x v="596"/>
    <x v="1"/>
    <n v="1"/>
    <n v="32"/>
    <x v="6"/>
    <s v="Bravora Group"/>
    <s v="New York City"/>
    <s v=" New York"/>
  </r>
  <r>
    <n v="2500646"/>
    <x v="9"/>
    <x v="597"/>
    <x v="0"/>
    <n v="6"/>
    <n v="18.5"/>
    <x v="38"/>
    <s v="Vivanta Co."/>
    <s v="Houston"/>
    <s v=" Texas"/>
  </r>
  <r>
    <n v="2500647"/>
    <x v="3"/>
    <x v="598"/>
    <x v="1"/>
    <n v="9"/>
    <n v="32"/>
    <x v="11"/>
    <s v="Solvesta"/>
    <s v="Los Angeles"/>
    <s v=" California"/>
  </r>
  <r>
    <n v="2500648"/>
    <x v="2"/>
    <x v="599"/>
    <x v="1"/>
    <n v="1"/>
    <n v="32"/>
    <x v="6"/>
    <s v="Vivanta Co."/>
    <s v="Houston"/>
    <s v=" Texas"/>
  </r>
  <r>
    <n v="2500649"/>
    <x v="2"/>
    <x v="600"/>
    <x v="1"/>
    <n v="10"/>
    <n v="32"/>
    <x v="1"/>
    <s v="Solvesta"/>
    <s v="Los Angeles"/>
    <s v=" California"/>
  </r>
  <r>
    <n v="2500650"/>
    <x v="7"/>
    <x v="601"/>
    <x v="2"/>
    <n v="3"/>
    <n v="36"/>
    <x v="14"/>
    <s v="Nexora Labs"/>
    <s v="Chicago"/>
    <s v=" Illinois"/>
  </r>
  <r>
    <n v="2500651"/>
    <x v="4"/>
    <x v="602"/>
    <x v="1"/>
    <n v="10"/>
    <n v="32"/>
    <x v="1"/>
    <s v="Aurelia Works"/>
    <s v="Indianapolis"/>
    <s v=" Indiana"/>
  </r>
  <r>
    <n v="2500652"/>
    <x v="2"/>
    <x v="603"/>
    <x v="0"/>
    <n v="2"/>
    <n v="18.5"/>
    <x v="41"/>
    <s v="Velora Solutions"/>
    <s v="Seattle"/>
    <s v=" Washington"/>
  </r>
  <r>
    <n v="2500653"/>
    <x v="6"/>
    <x v="604"/>
    <x v="4"/>
    <n v="6"/>
    <n v="25.5"/>
    <x v="28"/>
    <s v="Solvesta"/>
    <s v="Los Angeles"/>
    <s v=" California"/>
  </r>
  <r>
    <n v="2500654"/>
    <x v="7"/>
    <x v="605"/>
    <x v="4"/>
    <n v="1"/>
    <n v="25.5"/>
    <x v="17"/>
    <s v="Luminexa"/>
    <s v="Dallas"/>
    <s v=" Texas"/>
  </r>
  <r>
    <n v="2500655"/>
    <x v="5"/>
    <x v="606"/>
    <x v="3"/>
    <n v="2"/>
    <n v="48"/>
    <x v="7"/>
    <s v="Aurelia Works"/>
    <s v="Indianapolis"/>
    <s v=" Indiana"/>
  </r>
  <r>
    <n v="2500656"/>
    <x v="3"/>
    <x v="607"/>
    <x v="2"/>
    <n v="10"/>
    <n v="36"/>
    <x v="51"/>
    <s v="Bravora Group"/>
    <s v="New York City"/>
    <s v=" New York"/>
  </r>
  <r>
    <n v="2500657"/>
    <x v="1"/>
    <x v="608"/>
    <x v="0"/>
    <n v="8"/>
    <n v="18.5"/>
    <x v="50"/>
    <s v="Bravora Group"/>
    <s v="New York City"/>
    <s v=" New York"/>
  </r>
  <r>
    <n v="2500658"/>
    <x v="2"/>
    <x v="609"/>
    <x v="4"/>
    <n v="9"/>
    <n v="25.5"/>
    <x v="8"/>
    <s v="Velora Solutions"/>
    <s v="Seattle"/>
    <s v=" Washington"/>
  </r>
  <r>
    <n v="2500659"/>
    <x v="6"/>
    <x v="610"/>
    <x v="1"/>
    <n v="3"/>
    <n v="32"/>
    <x v="7"/>
    <s v="Aurelia Works"/>
    <s v="Indianapolis"/>
    <s v=" Indiana"/>
  </r>
  <r>
    <n v="2500660"/>
    <x v="9"/>
    <x v="611"/>
    <x v="3"/>
    <n v="9"/>
    <n v="48"/>
    <x v="34"/>
    <s v="Vivanta Co."/>
    <s v="Houston"/>
    <s v=" Texas"/>
  </r>
  <r>
    <n v="2500661"/>
    <x v="3"/>
    <x v="612"/>
    <x v="1"/>
    <n v="7"/>
    <n v="32"/>
    <x v="42"/>
    <s v="Noventra"/>
    <s v="Miami"/>
    <s v=" Florida"/>
  </r>
  <r>
    <n v="2500662"/>
    <x v="4"/>
    <x v="613"/>
    <x v="4"/>
    <n v="7"/>
    <n v="25.5"/>
    <x v="21"/>
    <s v="Aurelia Works"/>
    <s v="Indianapolis"/>
    <s v=" Indiana"/>
  </r>
  <r>
    <n v="2500663"/>
    <x v="9"/>
    <x v="614"/>
    <x v="2"/>
    <n v="7"/>
    <n v="36"/>
    <x v="19"/>
    <s v="Noventra"/>
    <s v="Miami"/>
    <s v=" Florida"/>
  </r>
  <r>
    <n v="2500664"/>
    <x v="8"/>
    <x v="615"/>
    <x v="3"/>
    <n v="10"/>
    <n v="48"/>
    <x v="49"/>
    <s v="Noventra"/>
    <s v="Miami"/>
    <s v=" Florida"/>
  </r>
  <r>
    <n v="2500665"/>
    <x v="0"/>
    <x v="616"/>
    <x v="3"/>
    <n v="7"/>
    <n v="48"/>
    <x v="37"/>
    <s v="Velora Solutions"/>
    <s v="Seattle"/>
    <s v=" Washington"/>
  </r>
  <r>
    <n v="2500666"/>
    <x v="6"/>
    <x v="617"/>
    <x v="5"/>
    <n v="7"/>
    <n v="15.5"/>
    <x v="48"/>
    <s v="Luminexa"/>
    <s v="Dallas"/>
    <s v=" Texas"/>
  </r>
  <r>
    <n v="2500667"/>
    <x v="6"/>
    <x v="618"/>
    <x v="1"/>
    <n v="7"/>
    <n v="32"/>
    <x v="42"/>
    <s v="Aurelia Works"/>
    <s v="Indianapolis"/>
    <s v=" Indiana"/>
  </r>
  <r>
    <n v="2500668"/>
    <x v="4"/>
    <x v="619"/>
    <x v="1"/>
    <n v="9"/>
    <n v="32"/>
    <x v="11"/>
    <s v="Aurelia Works"/>
    <s v="Indianapolis"/>
    <s v=" Indiana"/>
  </r>
  <r>
    <n v="2500669"/>
    <x v="4"/>
    <x v="620"/>
    <x v="3"/>
    <n v="8"/>
    <n v="48"/>
    <x v="22"/>
    <s v="Vivanta Co."/>
    <s v="Houston"/>
    <s v=" Texas"/>
  </r>
  <r>
    <n v="2500670"/>
    <x v="5"/>
    <x v="621"/>
    <x v="2"/>
    <n v="7"/>
    <n v="36"/>
    <x v="19"/>
    <s v="Noventra"/>
    <s v="Miami"/>
    <s v=" Florida"/>
  </r>
  <r>
    <n v="2500671"/>
    <x v="8"/>
    <x v="622"/>
    <x v="1"/>
    <n v="9"/>
    <n v="32"/>
    <x v="11"/>
    <s v="Aurelia Works"/>
    <s v="Indianapolis"/>
    <s v=" Indiana"/>
  </r>
  <r>
    <n v="2500672"/>
    <x v="5"/>
    <x v="623"/>
    <x v="2"/>
    <n v="4"/>
    <n v="36"/>
    <x v="15"/>
    <s v="Noventra"/>
    <s v="Miami"/>
    <s v=" Florida"/>
  </r>
  <r>
    <n v="2500673"/>
    <x v="2"/>
    <x v="624"/>
    <x v="4"/>
    <n v="10"/>
    <n v="25.5"/>
    <x v="18"/>
    <s v="Vivanta Co."/>
    <s v="Houston"/>
    <s v=" Texas"/>
  </r>
  <r>
    <n v="2500674"/>
    <x v="5"/>
    <x v="625"/>
    <x v="3"/>
    <n v="3"/>
    <n v="48"/>
    <x v="15"/>
    <s v="Solvesta"/>
    <s v="Los Angeles"/>
    <s v=" California"/>
  </r>
  <r>
    <n v="2500675"/>
    <x v="3"/>
    <x v="626"/>
    <x v="4"/>
    <n v="2"/>
    <n v="25.5"/>
    <x v="9"/>
    <s v="Noventra"/>
    <s v="Miami"/>
    <s v=" Florida"/>
  </r>
  <r>
    <n v="2500676"/>
    <x v="9"/>
    <x v="627"/>
    <x v="3"/>
    <n v="7"/>
    <n v="48"/>
    <x v="37"/>
    <s v="Solvesta"/>
    <s v="Los Angeles"/>
    <s v=" California"/>
  </r>
  <r>
    <n v="2500677"/>
    <x v="3"/>
    <x v="628"/>
    <x v="3"/>
    <n v="8"/>
    <n v="48"/>
    <x v="22"/>
    <s v="Noventra"/>
    <s v="Miami"/>
    <s v=" Florida"/>
  </r>
  <r>
    <n v="2500678"/>
    <x v="0"/>
    <x v="629"/>
    <x v="3"/>
    <n v="1"/>
    <n v="48"/>
    <x v="31"/>
    <s v="Nexora Labs"/>
    <s v="Chicago"/>
    <s v=" Illinois"/>
  </r>
  <r>
    <n v="2500679"/>
    <x v="4"/>
    <x v="630"/>
    <x v="3"/>
    <n v="3"/>
    <n v="48"/>
    <x v="15"/>
    <s v="Aurelia Works"/>
    <s v="Indianapolis"/>
    <s v=" Indiana"/>
  </r>
  <r>
    <n v="2500680"/>
    <x v="6"/>
    <x v="631"/>
    <x v="1"/>
    <n v="4"/>
    <n v="32"/>
    <x v="26"/>
    <s v="Nexora Labs"/>
    <s v="Chicago"/>
    <s v=" Illinois"/>
  </r>
  <r>
    <n v="2500681"/>
    <x v="8"/>
    <x v="632"/>
    <x v="5"/>
    <n v="8"/>
    <n v="15.5"/>
    <x v="44"/>
    <s v="Noventra"/>
    <s v="Miami"/>
    <s v=" Florida"/>
  </r>
  <r>
    <n v="2500682"/>
    <x v="6"/>
    <x v="633"/>
    <x v="2"/>
    <n v="10"/>
    <n v="36"/>
    <x v="51"/>
    <s v="Nexora Labs"/>
    <s v="Chicago"/>
    <s v=" Illinois"/>
  </r>
  <r>
    <n v="2500683"/>
    <x v="7"/>
    <x v="634"/>
    <x v="2"/>
    <n v="6"/>
    <n v="36"/>
    <x v="29"/>
    <s v="Noventra"/>
    <s v="Miami"/>
    <s v=" Florida"/>
  </r>
  <r>
    <n v="2500684"/>
    <x v="1"/>
    <x v="635"/>
    <x v="2"/>
    <n v="2"/>
    <n v="36"/>
    <x v="13"/>
    <s v="Aurelia Works"/>
    <s v="Indianapolis"/>
    <s v=" Indiana"/>
  </r>
  <r>
    <n v="2500685"/>
    <x v="5"/>
    <x v="636"/>
    <x v="2"/>
    <n v="5"/>
    <n v="36"/>
    <x v="4"/>
    <s v="Velora Solutions"/>
    <s v="Seattle"/>
    <s v=" Washington"/>
  </r>
  <r>
    <n v="2500686"/>
    <x v="3"/>
    <x v="637"/>
    <x v="5"/>
    <n v="1"/>
    <n v="15.5"/>
    <x v="40"/>
    <s v="Bravora Group"/>
    <s v="New York City"/>
    <s v=" New York"/>
  </r>
  <r>
    <n v="2500687"/>
    <x v="7"/>
    <x v="638"/>
    <x v="2"/>
    <n v="8"/>
    <n v="36"/>
    <x v="11"/>
    <s v="Velora Solutions"/>
    <s v="Seattle"/>
    <s v=" Washington"/>
  </r>
  <r>
    <n v="2500688"/>
    <x v="9"/>
    <x v="639"/>
    <x v="5"/>
    <n v="3"/>
    <n v="15.5"/>
    <x v="24"/>
    <s v="Vivanta Co."/>
    <s v="Houston"/>
    <s v=" Texas"/>
  </r>
  <r>
    <n v="2500689"/>
    <x v="3"/>
    <x v="640"/>
    <x v="4"/>
    <n v="10"/>
    <n v="25.5"/>
    <x v="18"/>
    <s v="Noventra"/>
    <s v="Miami"/>
    <s v=" Florida"/>
  </r>
  <r>
    <n v="2500690"/>
    <x v="9"/>
    <x v="641"/>
    <x v="1"/>
    <n v="3"/>
    <n v="32"/>
    <x v="7"/>
    <s v="Aurelia Works"/>
    <s v="Indianapolis"/>
    <s v=" Indiana"/>
  </r>
  <r>
    <n v="2500691"/>
    <x v="6"/>
    <x v="642"/>
    <x v="3"/>
    <n v="10"/>
    <n v="48"/>
    <x v="49"/>
    <s v="Velora Solutions"/>
    <s v="Seattle"/>
    <s v=" Washington"/>
  </r>
  <r>
    <n v="2500692"/>
    <x v="5"/>
    <x v="643"/>
    <x v="5"/>
    <n v="10"/>
    <n v="15.5"/>
    <x v="43"/>
    <s v="Bravora Group"/>
    <s v="New York City"/>
    <s v=" New York"/>
  </r>
  <r>
    <n v="2500693"/>
    <x v="1"/>
    <x v="644"/>
    <x v="4"/>
    <n v="3"/>
    <n v="25.5"/>
    <x v="53"/>
    <s v="Solvesta"/>
    <s v="Los Angeles"/>
    <s v=" California"/>
  </r>
  <r>
    <n v="2500694"/>
    <x v="3"/>
    <x v="645"/>
    <x v="1"/>
    <n v="9"/>
    <n v="32"/>
    <x v="11"/>
    <s v="Nexora Labs"/>
    <s v="Chicago"/>
    <s v=" Illinois"/>
  </r>
  <r>
    <n v="2500695"/>
    <x v="6"/>
    <x v="646"/>
    <x v="2"/>
    <n v="7"/>
    <n v="36"/>
    <x v="19"/>
    <s v="Vivanta Co."/>
    <s v="Houston"/>
    <s v=" Texas"/>
  </r>
  <r>
    <n v="2500696"/>
    <x v="7"/>
    <x v="647"/>
    <x v="1"/>
    <n v="6"/>
    <n v="32"/>
    <x v="5"/>
    <s v="Solvesta"/>
    <s v="Los Angeles"/>
    <s v=" California"/>
  </r>
  <r>
    <n v="2500697"/>
    <x v="1"/>
    <x v="648"/>
    <x v="4"/>
    <n v="8"/>
    <n v="25.5"/>
    <x v="39"/>
    <s v="Solvesta"/>
    <s v="Los Angeles"/>
    <s v=" California"/>
  </r>
  <r>
    <n v="2500698"/>
    <x v="3"/>
    <x v="649"/>
    <x v="2"/>
    <n v="9"/>
    <n v="36"/>
    <x v="32"/>
    <s v="Noventra"/>
    <s v="Miami"/>
    <s v=" Florida"/>
  </r>
  <r>
    <n v="2500699"/>
    <x v="0"/>
    <x v="650"/>
    <x v="2"/>
    <n v="3"/>
    <n v="36"/>
    <x v="14"/>
    <s v="Nexora Labs"/>
    <s v="Chicago"/>
    <s v=" Illinois"/>
  </r>
  <r>
    <n v="2500700"/>
    <x v="6"/>
    <x v="651"/>
    <x v="2"/>
    <n v="7"/>
    <n v="36"/>
    <x v="19"/>
    <s v="Luminexa"/>
    <s v="Dallas"/>
    <s v=" Texas"/>
  </r>
  <r>
    <n v="2500701"/>
    <x v="2"/>
    <x v="652"/>
    <x v="5"/>
    <n v="4"/>
    <n v="15.5"/>
    <x v="54"/>
    <s v="Velora Solutions"/>
    <s v="Seattle"/>
    <s v=" Washington"/>
  </r>
  <r>
    <n v="2500702"/>
    <x v="3"/>
    <x v="653"/>
    <x v="3"/>
    <n v="3"/>
    <n v="48"/>
    <x v="15"/>
    <s v="Noventra"/>
    <s v="Miami"/>
    <s v=" Florida"/>
  </r>
  <r>
    <n v="2500703"/>
    <x v="4"/>
    <x v="654"/>
    <x v="1"/>
    <n v="2"/>
    <n v="32"/>
    <x v="3"/>
    <s v="Aurelia Works"/>
    <s v="Indianapolis"/>
    <s v=" Indiana"/>
  </r>
  <r>
    <n v="2500704"/>
    <x v="1"/>
    <x v="655"/>
    <x v="4"/>
    <n v="4"/>
    <n v="25.5"/>
    <x v="33"/>
    <s v="Vivanta Co."/>
    <s v="Houston"/>
    <s v=" Texas"/>
  </r>
  <r>
    <n v="2500705"/>
    <x v="3"/>
    <x v="656"/>
    <x v="3"/>
    <n v="3"/>
    <n v="48"/>
    <x v="15"/>
    <s v="Velora Solutions"/>
    <s v="Seattle"/>
    <s v=" Washington"/>
  </r>
  <r>
    <n v="2500706"/>
    <x v="9"/>
    <x v="657"/>
    <x v="1"/>
    <n v="1"/>
    <n v="32"/>
    <x v="6"/>
    <s v="Solvesta"/>
    <s v="Los Angeles"/>
    <s v=" California"/>
  </r>
  <r>
    <n v="2500707"/>
    <x v="5"/>
    <x v="658"/>
    <x v="5"/>
    <n v="8"/>
    <n v="15.5"/>
    <x v="44"/>
    <s v="Vivanta Co."/>
    <s v="Houston"/>
    <s v=" Texas"/>
  </r>
  <r>
    <n v="2500708"/>
    <x v="2"/>
    <x v="659"/>
    <x v="1"/>
    <n v="2"/>
    <n v="32"/>
    <x v="3"/>
    <s v="Bravora Group"/>
    <s v="New York City"/>
    <s v=" New York"/>
  </r>
  <r>
    <n v="2500709"/>
    <x v="2"/>
    <x v="660"/>
    <x v="3"/>
    <n v="9"/>
    <n v="48"/>
    <x v="34"/>
    <s v="Bravora Group"/>
    <s v="New York City"/>
    <s v=" New York"/>
  </r>
  <r>
    <n v="2500710"/>
    <x v="3"/>
    <x v="661"/>
    <x v="0"/>
    <n v="1"/>
    <n v="18.5"/>
    <x v="30"/>
    <s v="Vivanta Co."/>
    <s v="Houston"/>
    <s v=" Texas"/>
  </r>
  <r>
    <n v="2500711"/>
    <x v="5"/>
    <x v="662"/>
    <x v="1"/>
    <n v="4"/>
    <n v="32"/>
    <x v="26"/>
    <s v="Bravora Group"/>
    <s v="New York City"/>
    <s v=" New York"/>
  </r>
  <r>
    <n v="2500712"/>
    <x v="3"/>
    <x v="663"/>
    <x v="5"/>
    <n v="8"/>
    <n v="15.5"/>
    <x v="44"/>
    <s v="Solvesta"/>
    <s v="Los Angeles"/>
    <s v=" California"/>
  </r>
  <r>
    <n v="2500713"/>
    <x v="0"/>
    <x v="664"/>
    <x v="4"/>
    <n v="2"/>
    <n v="25.5"/>
    <x v="9"/>
    <s v="Velora Solutions"/>
    <s v="Seattle"/>
    <s v=" Washington"/>
  </r>
  <r>
    <n v="2500714"/>
    <x v="5"/>
    <x v="665"/>
    <x v="1"/>
    <n v="7"/>
    <n v="32"/>
    <x v="42"/>
    <s v="Noventra"/>
    <s v="Miami"/>
    <s v=" Florida"/>
  </r>
  <r>
    <n v="2500715"/>
    <x v="9"/>
    <x v="666"/>
    <x v="3"/>
    <n v="3"/>
    <n v="48"/>
    <x v="15"/>
    <s v="Aurelia Works"/>
    <s v="Indianapolis"/>
    <s v=" Indiana"/>
  </r>
  <r>
    <n v="2500716"/>
    <x v="3"/>
    <x v="667"/>
    <x v="2"/>
    <n v="4"/>
    <n v="36"/>
    <x v="15"/>
    <s v="Solvesta"/>
    <s v="Los Angeles"/>
    <s v=" California"/>
  </r>
  <r>
    <n v="2500717"/>
    <x v="5"/>
    <x v="668"/>
    <x v="1"/>
    <n v="9"/>
    <n v="32"/>
    <x v="11"/>
    <s v="Solvesta"/>
    <s v="Los Angeles"/>
    <s v=" California"/>
  </r>
  <r>
    <n v="2500718"/>
    <x v="6"/>
    <x v="669"/>
    <x v="1"/>
    <n v="3"/>
    <n v="32"/>
    <x v="7"/>
    <s v="Nexora Labs"/>
    <s v="Chicago"/>
    <s v=" Illinois"/>
  </r>
  <r>
    <n v="2500719"/>
    <x v="2"/>
    <x v="670"/>
    <x v="4"/>
    <n v="6"/>
    <n v="25.5"/>
    <x v="28"/>
    <s v="Nexora Labs"/>
    <s v="Chicago"/>
    <s v=" Illinois"/>
  </r>
  <r>
    <n v="2500720"/>
    <x v="0"/>
    <x v="671"/>
    <x v="0"/>
    <n v="6"/>
    <n v="18.5"/>
    <x v="38"/>
    <s v="Noventra"/>
    <s v="Miami"/>
    <s v=" Florida"/>
  </r>
  <r>
    <n v="2500721"/>
    <x v="0"/>
    <x v="672"/>
    <x v="5"/>
    <n v="6"/>
    <n v="15.5"/>
    <x v="16"/>
    <s v="Vivanta Co."/>
    <s v="Houston"/>
    <s v=" Texas"/>
  </r>
  <r>
    <n v="2500722"/>
    <x v="2"/>
    <x v="673"/>
    <x v="1"/>
    <n v="10"/>
    <n v="32"/>
    <x v="1"/>
    <s v="Nexora Labs"/>
    <s v="Chicago"/>
    <s v=" Illinois"/>
  </r>
  <r>
    <n v="2500723"/>
    <x v="5"/>
    <x v="674"/>
    <x v="4"/>
    <n v="5"/>
    <n v="25.5"/>
    <x v="52"/>
    <s v="Aurelia Works"/>
    <s v="Indianapolis"/>
    <s v=" Indiana"/>
  </r>
  <r>
    <n v="2500724"/>
    <x v="7"/>
    <x v="675"/>
    <x v="0"/>
    <n v="5"/>
    <n v="18.5"/>
    <x v="36"/>
    <s v="Vivanta Co."/>
    <s v="Houston"/>
    <s v=" Texas"/>
  </r>
  <r>
    <n v="2500725"/>
    <x v="5"/>
    <x v="676"/>
    <x v="0"/>
    <n v="7"/>
    <n v="18.5"/>
    <x v="10"/>
    <s v="Bravora Group"/>
    <s v="New York City"/>
    <s v=" New York"/>
  </r>
  <r>
    <n v="2500726"/>
    <x v="9"/>
    <x v="677"/>
    <x v="2"/>
    <n v="4"/>
    <n v="36"/>
    <x v="15"/>
    <s v="Noventra"/>
    <s v="Miami"/>
    <s v=" Florida"/>
  </r>
  <r>
    <n v="2500727"/>
    <x v="0"/>
    <x v="678"/>
    <x v="3"/>
    <n v="6"/>
    <n v="48"/>
    <x v="11"/>
    <s v="Noventra"/>
    <s v="Miami"/>
    <s v=" Florida"/>
  </r>
  <r>
    <n v="2500728"/>
    <x v="2"/>
    <x v="679"/>
    <x v="2"/>
    <n v="1"/>
    <n v="36"/>
    <x v="45"/>
    <s v="Aurelia Works"/>
    <s v="Indianapolis"/>
    <s v=" Indiana"/>
  </r>
  <r>
    <n v="2500729"/>
    <x v="6"/>
    <x v="680"/>
    <x v="3"/>
    <n v="6"/>
    <n v="48"/>
    <x v="11"/>
    <s v="Solvesta"/>
    <s v="Los Angeles"/>
    <s v=" California"/>
  </r>
  <r>
    <n v="2500730"/>
    <x v="8"/>
    <x v="681"/>
    <x v="4"/>
    <n v="3"/>
    <n v="25.5"/>
    <x v="53"/>
    <s v="Bravora Group"/>
    <s v="New York City"/>
    <s v=" New York"/>
  </r>
  <r>
    <n v="2500731"/>
    <x v="8"/>
    <x v="682"/>
    <x v="1"/>
    <n v="5"/>
    <n v="32"/>
    <x v="47"/>
    <s v="Velora Solutions"/>
    <s v="Seattle"/>
    <s v=" Washington"/>
  </r>
  <r>
    <n v="2500732"/>
    <x v="1"/>
    <x v="683"/>
    <x v="5"/>
    <n v="9"/>
    <n v="15.5"/>
    <x v="46"/>
    <s v="Noventra"/>
    <s v="Miami"/>
    <s v=" Florida"/>
  </r>
  <r>
    <n v="2500733"/>
    <x v="0"/>
    <x v="684"/>
    <x v="2"/>
    <n v="9"/>
    <n v="36"/>
    <x v="32"/>
    <s v="Luminexa"/>
    <s v="Dallas"/>
    <s v=" Texas"/>
  </r>
  <r>
    <n v="2500734"/>
    <x v="4"/>
    <x v="685"/>
    <x v="3"/>
    <n v="10"/>
    <n v="48"/>
    <x v="49"/>
    <s v="Bravora Group"/>
    <s v="New York City"/>
    <s v=" New York"/>
  </r>
  <r>
    <n v="2500735"/>
    <x v="0"/>
    <x v="686"/>
    <x v="3"/>
    <n v="1"/>
    <n v="48"/>
    <x v="31"/>
    <s v="Bravora Group"/>
    <s v="New York City"/>
    <s v=" New York"/>
  </r>
  <r>
    <n v="2500736"/>
    <x v="3"/>
    <x v="687"/>
    <x v="3"/>
    <n v="3"/>
    <n v="48"/>
    <x v="15"/>
    <s v="Velora Solutions"/>
    <s v="Seattle"/>
    <s v=" Washington"/>
  </r>
  <r>
    <n v="2500737"/>
    <x v="2"/>
    <x v="688"/>
    <x v="2"/>
    <n v="8"/>
    <n v="36"/>
    <x v="11"/>
    <s v="Vivanta Co."/>
    <s v="Houston"/>
    <s v=" Texas"/>
  </r>
  <r>
    <n v="2500738"/>
    <x v="1"/>
    <x v="689"/>
    <x v="0"/>
    <n v="4"/>
    <n v="18.5"/>
    <x v="0"/>
    <s v="Velora Solutions"/>
    <s v="Seattle"/>
    <s v=" Washington"/>
  </r>
  <r>
    <n v="2500739"/>
    <x v="1"/>
    <x v="690"/>
    <x v="2"/>
    <n v="2"/>
    <n v="36"/>
    <x v="13"/>
    <s v="Bravora Group"/>
    <s v="New York City"/>
    <s v=" New York"/>
  </r>
  <r>
    <n v="2500740"/>
    <x v="5"/>
    <x v="691"/>
    <x v="1"/>
    <n v="7"/>
    <n v="32"/>
    <x v="42"/>
    <s v="Luminexa"/>
    <s v="Dallas"/>
    <s v=" Texas"/>
  </r>
  <r>
    <n v="2500741"/>
    <x v="4"/>
    <x v="692"/>
    <x v="3"/>
    <n v="1"/>
    <n v="48"/>
    <x v="31"/>
    <s v="Velora Solutions"/>
    <s v="Seattle"/>
    <s v=" Washington"/>
  </r>
  <r>
    <n v="2500742"/>
    <x v="8"/>
    <x v="693"/>
    <x v="0"/>
    <n v="3"/>
    <n v="18.5"/>
    <x v="35"/>
    <s v="Luminexa"/>
    <s v="Dallas"/>
    <s v=" Texas"/>
  </r>
  <r>
    <n v="2500743"/>
    <x v="9"/>
    <x v="694"/>
    <x v="0"/>
    <n v="5"/>
    <n v="18.5"/>
    <x v="36"/>
    <s v="Bravora Group"/>
    <s v="New York City"/>
    <s v=" New York"/>
  </r>
  <r>
    <n v="2500744"/>
    <x v="1"/>
    <x v="695"/>
    <x v="4"/>
    <n v="9"/>
    <n v="25.5"/>
    <x v="8"/>
    <s v="Aurelia Works"/>
    <s v="Indianapolis"/>
    <s v=" Indiana"/>
  </r>
  <r>
    <n v="2500745"/>
    <x v="6"/>
    <x v="696"/>
    <x v="5"/>
    <n v="10"/>
    <n v="15.5"/>
    <x v="43"/>
    <s v="Nexora Labs"/>
    <s v="Chicago"/>
    <s v=" Illinois"/>
  </r>
  <r>
    <n v="2500746"/>
    <x v="9"/>
    <x v="697"/>
    <x v="0"/>
    <n v="1"/>
    <n v="18.5"/>
    <x v="30"/>
    <s v="Aurelia Works"/>
    <s v="Indianapolis"/>
    <s v=" Indiana"/>
  </r>
  <r>
    <n v="2500747"/>
    <x v="3"/>
    <x v="698"/>
    <x v="1"/>
    <n v="10"/>
    <n v="32"/>
    <x v="1"/>
    <s v="Vivanta Co."/>
    <s v="Houston"/>
    <s v=" Texas"/>
  </r>
  <r>
    <n v="2500748"/>
    <x v="8"/>
    <x v="699"/>
    <x v="3"/>
    <n v="5"/>
    <n v="48"/>
    <x v="12"/>
    <s v="Solvesta"/>
    <s v="Los Angeles"/>
    <s v=" California"/>
  </r>
  <r>
    <n v="2500749"/>
    <x v="1"/>
    <x v="700"/>
    <x v="4"/>
    <n v="7"/>
    <n v="25.5"/>
    <x v="21"/>
    <s v="Aurelia Works"/>
    <s v="Indianapolis"/>
    <s v=" Indiana"/>
  </r>
  <r>
    <n v="2500750"/>
    <x v="6"/>
    <x v="701"/>
    <x v="2"/>
    <n v="4"/>
    <n v="36"/>
    <x v="15"/>
    <s v="Velora Solutions"/>
    <s v="Seattle"/>
    <s v=" Washington"/>
  </r>
  <r>
    <n v="2500751"/>
    <x v="5"/>
    <x v="702"/>
    <x v="4"/>
    <n v="2"/>
    <n v="25.5"/>
    <x v="9"/>
    <s v="Vivanta Co."/>
    <s v="Houston"/>
    <s v=" Texas"/>
  </r>
  <r>
    <n v="2500752"/>
    <x v="1"/>
    <x v="703"/>
    <x v="5"/>
    <n v="7"/>
    <n v="15.5"/>
    <x v="48"/>
    <s v="Vivanta Co."/>
    <s v="Houston"/>
    <s v=" Texas"/>
  </r>
  <r>
    <n v="2500753"/>
    <x v="9"/>
    <x v="704"/>
    <x v="3"/>
    <n v="10"/>
    <n v="48"/>
    <x v="49"/>
    <s v="Luminexa"/>
    <s v="Dallas"/>
    <s v=" Texas"/>
  </r>
  <r>
    <n v="2500754"/>
    <x v="2"/>
    <x v="705"/>
    <x v="0"/>
    <n v="2"/>
    <n v="18.5"/>
    <x v="41"/>
    <s v="Nexora Labs"/>
    <s v="Chicago"/>
    <s v=" Illinois"/>
  </r>
  <r>
    <n v="2500755"/>
    <x v="0"/>
    <x v="706"/>
    <x v="2"/>
    <n v="7"/>
    <n v="36"/>
    <x v="19"/>
    <s v="Noventra"/>
    <s v="Miami"/>
    <s v=" Florida"/>
  </r>
  <r>
    <n v="2500756"/>
    <x v="5"/>
    <x v="707"/>
    <x v="4"/>
    <n v="7"/>
    <n v="25.5"/>
    <x v="21"/>
    <s v="Solvesta"/>
    <s v="Los Angeles"/>
    <s v=" California"/>
  </r>
  <r>
    <n v="2500757"/>
    <x v="3"/>
    <x v="708"/>
    <x v="3"/>
    <n v="10"/>
    <n v="48"/>
    <x v="49"/>
    <s v="Noventra"/>
    <s v="Miami"/>
    <s v=" Florida"/>
  </r>
  <r>
    <n v="2500758"/>
    <x v="2"/>
    <x v="709"/>
    <x v="2"/>
    <n v="4"/>
    <n v="36"/>
    <x v="15"/>
    <s v="Solvesta"/>
    <s v="Los Angeles"/>
    <s v=" California"/>
  </r>
  <r>
    <n v="2500759"/>
    <x v="9"/>
    <x v="710"/>
    <x v="4"/>
    <n v="1"/>
    <n v="25.5"/>
    <x v="17"/>
    <s v="Noventra"/>
    <s v="Miami"/>
    <s v=" Florida"/>
  </r>
  <r>
    <n v="2500760"/>
    <x v="8"/>
    <x v="711"/>
    <x v="4"/>
    <n v="4"/>
    <n v="25.5"/>
    <x v="33"/>
    <s v="Luminexa"/>
    <s v="Dallas"/>
    <s v=" Texas"/>
  </r>
  <r>
    <n v="2500761"/>
    <x v="7"/>
    <x v="712"/>
    <x v="2"/>
    <n v="10"/>
    <n v="36"/>
    <x v="51"/>
    <s v="Aurelia Works"/>
    <s v="Indianapolis"/>
    <s v=" Indiana"/>
  </r>
  <r>
    <n v="2500762"/>
    <x v="2"/>
    <x v="713"/>
    <x v="4"/>
    <n v="8"/>
    <n v="25.5"/>
    <x v="39"/>
    <s v="Vivanta Co."/>
    <s v="Houston"/>
    <s v=" Texas"/>
  </r>
  <r>
    <n v="2500763"/>
    <x v="7"/>
    <x v="714"/>
    <x v="1"/>
    <n v="8"/>
    <n v="32"/>
    <x v="23"/>
    <s v="Bravora Group"/>
    <s v="New York City"/>
    <s v=" New York"/>
  </r>
  <r>
    <n v="2500764"/>
    <x v="0"/>
    <x v="715"/>
    <x v="2"/>
    <n v="4"/>
    <n v="36"/>
    <x v="15"/>
    <s v="Nexora Labs"/>
    <s v="Chicago"/>
    <s v=" Illinois"/>
  </r>
  <r>
    <n v="2500765"/>
    <x v="9"/>
    <x v="716"/>
    <x v="4"/>
    <n v="8"/>
    <n v="25.5"/>
    <x v="39"/>
    <s v="Luminexa"/>
    <s v="Dallas"/>
    <s v=" Texas"/>
  </r>
  <r>
    <n v="2500766"/>
    <x v="3"/>
    <x v="717"/>
    <x v="5"/>
    <n v="3"/>
    <n v="15.5"/>
    <x v="24"/>
    <s v="Bravora Group"/>
    <s v="New York City"/>
    <s v=" New York"/>
  </r>
  <r>
    <n v="2500767"/>
    <x v="0"/>
    <x v="718"/>
    <x v="0"/>
    <n v="9"/>
    <n v="18.5"/>
    <x v="2"/>
    <s v="Noventra"/>
    <s v="Miami"/>
    <s v=" Florida"/>
  </r>
  <r>
    <n v="2500768"/>
    <x v="6"/>
    <x v="719"/>
    <x v="4"/>
    <n v="4"/>
    <n v="25.5"/>
    <x v="33"/>
    <s v="Vivanta Co."/>
    <s v="Houston"/>
    <s v=" Texas"/>
  </r>
  <r>
    <n v="2500769"/>
    <x v="5"/>
    <x v="720"/>
    <x v="3"/>
    <n v="5"/>
    <n v="48"/>
    <x v="12"/>
    <s v="Noventra"/>
    <s v="Miami"/>
    <s v=" Florida"/>
  </r>
  <r>
    <n v="2500770"/>
    <x v="5"/>
    <x v="721"/>
    <x v="3"/>
    <n v="10"/>
    <n v="48"/>
    <x v="49"/>
    <s v="Noventra"/>
    <s v="Miami"/>
    <s v=" Florida"/>
  </r>
  <r>
    <n v="2500771"/>
    <x v="6"/>
    <x v="722"/>
    <x v="3"/>
    <n v="8"/>
    <n v="48"/>
    <x v="22"/>
    <s v="Bravora Group"/>
    <s v="New York City"/>
    <s v=" New York"/>
  </r>
  <r>
    <n v="2500772"/>
    <x v="4"/>
    <x v="723"/>
    <x v="0"/>
    <n v="8"/>
    <n v="18.5"/>
    <x v="50"/>
    <s v="Solvesta"/>
    <s v="Los Angeles"/>
    <s v=" California"/>
  </r>
  <r>
    <n v="2500773"/>
    <x v="7"/>
    <x v="724"/>
    <x v="3"/>
    <n v="2"/>
    <n v="48"/>
    <x v="7"/>
    <s v="Bravora Group"/>
    <s v="New York City"/>
    <s v=" New York"/>
  </r>
  <r>
    <n v="2500774"/>
    <x v="7"/>
    <x v="725"/>
    <x v="5"/>
    <n v="7"/>
    <n v="15.5"/>
    <x v="48"/>
    <s v="Vivanta Co."/>
    <s v="Houston"/>
    <s v=" Texas"/>
  </r>
  <r>
    <n v="2500775"/>
    <x v="4"/>
    <x v="726"/>
    <x v="4"/>
    <n v="3"/>
    <n v="25.5"/>
    <x v="53"/>
    <s v="Bravora Group"/>
    <s v="New York City"/>
    <s v=" New York"/>
  </r>
  <r>
    <n v="2500776"/>
    <x v="0"/>
    <x v="727"/>
    <x v="2"/>
    <n v="10"/>
    <n v="36"/>
    <x v="51"/>
    <s v="Luminexa"/>
    <s v="Dallas"/>
    <s v=" Texas"/>
  </r>
  <r>
    <n v="2500777"/>
    <x v="2"/>
    <x v="728"/>
    <x v="4"/>
    <n v="5"/>
    <n v="25.5"/>
    <x v="52"/>
    <s v="Nexora Labs"/>
    <s v="Chicago"/>
    <s v=" Illinois"/>
  </r>
  <r>
    <n v="2500778"/>
    <x v="2"/>
    <x v="729"/>
    <x v="1"/>
    <n v="2"/>
    <n v="32"/>
    <x v="3"/>
    <s v="Aurelia Works"/>
    <s v="Indianapolis"/>
    <s v=" Indiana"/>
  </r>
  <r>
    <n v="2500779"/>
    <x v="3"/>
    <x v="730"/>
    <x v="4"/>
    <n v="4"/>
    <n v="25.5"/>
    <x v="33"/>
    <s v="Luminexa"/>
    <s v="Dallas"/>
    <s v=" Texas"/>
  </r>
  <r>
    <n v="2500780"/>
    <x v="7"/>
    <x v="731"/>
    <x v="5"/>
    <n v="5"/>
    <n v="15.5"/>
    <x v="25"/>
    <s v="Velora Solutions"/>
    <s v="Seattle"/>
    <s v=" Washington"/>
  </r>
  <r>
    <n v="2500781"/>
    <x v="3"/>
    <x v="732"/>
    <x v="3"/>
    <n v="7"/>
    <n v="48"/>
    <x v="37"/>
    <s v="Nexora Labs"/>
    <s v="Chicago"/>
    <s v=" Illinois"/>
  </r>
  <r>
    <n v="2500782"/>
    <x v="5"/>
    <x v="733"/>
    <x v="3"/>
    <n v="3"/>
    <n v="48"/>
    <x v="15"/>
    <s v="Nexora Labs"/>
    <s v="Chicago"/>
    <s v=" Illinois"/>
  </r>
  <r>
    <n v="2500783"/>
    <x v="9"/>
    <x v="734"/>
    <x v="5"/>
    <n v="1"/>
    <n v="15.5"/>
    <x v="40"/>
    <s v="Vivanta Co."/>
    <s v="Houston"/>
    <s v=" Texas"/>
  </r>
  <r>
    <n v="2500784"/>
    <x v="1"/>
    <x v="735"/>
    <x v="4"/>
    <n v="10"/>
    <n v="25.5"/>
    <x v="18"/>
    <s v="Vivanta Co."/>
    <s v="Houston"/>
    <s v=" Texas"/>
  </r>
  <r>
    <n v="2500785"/>
    <x v="3"/>
    <x v="736"/>
    <x v="5"/>
    <n v="10"/>
    <n v="15.5"/>
    <x v="43"/>
    <s v="Vivanta Co."/>
    <s v="Houston"/>
    <s v=" Texas"/>
  </r>
  <r>
    <n v="2500786"/>
    <x v="7"/>
    <x v="737"/>
    <x v="1"/>
    <n v="1"/>
    <n v="32"/>
    <x v="6"/>
    <s v="Bravora Group"/>
    <s v="New York City"/>
    <s v=" New York"/>
  </r>
  <r>
    <n v="2500787"/>
    <x v="6"/>
    <x v="738"/>
    <x v="3"/>
    <n v="7"/>
    <n v="48"/>
    <x v="37"/>
    <s v="Vivanta Co."/>
    <s v="Houston"/>
    <s v=" Texas"/>
  </r>
  <r>
    <n v="2500788"/>
    <x v="2"/>
    <x v="739"/>
    <x v="1"/>
    <n v="7"/>
    <n v="32"/>
    <x v="42"/>
    <s v="Bravora Group"/>
    <s v="New York City"/>
    <s v=" New York"/>
  </r>
  <r>
    <n v="2500789"/>
    <x v="1"/>
    <x v="740"/>
    <x v="4"/>
    <n v="9"/>
    <n v="25.5"/>
    <x v="8"/>
    <s v="Bravora Group"/>
    <s v="New York City"/>
    <s v=" New York"/>
  </r>
  <r>
    <n v="2500790"/>
    <x v="5"/>
    <x v="741"/>
    <x v="3"/>
    <n v="3"/>
    <n v="48"/>
    <x v="15"/>
    <s v="Nexora Labs"/>
    <s v="Chicago"/>
    <s v=" Illinois"/>
  </r>
  <r>
    <n v="2500791"/>
    <x v="8"/>
    <x v="742"/>
    <x v="4"/>
    <n v="6"/>
    <n v="25.5"/>
    <x v="28"/>
    <s v="Noventra"/>
    <s v="Miami"/>
    <s v=" Florida"/>
  </r>
  <r>
    <n v="2500792"/>
    <x v="6"/>
    <x v="743"/>
    <x v="3"/>
    <n v="2"/>
    <n v="48"/>
    <x v="7"/>
    <s v="Nexora Labs"/>
    <s v="Chicago"/>
    <s v=" Illinois"/>
  </r>
  <r>
    <n v="2500793"/>
    <x v="9"/>
    <x v="744"/>
    <x v="2"/>
    <n v="10"/>
    <n v="36"/>
    <x v="51"/>
    <s v="Nexora Labs"/>
    <s v="Chicago"/>
    <s v=" Illinois"/>
  </r>
  <r>
    <n v="2500794"/>
    <x v="3"/>
    <x v="745"/>
    <x v="4"/>
    <n v="8"/>
    <n v="25.5"/>
    <x v="39"/>
    <s v="Nexora Labs"/>
    <s v="Chicago"/>
    <s v=" Illinois"/>
  </r>
  <r>
    <n v="2500795"/>
    <x v="9"/>
    <x v="746"/>
    <x v="2"/>
    <n v="2"/>
    <n v="36"/>
    <x v="13"/>
    <s v="Velora Solutions"/>
    <s v="Seattle"/>
    <s v=" Washington"/>
  </r>
  <r>
    <n v="2500796"/>
    <x v="9"/>
    <x v="747"/>
    <x v="3"/>
    <n v="5"/>
    <n v="48"/>
    <x v="12"/>
    <s v="Luminexa"/>
    <s v="Dallas"/>
    <s v=" Texas"/>
  </r>
  <r>
    <n v="2500797"/>
    <x v="6"/>
    <x v="748"/>
    <x v="2"/>
    <n v="7"/>
    <n v="36"/>
    <x v="19"/>
    <s v="Bravora Group"/>
    <s v="New York City"/>
    <s v=" New York"/>
  </r>
  <r>
    <n v="2500798"/>
    <x v="7"/>
    <x v="749"/>
    <x v="5"/>
    <n v="4"/>
    <n v="15.5"/>
    <x v="54"/>
    <s v="Vivanta Co."/>
    <s v="Houston"/>
    <s v=" Texas"/>
  </r>
  <r>
    <n v="2500799"/>
    <x v="8"/>
    <x v="750"/>
    <x v="3"/>
    <n v="9"/>
    <n v="48"/>
    <x v="34"/>
    <s v="Noventra"/>
    <s v="Miami"/>
    <s v=" Florida"/>
  </r>
  <r>
    <n v="2500800"/>
    <x v="7"/>
    <x v="751"/>
    <x v="5"/>
    <n v="7"/>
    <n v="15.5"/>
    <x v="48"/>
    <s v="Solvesta"/>
    <s v="Los Angeles"/>
    <s v=" California"/>
  </r>
  <r>
    <n v="2500801"/>
    <x v="7"/>
    <x v="752"/>
    <x v="0"/>
    <n v="9"/>
    <n v="18.5"/>
    <x v="2"/>
    <s v="Aurelia Works"/>
    <s v="Indianapolis"/>
    <s v=" Indiana"/>
  </r>
  <r>
    <n v="2500802"/>
    <x v="4"/>
    <x v="753"/>
    <x v="0"/>
    <n v="7"/>
    <n v="18.5"/>
    <x v="10"/>
    <s v="Vivanta Co."/>
    <s v="Houston"/>
    <s v=" Texas"/>
  </r>
  <r>
    <n v="2500803"/>
    <x v="4"/>
    <x v="754"/>
    <x v="5"/>
    <n v="9"/>
    <n v="15.5"/>
    <x v="46"/>
    <s v="Nexora Labs"/>
    <s v="Chicago"/>
    <s v=" Illinois"/>
  </r>
  <r>
    <n v="2500804"/>
    <x v="7"/>
    <x v="755"/>
    <x v="3"/>
    <n v="9"/>
    <n v="48"/>
    <x v="34"/>
    <s v="Bravora Group"/>
    <s v="New York City"/>
    <s v=" New York"/>
  </r>
  <r>
    <n v="2500805"/>
    <x v="9"/>
    <x v="756"/>
    <x v="2"/>
    <n v="10"/>
    <n v="36"/>
    <x v="51"/>
    <s v="Bravora Group"/>
    <s v="New York City"/>
    <s v=" New York"/>
  </r>
  <r>
    <n v="2500806"/>
    <x v="1"/>
    <x v="757"/>
    <x v="1"/>
    <n v="1"/>
    <n v="32"/>
    <x v="6"/>
    <s v="Bravora Group"/>
    <s v="New York City"/>
    <s v=" New York"/>
  </r>
  <r>
    <n v="2500807"/>
    <x v="0"/>
    <x v="758"/>
    <x v="3"/>
    <n v="6"/>
    <n v="48"/>
    <x v="11"/>
    <s v="Aurelia Works"/>
    <s v="Indianapolis"/>
    <s v=" Indiana"/>
  </r>
  <r>
    <n v="2500808"/>
    <x v="7"/>
    <x v="759"/>
    <x v="4"/>
    <n v="10"/>
    <n v="25.5"/>
    <x v="18"/>
    <s v="Aurelia Works"/>
    <s v="Indianapolis"/>
    <s v=" Indiana"/>
  </r>
  <r>
    <n v="2500809"/>
    <x v="6"/>
    <x v="760"/>
    <x v="3"/>
    <n v="3"/>
    <n v="48"/>
    <x v="15"/>
    <s v="Noventra"/>
    <s v="Miami"/>
    <s v=" Florida"/>
  </r>
  <r>
    <n v="2500810"/>
    <x v="1"/>
    <x v="761"/>
    <x v="5"/>
    <n v="10"/>
    <n v="15.5"/>
    <x v="43"/>
    <s v="Solvesta"/>
    <s v="Los Angeles"/>
    <s v=" California"/>
  </r>
  <r>
    <n v="2500811"/>
    <x v="9"/>
    <x v="762"/>
    <x v="0"/>
    <n v="10"/>
    <n v="18.5"/>
    <x v="27"/>
    <s v="Luminexa"/>
    <s v="Dallas"/>
    <s v=" Texas"/>
  </r>
  <r>
    <n v="2500812"/>
    <x v="0"/>
    <x v="763"/>
    <x v="1"/>
    <n v="10"/>
    <n v="32"/>
    <x v="1"/>
    <s v="Vivanta Co."/>
    <s v="Houston"/>
    <s v=" Texas"/>
  </r>
  <r>
    <n v="2500813"/>
    <x v="7"/>
    <x v="764"/>
    <x v="5"/>
    <n v="4"/>
    <n v="15.5"/>
    <x v="54"/>
    <s v="Bravora Group"/>
    <s v="New York City"/>
    <s v=" New York"/>
  </r>
  <r>
    <n v="2500814"/>
    <x v="2"/>
    <x v="765"/>
    <x v="1"/>
    <n v="9"/>
    <n v="32"/>
    <x v="11"/>
    <s v="Nexora Labs"/>
    <s v="Chicago"/>
    <s v=" Illinois"/>
  </r>
  <r>
    <n v="2500815"/>
    <x v="1"/>
    <x v="766"/>
    <x v="2"/>
    <n v="1"/>
    <n v="36"/>
    <x v="45"/>
    <s v="Velora Solutions"/>
    <s v="Seattle"/>
    <s v=" Washington"/>
  </r>
  <r>
    <n v="2500816"/>
    <x v="1"/>
    <x v="767"/>
    <x v="2"/>
    <n v="2"/>
    <n v="36"/>
    <x v="13"/>
    <s v="Noventra"/>
    <s v="Miami"/>
    <s v=" Florida"/>
  </r>
  <r>
    <n v="2500817"/>
    <x v="4"/>
    <x v="768"/>
    <x v="0"/>
    <n v="2"/>
    <n v="18.5"/>
    <x v="41"/>
    <s v="Bravora Group"/>
    <s v="New York City"/>
    <s v=" New York"/>
  </r>
  <r>
    <n v="2500818"/>
    <x v="7"/>
    <x v="769"/>
    <x v="0"/>
    <n v="3"/>
    <n v="18.5"/>
    <x v="35"/>
    <s v="Luminexa"/>
    <s v="Dallas"/>
    <s v=" Texas"/>
  </r>
  <r>
    <n v="2500819"/>
    <x v="9"/>
    <x v="770"/>
    <x v="4"/>
    <n v="9"/>
    <n v="25.5"/>
    <x v="8"/>
    <s v="Noventra"/>
    <s v="Miami"/>
    <s v=" Florida"/>
  </r>
  <r>
    <n v="2500820"/>
    <x v="8"/>
    <x v="771"/>
    <x v="1"/>
    <n v="1"/>
    <n v="32"/>
    <x v="6"/>
    <s v="Aurelia Works"/>
    <s v="Indianapolis"/>
    <s v=" Indiana"/>
  </r>
  <r>
    <n v="2500821"/>
    <x v="6"/>
    <x v="772"/>
    <x v="0"/>
    <n v="6"/>
    <n v="18.5"/>
    <x v="38"/>
    <s v="Bravora Group"/>
    <s v="New York City"/>
    <s v=" New York"/>
  </r>
  <r>
    <n v="2500822"/>
    <x v="2"/>
    <x v="773"/>
    <x v="5"/>
    <n v="6"/>
    <n v="15.5"/>
    <x v="16"/>
    <s v="Luminexa"/>
    <s v="Dallas"/>
    <s v=" Texas"/>
  </r>
  <r>
    <n v="2500823"/>
    <x v="7"/>
    <x v="774"/>
    <x v="4"/>
    <n v="6"/>
    <n v="25.5"/>
    <x v="28"/>
    <s v="Luminexa"/>
    <s v="Dallas"/>
    <s v=" Texas"/>
  </r>
  <r>
    <n v="2500824"/>
    <x v="9"/>
    <x v="775"/>
    <x v="3"/>
    <n v="1"/>
    <n v="48"/>
    <x v="31"/>
    <s v="Aurelia Works"/>
    <s v="Indianapolis"/>
    <s v=" Indiana"/>
  </r>
  <r>
    <n v="2500825"/>
    <x v="6"/>
    <x v="776"/>
    <x v="1"/>
    <n v="6"/>
    <n v="32"/>
    <x v="5"/>
    <s v="Velora Solutions"/>
    <s v="Seattle"/>
    <s v=" Washington"/>
  </r>
  <r>
    <n v="2500826"/>
    <x v="0"/>
    <x v="777"/>
    <x v="3"/>
    <n v="8"/>
    <n v="48"/>
    <x v="22"/>
    <s v="Solvesta"/>
    <s v="Los Angeles"/>
    <s v=" California"/>
  </r>
  <r>
    <n v="2500827"/>
    <x v="1"/>
    <x v="778"/>
    <x v="3"/>
    <n v="1"/>
    <n v="48"/>
    <x v="31"/>
    <s v="Noventra"/>
    <s v="Miami"/>
    <s v=" Florida"/>
  </r>
  <r>
    <n v="2500828"/>
    <x v="5"/>
    <x v="779"/>
    <x v="4"/>
    <n v="9"/>
    <n v="25.5"/>
    <x v="8"/>
    <s v="Velora Solutions"/>
    <s v="Seattle"/>
    <s v=" Washington"/>
  </r>
  <r>
    <n v="2500829"/>
    <x v="8"/>
    <x v="780"/>
    <x v="4"/>
    <n v="5"/>
    <n v="25.5"/>
    <x v="52"/>
    <s v="Vivanta Co."/>
    <s v="Houston"/>
    <s v=" Texas"/>
  </r>
  <r>
    <n v="2500830"/>
    <x v="6"/>
    <x v="781"/>
    <x v="3"/>
    <n v="3"/>
    <n v="48"/>
    <x v="15"/>
    <s v="Velora Solutions"/>
    <s v="Seattle"/>
    <s v=" Washington"/>
  </r>
  <r>
    <n v="2500831"/>
    <x v="1"/>
    <x v="782"/>
    <x v="5"/>
    <n v="3"/>
    <n v="15.5"/>
    <x v="24"/>
    <s v="Vivanta Co."/>
    <s v="Houston"/>
    <s v=" Texas"/>
  </r>
  <r>
    <n v="2500832"/>
    <x v="5"/>
    <x v="783"/>
    <x v="0"/>
    <n v="4"/>
    <n v="18.5"/>
    <x v="0"/>
    <s v="Aurelia Works"/>
    <s v="Indianapolis"/>
    <s v=" Indiana"/>
  </r>
  <r>
    <n v="2500833"/>
    <x v="2"/>
    <x v="784"/>
    <x v="5"/>
    <n v="5"/>
    <n v="15.5"/>
    <x v="25"/>
    <s v="Velora Solutions"/>
    <s v="Seattle"/>
    <s v=" Washington"/>
  </r>
  <r>
    <n v="2500834"/>
    <x v="5"/>
    <x v="785"/>
    <x v="5"/>
    <n v="1"/>
    <n v="15.5"/>
    <x v="40"/>
    <s v="Noventra"/>
    <s v="Miami"/>
    <s v=" Florida"/>
  </r>
  <r>
    <n v="2500835"/>
    <x v="1"/>
    <x v="786"/>
    <x v="4"/>
    <n v="4"/>
    <n v="25.5"/>
    <x v="33"/>
    <s v="Aurelia Works"/>
    <s v="Indianapolis"/>
    <s v=" Indiana"/>
  </r>
  <r>
    <n v="2500836"/>
    <x v="7"/>
    <x v="787"/>
    <x v="1"/>
    <n v="5"/>
    <n v="32"/>
    <x v="47"/>
    <s v="Aurelia Works"/>
    <s v="Indianapolis"/>
    <s v=" Indiana"/>
  </r>
  <r>
    <n v="2500837"/>
    <x v="5"/>
    <x v="788"/>
    <x v="2"/>
    <n v="1"/>
    <n v="36"/>
    <x v="45"/>
    <s v="Solvesta"/>
    <s v="Los Angeles"/>
    <s v=" California"/>
  </r>
  <r>
    <n v="2500838"/>
    <x v="8"/>
    <x v="789"/>
    <x v="3"/>
    <n v="4"/>
    <n v="48"/>
    <x v="5"/>
    <s v="Nexora Labs"/>
    <s v="Chicago"/>
    <s v=" Illinois"/>
  </r>
  <r>
    <n v="2500839"/>
    <x v="8"/>
    <x v="790"/>
    <x v="4"/>
    <n v="5"/>
    <n v="25.5"/>
    <x v="52"/>
    <s v="Solvesta"/>
    <s v="Los Angeles"/>
    <s v=" California"/>
  </r>
  <r>
    <n v="2500840"/>
    <x v="4"/>
    <x v="791"/>
    <x v="5"/>
    <n v="1"/>
    <n v="15.5"/>
    <x v="40"/>
    <s v="Vivanta Co."/>
    <s v="Houston"/>
    <s v=" Texas"/>
  </r>
  <r>
    <n v="2500841"/>
    <x v="5"/>
    <x v="792"/>
    <x v="5"/>
    <n v="3"/>
    <n v="15.5"/>
    <x v="24"/>
    <s v="Noventra"/>
    <s v="Miami"/>
    <s v=" Florida"/>
  </r>
  <r>
    <n v="2500842"/>
    <x v="3"/>
    <x v="793"/>
    <x v="5"/>
    <n v="7"/>
    <n v="15.5"/>
    <x v="48"/>
    <s v="Noventra"/>
    <s v="Miami"/>
    <s v=" Florida"/>
  </r>
  <r>
    <n v="2500843"/>
    <x v="6"/>
    <x v="794"/>
    <x v="5"/>
    <n v="7"/>
    <n v="15.5"/>
    <x v="48"/>
    <s v="Bravora Group"/>
    <s v="New York City"/>
    <s v=" New York"/>
  </r>
  <r>
    <n v="2500844"/>
    <x v="9"/>
    <x v="795"/>
    <x v="0"/>
    <n v="3"/>
    <n v="18.5"/>
    <x v="35"/>
    <s v="Vivanta Co."/>
    <s v="Houston"/>
    <s v=" Texas"/>
  </r>
  <r>
    <n v="2500845"/>
    <x v="7"/>
    <x v="796"/>
    <x v="1"/>
    <n v="8"/>
    <n v="32"/>
    <x v="23"/>
    <s v="Noventra"/>
    <s v="Miami"/>
    <s v=" Florida"/>
  </r>
  <r>
    <n v="2500846"/>
    <x v="3"/>
    <x v="797"/>
    <x v="1"/>
    <n v="8"/>
    <n v="32"/>
    <x v="23"/>
    <s v="Aurelia Works"/>
    <s v="Indianapolis"/>
    <s v=" Indiana"/>
  </r>
  <r>
    <n v="2500847"/>
    <x v="0"/>
    <x v="798"/>
    <x v="4"/>
    <n v="2"/>
    <n v="25.5"/>
    <x v="9"/>
    <s v="Luminexa"/>
    <s v="Dallas"/>
    <s v=" Texas"/>
  </r>
  <r>
    <n v="2500848"/>
    <x v="5"/>
    <x v="799"/>
    <x v="2"/>
    <n v="1"/>
    <n v="36"/>
    <x v="45"/>
    <s v="Vivanta Co."/>
    <s v="Houston"/>
    <s v=" Texas"/>
  </r>
  <r>
    <n v="2500849"/>
    <x v="1"/>
    <x v="800"/>
    <x v="2"/>
    <n v="3"/>
    <n v="36"/>
    <x v="14"/>
    <s v="Vivanta Co."/>
    <s v="Houston"/>
    <s v=" Texas"/>
  </r>
  <r>
    <n v="2500850"/>
    <x v="3"/>
    <x v="801"/>
    <x v="2"/>
    <n v="2"/>
    <n v="36"/>
    <x v="13"/>
    <s v="Solvesta"/>
    <s v="Los Angeles"/>
    <s v=" California"/>
  </r>
  <r>
    <n v="2500851"/>
    <x v="2"/>
    <x v="802"/>
    <x v="2"/>
    <n v="8"/>
    <n v="36"/>
    <x v="11"/>
    <s v="Bravora Group"/>
    <s v="New York City"/>
    <s v=" New York"/>
  </r>
  <r>
    <n v="2500852"/>
    <x v="3"/>
    <x v="803"/>
    <x v="0"/>
    <n v="2"/>
    <n v="18.5"/>
    <x v="41"/>
    <s v="Vivanta Co."/>
    <s v="Houston"/>
    <s v=" Texas"/>
  </r>
  <r>
    <n v="2500853"/>
    <x v="6"/>
    <x v="804"/>
    <x v="1"/>
    <n v="7"/>
    <n v="32"/>
    <x v="42"/>
    <s v="Velora Solutions"/>
    <s v="Seattle"/>
    <s v=" Washington"/>
  </r>
  <r>
    <n v="2500854"/>
    <x v="1"/>
    <x v="805"/>
    <x v="1"/>
    <n v="10"/>
    <n v="32"/>
    <x v="1"/>
    <s v="Nexora Labs"/>
    <s v="Chicago"/>
    <s v=" Illinois"/>
  </r>
  <r>
    <n v="2500855"/>
    <x v="2"/>
    <x v="806"/>
    <x v="0"/>
    <n v="3"/>
    <n v="18.5"/>
    <x v="35"/>
    <s v="Velora Solutions"/>
    <s v="Seattle"/>
    <s v=" Washington"/>
  </r>
  <r>
    <n v="2500856"/>
    <x v="5"/>
    <x v="807"/>
    <x v="5"/>
    <n v="10"/>
    <n v="15.5"/>
    <x v="43"/>
    <s v="Solvesta"/>
    <s v="Los Angeles"/>
    <s v=" California"/>
  </r>
  <r>
    <n v="2500857"/>
    <x v="8"/>
    <x v="808"/>
    <x v="1"/>
    <n v="10"/>
    <n v="32"/>
    <x v="1"/>
    <s v="Vivanta Co."/>
    <s v="Houston"/>
    <s v=" Texas"/>
  </r>
  <r>
    <n v="2500858"/>
    <x v="5"/>
    <x v="809"/>
    <x v="4"/>
    <n v="2"/>
    <n v="25.5"/>
    <x v="9"/>
    <s v="Velora Solutions"/>
    <s v="Seattle"/>
    <s v=" Washington"/>
  </r>
  <r>
    <n v="2500859"/>
    <x v="9"/>
    <x v="810"/>
    <x v="1"/>
    <n v="7"/>
    <n v="32"/>
    <x v="42"/>
    <s v="Luminexa"/>
    <s v="Dallas"/>
    <s v=" Texas"/>
  </r>
  <r>
    <n v="2500860"/>
    <x v="0"/>
    <x v="811"/>
    <x v="5"/>
    <n v="8"/>
    <n v="15.5"/>
    <x v="44"/>
    <s v="Bravora Group"/>
    <s v="New York City"/>
    <s v=" New York"/>
  </r>
  <r>
    <n v="2500861"/>
    <x v="0"/>
    <x v="812"/>
    <x v="4"/>
    <n v="7"/>
    <n v="25.5"/>
    <x v="21"/>
    <s v="Luminexa"/>
    <s v="Dallas"/>
    <s v=" Texas"/>
  </r>
  <r>
    <n v="2500862"/>
    <x v="4"/>
    <x v="813"/>
    <x v="5"/>
    <n v="5"/>
    <n v="15.5"/>
    <x v="25"/>
    <s v="Vivanta Co."/>
    <s v="Houston"/>
    <s v=" Texas"/>
  </r>
  <r>
    <n v="2500863"/>
    <x v="7"/>
    <x v="814"/>
    <x v="0"/>
    <n v="9"/>
    <n v="18.5"/>
    <x v="2"/>
    <s v="Bravora Group"/>
    <s v="New York City"/>
    <s v=" New York"/>
  </r>
  <r>
    <n v="2500864"/>
    <x v="9"/>
    <x v="815"/>
    <x v="0"/>
    <n v="10"/>
    <n v="18.5"/>
    <x v="27"/>
    <s v="Nexora Labs"/>
    <s v="Chicago"/>
    <s v=" Illinois"/>
  </r>
  <r>
    <n v="2500865"/>
    <x v="0"/>
    <x v="816"/>
    <x v="0"/>
    <n v="5"/>
    <n v="18.5"/>
    <x v="36"/>
    <s v="Solvesta"/>
    <s v="Los Angeles"/>
    <s v=" California"/>
  </r>
  <r>
    <n v="2500866"/>
    <x v="7"/>
    <x v="817"/>
    <x v="2"/>
    <n v="7"/>
    <n v="36"/>
    <x v="19"/>
    <s v="Bravora Group"/>
    <s v="New York City"/>
    <s v=" New York"/>
  </r>
  <r>
    <n v="2500867"/>
    <x v="1"/>
    <x v="818"/>
    <x v="2"/>
    <n v="7"/>
    <n v="36"/>
    <x v="19"/>
    <s v="Bravora Group"/>
    <s v="New York City"/>
    <s v=" New York"/>
  </r>
  <r>
    <n v="2500868"/>
    <x v="1"/>
    <x v="819"/>
    <x v="0"/>
    <n v="1"/>
    <n v="18.5"/>
    <x v="30"/>
    <s v="Velora Solutions"/>
    <s v="Seattle"/>
    <s v=" Washington"/>
  </r>
  <r>
    <n v="2500869"/>
    <x v="4"/>
    <x v="820"/>
    <x v="1"/>
    <n v="4"/>
    <n v="32"/>
    <x v="26"/>
    <s v="Luminexa"/>
    <s v="Dallas"/>
    <s v=" Texas"/>
  </r>
  <r>
    <n v="2500870"/>
    <x v="6"/>
    <x v="821"/>
    <x v="3"/>
    <n v="4"/>
    <n v="48"/>
    <x v="5"/>
    <s v="Vivanta Co."/>
    <s v="Houston"/>
    <s v=" Texas"/>
  </r>
  <r>
    <n v="2500871"/>
    <x v="3"/>
    <x v="822"/>
    <x v="2"/>
    <n v="9"/>
    <n v="36"/>
    <x v="32"/>
    <s v="Luminexa"/>
    <s v="Dallas"/>
    <s v=" Texas"/>
  </r>
  <r>
    <n v="2500872"/>
    <x v="0"/>
    <x v="823"/>
    <x v="2"/>
    <n v="5"/>
    <n v="36"/>
    <x v="4"/>
    <s v="Bravora Group"/>
    <s v="New York City"/>
    <s v=" New York"/>
  </r>
  <r>
    <n v="2500873"/>
    <x v="6"/>
    <x v="824"/>
    <x v="0"/>
    <n v="7"/>
    <n v="18.5"/>
    <x v="10"/>
    <s v="Noventra"/>
    <s v="Miami"/>
    <s v=" Florida"/>
  </r>
  <r>
    <n v="2500874"/>
    <x v="0"/>
    <x v="825"/>
    <x v="2"/>
    <n v="7"/>
    <n v="36"/>
    <x v="19"/>
    <s v="Luminexa"/>
    <s v="Dallas"/>
    <s v=" Texas"/>
  </r>
  <r>
    <n v="2500875"/>
    <x v="9"/>
    <x v="826"/>
    <x v="0"/>
    <n v="3"/>
    <n v="18.5"/>
    <x v="35"/>
    <s v="Velora Solutions"/>
    <s v="Seattle"/>
    <s v=" Washington"/>
  </r>
  <r>
    <n v="2500876"/>
    <x v="6"/>
    <x v="827"/>
    <x v="0"/>
    <n v="9"/>
    <n v="18.5"/>
    <x v="2"/>
    <s v="Velora Solutions"/>
    <s v="Seattle"/>
    <s v=" Washington"/>
  </r>
  <r>
    <n v="2500877"/>
    <x v="5"/>
    <x v="828"/>
    <x v="2"/>
    <n v="2"/>
    <n v="36"/>
    <x v="13"/>
    <s v="Noventra"/>
    <s v="Miami"/>
    <s v=" Florida"/>
  </r>
  <r>
    <n v="2500878"/>
    <x v="0"/>
    <x v="829"/>
    <x v="4"/>
    <n v="6"/>
    <n v="25.5"/>
    <x v="28"/>
    <s v="Nexora Labs"/>
    <s v="Chicago"/>
    <s v=" Illinois"/>
  </r>
  <r>
    <n v="2500879"/>
    <x v="0"/>
    <x v="830"/>
    <x v="3"/>
    <n v="8"/>
    <n v="48"/>
    <x v="22"/>
    <s v="Vivanta Co."/>
    <s v="Houston"/>
    <s v=" Texas"/>
  </r>
  <r>
    <n v="2500880"/>
    <x v="2"/>
    <x v="831"/>
    <x v="2"/>
    <n v="7"/>
    <n v="36"/>
    <x v="19"/>
    <s v="Solvesta"/>
    <s v="Los Angeles"/>
    <s v=" California"/>
  </r>
  <r>
    <n v="2500881"/>
    <x v="6"/>
    <x v="832"/>
    <x v="3"/>
    <n v="1"/>
    <n v="48"/>
    <x v="31"/>
    <s v="Nexora Labs"/>
    <s v="Chicago"/>
    <s v=" Illinois"/>
  </r>
  <r>
    <n v="2500882"/>
    <x v="2"/>
    <x v="833"/>
    <x v="0"/>
    <n v="3"/>
    <n v="18.5"/>
    <x v="35"/>
    <s v="Aurelia Works"/>
    <s v="Indianapolis"/>
    <s v=" Indiana"/>
  </r>
  <r>
    <n v="2500883"/>
    <x v="9"/>
    <x v="834"/>
    <x v="5"/>
    <n v="3"/>
    <n v="15.5"/>
    <x v="24"/>
    <s v="Velora Solutions"/>
    <s v="Seattle"/>
    <s v=" Washington"/>
  </r>
  <r>
    <n v="2500884"/>
    <x v="5"/>
    <x v="835"/>
    <x v="1"/>
    <n v="4"/>
    <n v="32"/>
    <x v="26"/>
    <s v="Vivanta Co."/>
    <s v="Houston"/>
    <s v=" Texas"/>
  </r>
  <r>
    <n v="2500885"/>
    <x v="6"/>
    <x v="836"/>
    <x v="5"/>
    <n v="7"/>
    <n v="15.5"/>
    <x v="48"/>
    <s v="Solvesta"/>
    <s v="Los Angeles"/>
    <s v=" California"/>
  </r>
  <r>
    <n v="2500886"/>
    <x v="8"/>
    <x v="837"/>
    <x v="2"/>
    <n v="3"/>
    <n v="36"/>
    <x v="14"/>
    <s v="Velora Solutions"/>
    <s v="Seattle"/>
    <s v=" Washington"/>
  </r>
  <r>
    <n v="2500887"/>
    <x v="2"/>
    <x v="838"/>
    <x v="0"/>
    <n v="1"/>
    <n v="18.5"/>
    <x v="30"/>
    <s v="Bravora Group"/>
    <s v="New York City"/>
    <s v=" New York"/>
  </r>
  <r>
    <n v="2500888"/>
    <x v="7"/>
    <x v="839"/>
    <x v="1"/>
    <n v="7"/>
    <n v="32"/>
    <x v="42"/>
    <s v="Luminexa"/>
    <s v="Dallas"/>
    <s v=" Texas"/>
  </r>
  <r>
    <n v="2500889"/>
    <x v="4"/>
    <x v="840"/>
    <x v="4"/>
    <n v="6"/>
    <n v="25.5"/>
    <x v="28"/>
    <s v="Noventra"/>
    <s v="Miami"/>
    <s v=" Florida"/>
  </r>
  <r>
    <n v="2500890"/>
    <x v="3"/>
    <x v="841"/>
    <x v="1"/>
    <n v="10"/>
    <n v="32"/>
    <x v="1"/>
    <s v="Luminexa"/>
    <s v="Dallas"/>
    <s v=" Texas"/>
  </r>
  <r>
    <n v="2500891"/>
    <x v="6"/>
    <x v="842"/>
    <x v="1"/>
    <n v="3"/>
    <n v="32"/>
    <x v="7"/>
    <s v="Luminexa"/>
    <s v="Dallas"/>
    <s v=" Texas"/>
  </r>
  <r>
    <n v="2500892"/>
    <x v="7"/>
    <x v="843"/>
    <x v="1"/>
    <n v="5"/>
    <n v="32"/>
    <x v="47"/>
    <s v="Vivanta Co."/>
    <s v="Houston"/>
    <s v=" Texas"/>
  </r>
  <r>
    <n v="2500893"/>
    <x v="9"/>
    <x v="844"/>
    <x v="3"/>
    <n v="8"/>
    <n v="48"/>
    <x v="22"/>
    <s v="Solvesta"/>
    <s v="Los Angeles"/>
    <s v=" California"/>
  </r>
  <r>
    <n v="2500894"/>
    <x v="3"/>
    <x v="845"/>
    <x v="3"/>
    <n v="4"/>
    <n v="48"/>
    <x v="5"/>
    <s v="Luminexa"/>
    <s v="Dallas"/>
    <s v=" Texas"/>
  </r>
  <r>
    <n v="2500895"/>
    <x v="2"/>
    <x v="846"/>
    <x v="2"/>
    <n v="2"/>
    <n v="36"/>
    <x v="13"/>
    <s v="Solvesta"/>
    <s v="Los Angeles"/>
    <s v=" California"/>
  </r>
  <r>
    <n v="2500896"/>
    <x v="2"/>
    <x v="847"/>
    <x v="5"/>
    <n v="2"/>
    <n v="15.5"/>
    <x v="20"/>
    <s v="Nexora Labs"/>
    <s v="Chicago"/>
    <s v=" Illinois"/>
  </r>
  <r>
    <n v="2500897"/>
    <x v="4"/>
    <x v="848"/>
    <x v="1"/>
    <n v="1"/>
    <n v="32"/>
    <x v="6"/>
    <s v="Vivanta Co."/>
    <s v="Houston"/>
    <s v=" Texas"/>
  </r>
  <r>
    <n v="2500898"/>
    <x v="3"/>
    <x v="849"/>
    <x v="5"/>
    <n v="4"/>
    <n v="15.5"/>
    <x v="54"/>
    <s v="Luminexa"/>
    <s v="Dallas"/>
    <s v=" Texas"/>
  </r>
  <r>
    <n v="2500899"/>
    <x v="4"/>
    <x v="850"/>
    <x v="5"/>
    <n v="4"/>
    <n v="15.5"/>
    <x v="54"/>
    <s v="Solvesta"/>
    <s v="Los Angeles"/>
    <s v=" California"/>
  </r>
  <r>
    <n v="2500900"/>
    <x v="9"/>
    <x v="851"/>
    <x v="0"/>
    <n v="2"/>
    <n v="18.5"/>
    <x v="41"/>
    <s v="Noventra"/>
    <s v="Miami"/>
    <s v=" Florida"/>
  </r>
  <r>
    <n v="2500901"/>
    <x v="0"/>
    <x v="852"/>
    <x v="4"/>
    <n v="10"/>
    <n v="25.5"/>
    <x v="18"/>
    <s v="Bravora Group"/>
    <s v="New York City"/>
    <s v=" New York"/>
  </r>
  <r>
    <n v="2500902"/>
    <x v="3"/>
    <x v="853"/>
    <x v="3"/>
    <n v="1"/>
    <n v="48"/>
    <x v="31"/>
    <s v="Velora Solutions"/>
    <s v="Seattle"/>
    <s v=" Washington"/>
  </r>
  <r>
    <n v="2500903"/>
    <x v="8"/>
    <x v="854"/>
    <x v="3"/>
    <n v="5"/>
    <n v="48"/>
    <x v="12"/>
    <s v="Luminexa"/>
    <s v="Dallas"/>
    <s v=" Texas"/>
  </r>
  <r>
    <n v="2500904"/>
    <x v="8"/>
    <x v="855"/>
    <x v="0"/>
    <n v="1"/>
    <n v="18.5"/>
    <x v="30"/>
    <s v="Luminexa"/>
    <s v="Dallas"/>
    <s v=" Texas"/>
  </r>
  <r>
    <n v="2500905"/>
    <x v="5"/>
    <x v="856"/>
    <x v="4"/>
    <n v="9"/>
    <n v="25.5"/>
    <x v="8"/>
    <s v="Aurelia Works"/>
    <s v="Indianapolis"/>
    <s v=" Indiana"/>
  </r>
  <r>
    <n v="2500906"/>
    <x v="0"/>
    <x v="857"/>
    <x v="3"/>
    <n v="4"/>
    <n v="48"/>
    <x v="5"/>
    <s v="Nexora Labs"/>
    <s v="Chicago"/>
    <s v=" Illinois"/>
  </r>
  <r>
    <n v="2500907"/>
    <x v="0"/>
    <x v="858"/>
    <x v="4"/>
    <n v="4"/>
    <n v="25.5"/>
    <x v="33"/>
    <s v="Velora Solutions"/>
    <s v="Seattle"/>
    <s v=" Washington"/>
  </r>
  <r>
    <n v="2500908"/>
    <x v="5"/>
    <x v="859"/>
    <x v="5"/>
    <n v="10"/>
    <n v="15.5"/>
    <x v="43"/>
    <s v="Luminexa"/>
    <s v="Dallas"/>
    <s v=" Texas"/>
  </r>
  <r>
    <n v="2500909"/>
    <x v="5"/>
    <x v="860"/>
    <x v="5"/>
    <n v="7"/>
    <n v="15.5"/>
    <x v="48"/>
    <s v="Solvesta"/>
    <s v="Los Angeles"/>
    <s v=" California"/>
  </r>
  <r>
    <n v="2500910"/>
    <x v="8"/>
    <x v="861"/>
    <x v="3"/>
    <n v="8"/>
    <n v="48"/>
    <x v="22"/>
    <s v="Aurelia Works"/>
    <s v="Indianapolis"/>
    <s v=" Indiana"/>
  </r>
  <r>
    <n v="2500911"/>
    <x v="0"/>
    <x v="862"/>
    <x v="4"/>
    <n v="8"/>
    <n v="25.5"/>
    <x v="39"/>
    <s v="Luminexa"/>
    <s v="Dallas"/>
    <s v=" Texas"/>
  </r>
  <r>
    <n v="2500912"/>
    <x v="4"/>
    <x v="863"/>
    <x v="4"/>
    <n v="5"/>
    <n v="25.5"/>
    <x v="52"/>
    <s v="Solvesta"/>
    <s v="Los Angeles"/>
    <s v=" California"/>
  </r>
  <r>
    <n v="2500913"/>
    <x v="9"/>
    <x v="864"/>
    <x v="0"/>
    <n v="5"/>
    <n v="18.5"/>
    <x v="36"/>
    <s v="Aurelia Works"/>
    <s v="Indianapolis"/>
    <s v=" Indiana"/>
  </r>
  <r>
    <n v="2500914"/>
    <x v="9"/>
    <x v="865"/>
    <x v="0"/>
    <n v="2"/>
    <n v="18.5"/>
    <x v="41"/>
    <s v="Bravora Group"/>
    <s v="New York City"/>
    <s v=" New York"/>
  </r>
  <r>
    <n v="2500915"/>
    <x v="8"/>
    <x v="866"/>
    <x v="1"/>
    <n v="3"/>
    <n v="32"/>
    <x v="7"/>
    <s v="Nexora Labs"/>
    <s v="Chicago"/>
    <s v=" Illinois"/>
  </r>
  <r>
    <n v="2500916"/>
    <x v="6"/>
    <x v="867"/>
    <x v="4"/>
    <n v="5"/>
    <n v="25.5"/>
    <x v="52"/>
    <s v="Vivanta Co."/>
    <s v="Houston"/>
    <s v=" Texas"/>
  </r>
  <r>
    <n v="2500917"/>
    <x v="6"/>
    <x v="868"/>
    <x v="3"/>
    <n v="3"/>
    <n v="48"/>
    <x v="15"/>
    <s v="Vivanta Co."/>
    <s v="Houston"/>
    <s v=" Texas"/>
  </r>
  <r>
    <n v="2500918"/>
    <x v="0"/>
    <x v="869"/>
    <x v="5"/>
    <n v="2"/>
    <n v="15.5"/>
    <x v="20"/>
    <s v="Nexora Labs"/>
    <s v="Chicago"/>
    <s v=" Illinois"/>
  </r>
  <r>
    <n v="2500919"/>
    <x v="6"/>
    <x v="870"/>
    <x v="1"/>
    <n v="3"/>
    <n v="32"/>
    <x v="7"/>
    <s v="Noventra"/>
    <s v="Miami"/>
    <s v=" Florida"/>
  </r>
  <r>
    <n v="2500920"/>
    <x v="3"/>
    <x v="871"/>
    <x v="1"/>
    <n v="7"/>
    <n v="32"/>
    <x v="42"/>
    <s v="Solvesta"/>
    <s v="Los Angeles"/>
    <s v=" California"/>
  </r>
  <r>
    <n v="2500921"/>
    <x v="9"/>
    <x v="872"/>
    <x v="0"/>
    <n v="3"/>
    <n v="18.5"/>
    <x v="35"/>
    <s v="Aurelia Works"/>
    <s v="Indianapolis"/>
    <s v=" Indiana"/>
  </r>
  <r>
    <n v="2500922"/>
    <x v="8"/>
    <x v="873"/>
    <x v="5"/>
    <n v="3"/>
    <n v="15.5"/>
    <x v="24"/>
    <s v="Vivanta Co."/>
    <s v="Houston"/>
    <s v=" Texas"/>
  </r>
  <r>
    <n v="2500923"/>
    <x v="1"/>
    <x v="874"/>
    <x v="0"/>
    <n v="7"/>
    <n v="18.5"/>
    <x v="10"/>
    <s v="Vivanta Co."/>
    <s v="Houston"/>
    <s v=" Texas"/>
  </r>
  <r>
    <n v="2500924"/>
    <x v="9"/>
    <x v="875"/>
    <x v="4"/>
    <n v="8"/>
    <n v="25.5"/>
    <x v="39"/>
    <s v="Velora Solutions"/>
    <s v="Seattle"/>
    <s v=" Washington"/>
  </r>
  <r>
    <n v="2500925"/>
    <x v="2"/>
    <x v="876"/>
    <x v="1"/>
    <n v="3"/>
    <n v="32"/>
    <x v="7"/>
    <s v="Velora Solutions"/>
    <s v="Seattle"/>
    <s v=" Washington"/>
  </r>
  <r>
    <n v="2500926"/>
    <x v="5"/>
    <x v="877"/>
    <x v="5"/>
    <n v="9"/>
    <n v="15.5"/>
    <x v="46"/>
    <s v="Aurelia Works"/>
    <s v="Indianapolis"/>
    <s v=" Indiana"/>
  </r>
  <r>
    <n v="2500927"/>
    <x v="6"/>
    <x v="878"/>
    <x v="3"/>
    <n v="8"/>
    <n v="48"/>
    <x v="22"/>
    <s v="Solvesta"/>
    <s v="Los Angeles"/>
    <s v=" California"/>
  </r>
  <r>
    <n v="2500928"/>
    <x v="5"/>
    <x v="879"/>
    <x v="5"/>
    <n v="10"/>
    <n v="15.5"/>
    <x v="43"/>
    <s v="Vivanta Co."/>
    <s v="Houston"/>
    <s v=" Texas"/>
  </r>
  <r>
    <n v="2500929"/>
    <x v="7"/>
    <x v="880"/>
    <x v="4"/>
    <n v="9"/>
    <n v="25.5"/>
    <x v="8"/>
    <s v="Vivanta Co."/>
    <s v="Houston"/>
    <s v=" Texas"/>
  </r>
  <r>
    <n v="2500930"/>
    <x v="5"/>
    <x v="881"/>
    <x v="5"/>
    <n v="8"/>
    <n v="15.5"/>
    <x v="44"/>
    <s v="Luminexa"/>
    <s v="Dallas"/>
    <s v=" Texas"/>
  </r>
  <r>
    <n v="2500931"/>
    <x v="2"/>
    <x v="882"/>
    <x v="4"/>
    <n v="8"/>
    <n v="25.5"/>
    <x v="39"/>
    <s v="Vivanta Co."/>
    <s v="Houston"/>
    <s v=" Texas"/>
  </r>
  <r>
    <n v="2500932"/>
    <x v="0"/>
    <x v="883"/>
    <x v="4"/>
    <n v="6"/>
    <n v="25.5"/>
    <x v="28"/>
    <s v="Noventra"/>
    <s v="Miami"/>
    <s v=" Florida"/>
  </r>
  <r>
    <n v="2500933"/>
    <x v="0"/>
    <x v="884"/>
    <x v="4"/>
    <n v="1"/>
    <n v="25.5"/>
    <x v="17"/>
    <s v="Solvesta"/>
    <s v="Los Angeles"/>
    <s v=" California"/>
  </r>
  <r>
    <n v="2500934"/>
    <x v="0"/>
    <x v="885"/>
    <x v="4"/>
    <n v="2"/>
    <n v="25.5"/>
    <x v="9"/>
    <s v="Vivanta Co."/>
    <s v="Houston"/>
    <s v=" Texas"/>
  </r>
  <r>
    <n v="2500935"/>
    <x v="1"/>
    <x v="886"/>
    <x v="5"/>
    <n v="3"/>
    <n v="15.5"/>
    <x v="24"/>
    <s v="Bravora Group"/>
    <s v="New York City"/>
    <s v=" New York"/>
  </r>
  <r>
    <n v="2500936"/>
    <x v="7"/>
    <x v="887"/>
    <x v="5"/>
    <n v="1"/>
    <n v="15.5"/>
    <x v="40"/>
    <s v="Solvesta"/>
    <s v="Los Angeles"/>
    <s v=" California"/>
  </r>
  <r>
    <n v="2500937"/>
    <x v="4"/>
    <x v="888"/>
    <x v="4"/>
    <n v="5"/>
    <n v="25.5"/>
    <x v="52"/>
    <s v="Nexora Labs"/>
    <s v="Chicago"/>
    <s v=" Illinois"/>
  </r>
  <r>
    <n v="2500938"/>
    <x v="2"/>
    <x v="889"/>
    <x v="3"/>
    <n v="4"/>
    <n v="48"/>
    <x v="5"/>
    <s v="Luminexa"/>
    <s v="Dallas"/>
    <s v=" Texas"/>
  </r>
  <r>
    <n v="2500939"/>
    <x v="2"/>
    <x v="890"/>
    <x v="0"/>
    <n v="3"/>
    <n v="18.5"/>
    <x v="35"/>
    <s v="Noventra"/>
    <s v="Miami"/>
    <s v=" Florida"/>
  </r>
  <r>
    <n v="2500940"/>
    <x v="8"/>
    <x v="891"/>
    <x v="4"/>
    <n v="7"/>
    <n v="25.5"/>
    <x v="21"/>
    <s v="Luminexa"/>
    <s v="Dallas"/>
    <s v=" Texas"/>
  </r>
  <r>
    <n v="2500941"/>
    <x v="8"/>
    <x v="892"/>
    <x v="4"/>
    <n v="6"/>
    <n v="25.5"/>
    <x v="28"/>
    <s v="Nexora Labs"/>
    <s v="Chicago"/>
    <s v=" Illinois"/>
  </r>
  <r>
    <n v="2500942"/>
    <x v="2"/>
    <x v="893"/>
    <x v="4"/>
    <n v="3"/>
    <n v="25.5"/>
    <x v="53"/>
    <s v="Velora Solutions"/>
    <s v="Seattle"/>
    <s v=" Washington"/>
  </r>
  <r>
    <n v="2500943"/>
    <x v="4"/>
    <x v="894"/>
    <x v="4"/>
    <n v="6"/>
    <n v="25.5"/>
    <x v="28"/>
    <s v="Bravora Group"/>
    <s v="New York City"/>
    <s v=" New York"/>
  </r>
  <r>
    <n v="2500944"/>
    <x v="2"/>
    <x v="895"/>
    <x v="0"/>
    <n v="10"/>
    <n v="18.5"/>
    <x v="27"/>
    <s v="Noventra"/>
    <s v="Miami"/>
    <s v=" Florida"/>
  </r>
  <r>
    <n v="2500945"/>
    <x v="4"/>
    <x v="896"/>
    <x v="2"/>
    <n v="6"/>
    <n v="36"/>
    <x v="29"/>
    <s v="Noventra"/>
    <s v="Miami"/>
    <s v=" Florida"/>
  </r>
  <r>
    <n v="2500946"/>
    <x v="4"/>
    <x v="897"/>
    <x v="5"/>
    <n v="3"/>
    <n v="15.5"/>
    <x v="24"/>
    <s v="Noventra"/>
    <s v="Miami"/>
    <s v=" Florida"/>
  </r>
  <r>
    <n v="2500947"/>
    <x v="2"/>
    <x v="898"/>
    <x v="1"/>
    <n v="10"/>
    <n v="32"/>
    <x v="1"/>
    <s v="Nexora Labs"/>
    <s v="Chicago"/>
    <s v=" Illinois"/>
  </r>
  <r>
    <n v="2500948"/>
    <x v="2"/>
    <x v="899"/>
    <x v="0"/>
    <n v="5"/>
    <n v="18.5"/>
    <x v="36"/>
    <s v="Aurelia Works"/>
    <s v="Indianapolis"/>
    <s v=" Indiana"/>
  </r>
  <r>
    <n v="2500949"/>
    <x v="2"/>
    <x v="900"/>
    <x v="4"/>
    <n v="4"/>
    <n v="25.5"/>
    <x v="33"/>
    <s v="Aurelia Works"/>
    <s v="Indianapolis"/>
    <s v=" Indiana"/>
  </r>
  <r>
    <n v="2500950"/>
    <x v="8"/>
    <x v="901"/>
    <x v="5"/>
    <n v="10"/>
    <n v="15.5"/>
    <x v="43"/>
    <s v="Noventra"/>
    <s v="Miami"/>
    <s v=" Florida"/>
  </r>
  <r>
    <n v="2500951"/>
    <x v="9"/>
    <x v="902"/>
    <x v="2"/>
    <n v="5"/>
    <n v="36"/>
    <x v="4"/>
    <s v="Solvesta"/>
    <s v="Los Angeles"/>
    <s v=" California"/>
  </r>
  <r>
    <n v="2500952"/>
    <x v="1"/>
    <x v="903"/>
    <x v="3"/>
    <n v="9"/>
    <n v="48"/>
    <x v="34"/>
    <s v="Solvesta"/>
    <s v="Los Angeles"/>
    <s v=" California"/>
  </r>
  <r>
    <n v="2500953"/>
    <x v="0"/>
    <x v="904"/>
    <x v="3"/>
    <n v="4"/>
    <n v="48"/>
    <x v="5"/>
    <s v="Velora Solutions"/>
    <s v="Seattle"/>
    <s v=" Washington"/>
  </r>
  <r>
    <n v="2500954"/>
    <x v="7"/>
    <x v="905"/>
    <x v="1"/>
    <n v="7"/>
    <n v="32"/>
    <x v="42"/>
    <s v="Solvesta"/>
    <s v="Los Angeles"/>
    <s v=" California"/>
  </r>
  <r>
    <n v="2500955"/>
    <x v="4"/>
    <x v="906"/>
    <x v="1"/>
    <n v="8"/>
    <n v="32"/>
    <x v="23"/>
    <s v="Velora Solutions"/>
    <s v="Seattle"/>
    <s v=" Washington"/>
  </r>
  <r>
    <n v="2500956"/>
    <x v="7"/>
    <x v="907"/>
    <x v="1"/>
    <n v="5"/>
    <n v="32"/>
    <x v="47"/>
    <s v="Solvesta"/>
    <s v="Los Angeles"/>
    <s v=" California"/>
  </r>
  <r>
    <n v="2500957"/>
    <x v="3"/>
    <x v="908"/>
    <x v="5"/>
    <n v="5"/>
    <n v="15.5"/>
    <x v="25"/>
    <s v="Aurelia Works"/>
    <s v="Indianapolis"/>
    <s v=" Indiana"/>
  </r>
  <r>
    <n v="2500958"/>
    <x v="6"/>
    <x v="909"/>
    <x v="2"/>
    <n v="7"/>
    <n v="36"/>
    <x v="19"/>
    <s v="Noventra"/>
    <s v="Miami"/>
    <s v=" Florida"/>
  </r>
  <r>
    <n v="2500959"/>
    <x v="2"/>
    <x v="910"/>
    <x v="4"/>
    <n v="10"/>
    <n v="25.5"/>
    <x v="18"/>
    <s v="Bravora Group"/>
    <s v="New York City"/>
    <s v=" New York"/>
  </r>
  <r>
    <n v="2500960"/>
    <x v="6"/>
    <x v="911"/>
    <x v="2"/>
    <n v="7"/>
    <n v="36"/>
    <x v="19"/>
    <s v="Noventra"/>
    <s v="Miami"/>
    <s v=" Florida"/>
  </r>
  <r>
    <n v="2500961"/>
    <x v="1"/>
    <x v="912"/>
    <x v="5"/>
    <n v="9"/>
    <n v="15.5"/>
    <x v="46"/>
    <s v="Noventra"/>
    <s v="Miami"/>
    <s v=" Florida"/>
  </r>
  <r>
    <n v="2500962"/>
    <x v="1"/>
    <x v="913"/>
    <x v="3"/>
    <n v="7"/>
    <n v="48"/>
    <x v="37"/>
    <s v="Nexora Labs"/>
    <s v="Chicago"/>
    <s v=" Illinois"/>
  </r>
  <r>
    <n v="2500963"/>
    <x v="4"/>
    <x v="914"/>
    <x v="0"/>
    <n v="2"/>
    <n v="18.5"/>
    <x v="41"/>
    <s v="Noventra"/>
    <s v="Miami"/>
    <s v=" Florida"/>
  </r>
  <r>
    <n v="2500964"/>
    <x v="5"/>
    <x v="915"/>
    <x v="3"/>
    <n v="7"/>
    <n v="48"/>
    <x v="37"/>
    <s v="Vivanta Co."/>
    <s v="Houston"/>
    <s v=" Texas"/>
  </r>
  <r>
    <n v="2500965"/>
    <x v="7"/>
    <x v="916"/>
    <x v="5"/>
    <n v="1"/>
    <n v="15.5"/>
    <x v="40"/>
    <s v="Solvesta"/>
    <s v="Los Angeles"/>
    <s v=" California"/>
  </r>
  <r>
    <n v="2500966"/>
    <x v="8"/>
    <x v="917"/>
    <x v="1"/>
    <n v="3"/>
    <n v="32"/>
    <x v="7"/>
    <s v="Noventra"/>
    <s v="Miami"/>
    <s v=" Florida"/>
  </r>
  <r>
    <n v="2500967"/>
    <x v="9"/>
    <x v="918"/>
    <x v="4"/>
    <n v="7"/>
    <n v="25.5"/>
    <x v="21"/>
    <s v="Bravora Group"/>
    <s v="New York City"/>
    <s v=" New York"/>
  </r>
  <r>
    <n v="2500968"/>
    <x v="2"/>
    <x v="919"/>
    <x v="5"/>
    <n v="3"/>
    <n v="15.5"/>
    <x v="24"/>
    <s v="Solvesta"/>
    <s v="Los Angeles"/>
    <s v=" California"/>
  </r>
  <r>
    <n v="2500969"/>
    <x v="4"/>
    <x v="920"/>
    <x v="0"/>
    <n v="7"/>
    <n v="18.5"/>
    <x v="10"/>
    <s v="Luminexa"/>
    <s v="Dallas"/>
    <s v=" Texas"/>
  </r>
  <r>
    <n v="2500970"/>
    <x v="9"/>
    <x v="921"/>
    <x v="3"/>
    <n v="2"/>
    <n v="48"/>
    <x v="7"/>
    <s v="Luminexa"/>
    <s v="Dallas"/>
    <s v=" Texas"/>
  </r>
  <r>
    <n v="2500971"/>
    <x v="5"/>
    <x v="922"/>
    <x v="1"/>
    <n v="8"/>
    <n v="32"/>
    <x v="23"/>
    <s v="Luminexa"/>
    <s v="Dallas"/>
    <s v=" Texas"/>
  </r>
  <r>
    <n v="2500972"/>
    <x v="3"/>
    <x v="923"/>
    <x v="0"/>
    <n v="8"/>
    <n v="18.5"/>
    <x v="50"/>
    <s v="Nexora Labs"/>
    <s v="Chicago"/>
    <s v=" Illinois"/>
  </r>
  <r>
    <n v="2500973"/>
    <x v="4"/>
    <x v="924"/>
    <x v="5"/>
    <n v="9"/>
    <n v="15.5"/>
    <x v="46"/>
    <s v="Noventra"/>
    <s v="Miami"/>
    <s v=" Florida"/>
  </r>
  <r>
    <n v="2500974"/>
    <x v="4"/>
    <x v="925"/>
    <x v="0"/>
    <n v="7"/>
    <n v="18.5"/>
    <x v="10"/>
    <s v="Velora Solutions"/>
    <s v="Seattle"/>
    <s v=" Washington"/>
  </r>
  <r>
    <n v="2500975"/>
    <x v="3"/>
    <x v="926"/>
    <x v="4"/>
    <n v="10"/>
    <n v="25.5"/>
    <x v="18"/>
    <s v="Velora Solutions"/>
    <s v="Seattle"/>
    <s v=" Washington"/>
  </r>
  <r>
    <n v="2500976"/>
    <x v="8"/>
    <x v="927"/>
    <x v="1"/>
    <n v="7"/>
    <n v="32"/>
    <x v="42"/>
    <s v="Noventra"/>
    <s v="Miami"/>
    <s v=" Florida"/>
  </r>
  <r>
    <n v="2500977"/>
    <x v="8"/>
    <x v="928"/>
    <x v="3"/>
    <n v="7"/>
    <n v="48"/>
    <x v="37"/>
    <s v="Bravora Group"/>
    <s v="New York City"/>
    <s v=" New York"/>
  </r>
  <r>
    <n v="2500978"/>
    <x v="2"/>
    <x v="929"/>
    <x v="4"/>
    <n v="5"/>
    <n v="25.5"/>
    <x v="52"/>
    <s v="Bravora Group"/>
    <s v="New York City"/>
    <s v=" New York"/>
  </r>
  <r>
    <n v="2500979"/>
    <x v="3"/>
    <x v="930"/>
    <x v="5"/>
    <n v="3"/>
    <n v="15.5"/>
    <x v="24"/>
    <s v="Vivanta Co."/>
    <s v="Houston"/>
    <s v=" Texas"/>
  </r>
  <r>
    <n v="2500980"/>
    <x v="8"/>
    <x v="931"/>
    <x v="1"/>
    <n v="6"/>
    <n v="32"/>
    <x v="5"/>
    <s v="Vivanta Co."/>
    <s v="Houston"/>
    <s v=" Texas"/>
  </r>
  <r>
    <n v="2500981"/>
    <x v="3"/>
    <x v="932"/>
    <x v="0"/>
    <n v="10"/>
    <n v="18.5"/>
    <x v="27"/>
    <s v="Aurelia Works"/>
    <s v="Indianapolis"/>
    <s v=" Indiana"/>
  </r>
  <r>
    <n v="2500982"/>
    <x v="2"/>
    <x v="933"/>
    <x v="0"/>
    <n v="1"/>
    <n v="18.5"/>
    <x v="30"/>
    <s v="Luminexa"/>
    <s v="Dallas"/>
    <s v=" Texas"/>
  </r>
  <r>
    <n v="2500983"/>
    <x v="4"/>
    <x v="934"/>
    <x v="3"/>
    <n v="10"/>
    <n v="48"/>
    <x v="49"/>
    <s v="Vivanta Co."/>
    <s v="Houston"/>
    <s v=" Texas"/>
  </r>
  <r>
    <n v="2500984"/>
    <x v="0"/>
    <x v="935"/>
    <x v="1"/>
    <n v="8"/>
    <n v="32"/>
    <x v="23"/>
    <s v="Bravora Group"/>
    <s v="New York City"/>
    <s v=" New York"/>
  </r>
  <r>
    <n v="2500985"/>
    <x v="8"/>
    <x v="936"/>
    <x v="0"/>
    <n v="3"/>
    <n v="18.5"/>
    <x v="35"/>
    <s v="Nexora Labs"/>
    <s v="Chicago"/>
    <s v=" Illinois"/>
  </r>
  <r>
    <n v="2500986"/>
    <x v="8"/>
    <x v="937"/>
    <x v="0"/>
    <n v="10"/>
    <n v="18.5"/>
    <x v="27"/>
    <s v="Velora Solutions"/>
    <s v="Seattle"/>
    <s v=" Washington"/>
  </r>
  <r>
    <n v="2500987"/>
    <x v="7"/>
    <x v="938"/>
    <x v="5"/>
    <n v="1"/>
    <n v="15.5"/>
    <x v="40"/>
    <s v="Bravora Group"/>
    <s v="New York City"/>
    <s v=" New York"/>
  </r>
  <r>
    <n v="2500988"/>
    <x v="6"/>
    <x v="939"/>
    <x v="3"/>
    <n v="6"/>
    <n v="48"/>
    <x v="11"/>
    <s v="Solvesta"/>
    <s v="Los Angeles"/>
    <s v=" California"/>
  </r>
  <r>
    <n v="2500989"/>
    <x v="3"/>
    <x v="940"/>
    <x v="2"/>
    <n v="2"/>
    <n v="36"/>
    <x v="13"/>
    <s v="Velora Solutions"/>
    <s v="Seattle"/>
    <s v=" Washington"/>
  </r>
  <r>
    <n v="2500990"/>
    <x v="5"/>
    <x v="941"/>
    <x v="4"/>
    <n v="8"/>
    <n v="25.5"/>
    <x v="39"/>
    <s v="Noventra"/>
    <s v="Miami"/>
    <s v=" Florida"/>
  </r>
  <r>
    <n v="2500991"/>
    <x v="8"/>
    <x v="942"/>
    <x v="4"/>
    <n v="4"/>
    <n v="25.5"/>
    <x v="33"/>
    <s v="Vivanta Co."/>
    <s v="Houston"/>
    <s v=" Texas"/>
  </r>
  <r>
    <n v="2500992"/>
    <x v="5"/>
    <x v="943"/>
    <x v="4"/>
    <n v="7"/>
    <n v="25.5"/>
    <x v="21"/>
    <s v="Luminexa"/>
    <s v="Dallas"/>
    <s v=" Texas"/>
  </r>
  <r>
    <n v="2500993"/>
    <x v="0"/>
    <x v="944"/>
    <x v="0"/>
    <n v="10"/>
    <n v="18.5"/>
    <x v="27"/>
    <s v="Noventra"/>
    <s v="Miami"/>
    <s v=" Florida"/>
  </r>
  <r>
    <n v="2500994"/>
    <x v="9"/>
    <x v="945"/>
    <x v="5"/>
    <n v="2"/>
    <n v="15.5"/>
    <x v="20"/>
    <s v="Vivanta Co."/>
    <s v="Houston"/>
    <s v=" Texas"/>
  </r>
  <r>
    <n v="2500995"/>
    <x v="5"/>
    <x v="946"/>
    <x v="1"/>
    <n v="7"/>
    <n v="32"/>
    <x v="42"/>
    <s v="Noventra"/>
    <s v="Miami"/>
    <s v=" Florida"/>
  </r>
  <r>
    <n v="2500996"/>
    <x v="0"/>
    <x v="947"/>
    <x v="5"/>
    <n v="6"/>
    <n v="15.5"/>
    <x v="16"/>
    <s v="Bravora Group"/>
    <s v="New York City"/>
    <s v=" New York"/>
  </r>
  <r>
    <n v="2500997"/>
    <x v="0"/>
    <x v="948"/>
    <x v="5"/>
    <n v="4"/>
    <n v="15.5"/>
    <x v="54"/>
    <s v="Noventra"/>
    <s v="Miami"/>
    <s v=" Florida"/>
  </r>
  <r>
    <n v="2500998"/>
    <x v="5"/>
    <x v="949"/>
    <x v="5"/>
    <n v="9"/>
    <n v="15.5"/>
    <x v="46"/>
    <s v="Vivanta Co."/>
    <s v="Houston"/>
    <s v=" Texas"/>
  </r>
  <r>
    <n v="2500999"/>
    <x v="4"/>
    <x v="950"/>
    <x v="1"/>
    <n v="5"/>
    <n v="32"/>
    <x v="47"/>
    <s v="Nexora Labs"/>
    <s v="Chicago"/>
    <s v=" Illinois"/>
  </r>
  <r>
    <n v="2501000"/>
    <x v="2"/>
    <x v="951"/>
    <x v="3"/>
    <n v="10"/>
    <n v="48"/>
    <x v="49"/>
    <s v="Luminexa"/>
    <s v="Dallas"/>
    <s v=" Texas"/>
  </r>
  <r>
    <n v="2501001"/>
    <x v="6"/>
    <x v="952"/>
    <x v="2"/>
    <n v="7"/>
    <n v="36"/>
    <x v="19"/>
    <s v="Bravora Group"/>
    <s v="New York City"/>
    <s v=" New York"/>
  </r>
  <r>
    <n v="2501002"/>
    <x v="0"/>
    <x v="953"/>
    <x v="3"/>
    <n v="5"/>
    <n v="48"/>
    <x v="12"/>
    <s v="Luminexa"/>
    <s v="Dallas"/>
    <s v=" Texas"/>
  </r>
  <r>
    <n v="2501003"/>
    <x v="6"/>
    <x v="954"/>
    <x v="0"/>
    <n v="3"/>
    <n v="18.5"/>
    <x v="35"/>
    <s v="Solvesta"/>
    <s v="Los Angeles"/>
    <s v=" California"/>
  </r>
  <r>
    <n v="2501004"/>
    <x v="9"/>
    <x v="955"/>
    <x v="1"/>
    <n v="8"/>
    <n v="32"/>
    <x v="23"/>
    <s v="Vivanta Co."/>
    <s v="Houston"/>
    <s v=" Texas"/>
  </r>
  <r>
    <n v="2501005"/>
    <x v="4"/>
    <x v="956"/>
    <x v="2"/>
    <n v="10"/>
    <n v="36"/>
    <x v="51"/>
    <s v="Velora Solutions"/>
    <s v="Seattle"/>
    <s v=" Washington"/>
  </r>
  <r>
    <n v="2501006"/>
    <x v="9"/>
    <x v="957"/>
    <x v="4"/>
    <n v="2"/>
    <n v="25.5"/>
    <x v="9"/>
    <s v="Noventra"/>
    <s v="Miami"/>
    <s v=" Florida"/>
  </r>
  <r>
    <n v="2501007"/>
    <x v="1"/>
    <x v="958"/>
    <x v="0"/>
    <n v="3"/>
    <n v="18.5"/>
    <x v="35"/>
    <s v="Nexora Labs"/>
    <s v="Chicago"/>
    <s v=" Illinois"/>
  </r>
  <r>
    <n v="2501008"/>
    <x v="8"/>
    <x v="959"/>
    <x v="0"/>
    <n v="1"/>
    <n v="18.5"/>
    <x v="30"/>
    <s v="Velora Solutions"/>
    <s v="Seattle"/>
    <s v=" Washington"/>
  </r>
  <r>
    <n v="2501009"/>
    <x v="4"/>
    <x v="960"/>
    <x v="4"/>
    <n v="4"/>
    <n v="25.5"/>
    <x v="33"/>
    <s v="Velora Solutions"/>
    <s v="Seattle"/>
    <s v=" Washington"/>
  </r>
  <r>
    <n v="2501010"/>
    <x v="5"/>
    <x v="961"/>
    <x v="3"/>
    <n v="4"/>
    <n v="48"/>
    <x v="5"/>
    <s v="Vivanta Co."/>
    <s v="Houston"/>
    <s v=" Texas"/>
  </r>
  <r>
    <n v="2501011"/>
    <x v="9"/>
    <x v="962"/>
    <x v="2"/>
    <n v="7"/>
    <n v="36"/>
    <x v="19"/>
    <s v="Luminexa"/>
    <s v="Dallas"/>
    <s v=" Texas"/>
  </r>
  <r>
    <n v="2501012"/>
    <x v="8"/>
    <x v="963"/>
    <x v="5"/>
    <n v="3"/>
    <n v="15.5"/>
    <x v="24"/>
    <s v="Velora Solutions"/>
    <s v="Seattle"/>
    <s v=" Washington"/>
  </r>
  <r>
    <n v="2501013"/>
    <x v="6"/>
    <x v="964"/>
    <x v="1"/>
    <n v="6"/>
    <n v="32"/>
    <x v="5"/>
    <s v="Luminexa"/>
    <s v="Dallas"/>
    <s v=" Texas"/>
  </r>
  <r>
    <n v="2501014"/>
    <x v="3"/>
    <x v="965"/>
    <x v="3"/>
    <n v="2"/>
    <n v="48"/>
    <x v="7"/>
    <s v="Nexora Labs"/>
    <s v="Chicago"/>
    <s v=" Illinois"/>
  </r>
  <r>
    <n v="2501015"/>
    <x v="0"/>
    <x v="966"/>
    <x v="0"/>
    <n v="10"/>
    <n v="18.5"/>
    <x v="27"/>
    <s v="Nexora Labs"/>
    <s v="Chicago"/>
    <s v=" Illinois"/>
  </r>
  <r>
    <n v="2501016"/>
    <x v="9"/>
    <x v="967"/>
    <x v="4"/>
    <n v="7"/>
    <n v="25.5"/>
    <x v="21"/>
    <s v="Luminexa"/>
    <s v="Dallas"/>
    <s v=" Texas"/>
  </r>
  <r>
    <n v="2501017"/>
    <x v="9"/>
    <x v="968"/>
    <x v="4"/>
    <n v="8"/>
    <n v="25.5"/>
    <x v="39"/>
    <s v="Bravora Group"/>
    <s v="New York City"/>
    <s v=" New York"/>
  </r>
  <r>
    <n v="2501018"/>
    <x v="3"/>
    <x v="969"/>
    <x v="3"/>
    <n v="5"/>
    <n v="48"/>
    <x v="12"/>
    <s v="Aurelia Works"/>
    <s v="Indianapolis"/>
    <s v=" Indiana"/>
  </r>
  <r>
    <n v="2501019"/>
    <x v="9"/>
    <x v="970"/>
    <x v="1"/>
    <n v="4"/>
    <n v="32"/>
    <x v="26"/>
    <s v="Velora Solutions"/>
    <s v="Seattle"/>
    <s v=" Washington"/>
  </r>
  <r>
    <n v="2501020"/>
    <x v="1"/>
    <x v="971"/>
    <x v="1"/>
    <n v="3"/>
    <n v="32"/>
    <x v="7"/>
    <s v="Velora Solutions"/>
    <s v="Seattle"/>
    <s v=" Washington"/>
  </r>
  <r>
    <n v="2501021"/>
    <x v="8"/>
    <x v="972"/>
    <x v="0"/>
    <n v="7"/>
    <n v="18.5"/>
    <x v="10"/>
    <s v="Solvesta"/>
    <s v="Los Angeles"/>
    <s v=" California"/>
  </r>
  <r>
    <n v="2501022"/>
    <x v="4"/>
    <x v="973"/>
    <x v="3"/>
    <n v="1"/>
    <n v="48"/>
    <x v="31"/>
    <s v="Vivanta Co."/>
    <s v="Houston"/>
    <s v=" Texas"/>
  </r>
  <r>
    <n v="2501023"/>
    <x v="7"/>
    <x v="974"/>
    <x v="0"/>
    <n v="7"/>
    <n v="18.5"/>
    <x v="10"/>
    <s v="Aurelia Works"/>
    <s v="Indianapolis"/>
    <s v=" Indiana"/>
  </r>
  <r>
    <n v="2501024"/>
    <x v="5"/>
    <x v="975"/>
    <x v="2"/>
    <n v="4"/>
    <n v="36"/>
    <x v="15"/>
    <s v="Noventra"/>
    <s v="Miami"/>
    <s v=" Florida"/>
  </r>
  <r>
    <n v="2501025"/>
    <x v="9"/>
    <x v="976"/>
    <x v="4"/>
    <n v="3"/>
    <n v="25.5"/>
    <x v="53"/>
    <s v="Luminexa"/>
    <s v="Dallas"/>
    <s v=" Texas"/>
  </r>
  <r>
    <n v="2501026"/>
    <x v="9"/>
    <x v="977"/>
    <x v="2"/>
    <n v="4"/>
    <n v="36"/>
    <x v="15"/>
    <s v="Luminexa"/>
    <s v="Dallas"/>
    <s v=" Texas"/>
  </r>
  <r>
    <n v="2501027"/>
    <x v="7"/>
    <x v="978"/>
    <x v="1"/>
    <n v="4"/>
    <n v="32"/>
    <x v="26"/>
    <s v="Velora Solutions"/>
    <s v="Seattle"/>
    <s v=" Washington"/>
  </r>
  <r>
    <n v="2501028"/>
    <x v="9"/>
    <x v="979"/>
    <x v="0"/>
    <n v="10"/>
    <n v="18.5"/>
    <x v="27"/>
    <s v="Noventra"/>
    <s v="Miami"/>
    <s v=" Florida"/>
  </r>
  <r>
    <n v="2501029"/>
    <x v="3"/>
    <x v="980"/>
    <x v="1"/>
    <n v="10"/>
    <n v="32"/>
    <x v="1"/>
    <s v="Luminexa"/>
    <s v="Dallas"/>
    <s v=" Texas"/>
  </r>
  <r>
    <n v="2501030"/>
    <x v="5"/>
    <x v="981"/>
    <x v="5"/>
    <n v="10"/>
    <n v="15.5"/>
    <x v="43"/>
    <s v="Bravora Group"/>
    <s v="New York City"/>
    <s v=" New York"/>
  </r>
  <r>
    <n v="2501031"/>
    <x v="4"/>
    <x v="982"/>
    <x v="1"/>
    <n v="9"/>
    <n v="32"/>
    <x v="11"/>
    <s v="Velora Solutions"/>
    <s v="Seattle"/>
    <s v=" Washington"/>
  </r>
  <r>
    <n v="2501032"/>
    <x v="3"/>
    <x v="983"/>
    <x v="0"/>
    <n v="1"/>
    <n v="18.5"/>
    <x v="30"/>
    <s v="Velora Solutions"/>
    <s v="Seattle"/>
    <s v=" Washington"/>
  </r>
  <r>
    <n v="2501033"/>
    <x v="9"/>
    <x v="984"/>
    <x v="5"/>
    <n v="3"/>
    <n v="15.5"/>
    <x v="24"/>
    <s v="Solvesta"/>
    <s v="Los Angeles"/>
    <s v=" California"/>
  </r>
  <r>
    <n v="2501034"/>
    <x v="8"/>
    <x v="985"/>
    <x v="3"/>
    <n v="7"/>
    <n v="48"/>
    <x v="37"/>
    <s v="Luminexa"/>
    <s v="Dallas"/>
    <s v=" Texas"/>
  </r>
  <r>
    <n v="2501035"/>
    <x v="6"/>
    <x v="986"/>
    <x v="1"/>
    <n v="6"/>
    <n v="32"/>
    <x v="5"/>
    <s v="Noventra"/>
    <s v="Miami"/>
    <s v=" Florida"/>
  </r>
  <r>
    <n v="2501036"/>
    <x v="6"/>
    <x v="987"/>
    <x v="0"/>
    <n v="5"/>
    <n v="18.5"/>
    <x v="36"/>
    <s v="Aurelia Works"/>
    <s v="Indianapolis"/>
    <s v=" Indiana"/>
  </r>
  <r>
    <n v="2501037"/>
    <x v="5"/>
    <x v="988"/>
    <x v="4"/>
    <n v="4"/>
    <n v="25.5"/>
    <x v="33"/>
    <s v="Aurelia Works"/>
    <s v="Indianapolis"/>
    <s v=" Indiana"/>
  </r>
  <r>
    <n v="2501038"/>
    <x v="9"/>
    <x v="989"/>
    <x v="3"/>
    <n v="8"/>
    <n v="48"/>
    <x v="22"/>
    <s v="Solvesta"/>
    <s v="Los Angeles"/>
    <s v=" California"/>
  </r>
  <r>
    <n v="2501039"/>
    <x v="2"/>
    <x v="990"/>
    <x v="0"/>
    <n v="7"/>
    <n v="18.5"/>
    <x v="10"/>
    <s v="Luminexa"/>
    <s v="Dallas"/>
    <s v=" Texas"/>
  </r>
  <r>
    <n v="2501040"/>
    <x v="7"/>
    <x v="991"/>
    <x v="2"/>
    <n v="1"/>
    <n v="36"/>
    <x v="45"/>
    <s v="Velora Solutions"/>
    <s v="Seattle"/>
    <s v=" Washington"/>
  </r>
  <r>
    <n v="2501041"/>
    <x v="8"/>
    <x v="992"/>
    <x v="3"/>
    <n v="4"/>
    <n v="48"/>
    <x v="5"/>
    <s v="Solvesta"/>
    <s v="Los Angeles"/>
    <s v=" California"/>
  </r>
  <r>
    <n v="2501042"/>
    <x v="9"/>
    <x v="993"/>
    <x v="3"/>
    <n v="8"/>
    <n v="48"/>
    <x v="22"/>
    <s v="Nexora Labs"/>
    <s v="Chicago"/>
    <s v=" Illinois"/>
  </r>
  <r>
    <n v="2501043"/>
    <x v="2"/>
    <x v="994"/>
    <x v="4"/>
    <n v="7"/>
    <n v="25.5"/>
    <x v="21"/>
    <s v="Aurelia Works"/>
    <s v="Indianapolis"/>
    <s v=" Indiana"/>
  </r>
  <r>
    <n v="2501044"/>
    <x v="9"/>
    <x v="995"/>
    <x v="1"/>
    <n v="9"/>
    <n v="32"/>
    <x v="11"/>
    <s v="Nexora Labs"/>
    <s v="Chicago"/>
    <s v=" Illinois"/>
  </r>
  <r>
    <n v="2501045"/>
    <x v="9"/>
    <x v="996"/>
    <x v="1"/>
    <n v="2"/>
    <n v="32"/>
    <x v="3"/>
    <s v="Noventra"/>
    <s v="Miami"/>
    <s v=" Florida"/>
  </r>
  <r>
    <n v="2501046"/>
    <x v="4"/>
    <x v="997"/>
    <x v="3"/>
    <n v="2"/>
    <n v="48"/>
    <x v="7"/>
    <s v="Nexora Labs"/>
    <s v="Chicago"/>
    <s v=" Illinois"/>
  </r>
  <r>
    <n v="2501047"/>
    <x v="6"/>
    <x v="998"/>
    <x v="3"/>
    <n v="2"/>
    <n v="48"/>
    <x v="7"/>
    <s v="Solvesta"/>
    <s v="Los Angeles"/>
    <s v=" California"/>
  </r>
  <r>
    <n v="2501048"/>
    <x v="8"/>
    <x v="999"/>
    <x v="0"/>
    <n v="7"/>
    <n v="18.5"/>
    <x v="10"/>
    <s v="Vivanta Co."/>
    <s v="Houston"/>
    <s v=" Texas"/>
  </r>
  <r>
    <n v="2501049"/>
    <x v="8"/>
    <x v="1000"/>
    <x v="4"/>
    <n v="8"/>
    <n v="25.5"/>
    <x v="39"/>
    <s v="Aurelia Works"/>
    <s v="Indianapolis"/>
    <s v=" Indiana"/>
  </r>
  <r>
    <n v="2501050"/>
    <x v="9"/>
    <x v="1001"/>
    <x v="5"/>
    <n v="5"/>
    <n v="15.5"/>
    <x v="25"/>
    <s v="Luminexa"/>
    <s v="Dallas"/>
    <s v=" Texas"/>
  </r>
  <r>
    <n v="2501051"/>
    <x v="8"/>
    <x v="1002"/>
    <x v="1"/>
    <n v="3"/>
    <n v="32"/>
    <x v="7"/>
    <s v="Nexora Labs"/>
    <s v="Chicago"/>
    <s v=" Illinois"/>
  </r>
  <r>
    <n v="2501052"/>
    <x v="6"/>
    <x v="1003"/>
    <x v="4"/>
    <n v="4"/>
    <n v="25.5"/>
    <x v="33"/>
    <s v="Noventra"/>
    <s v="Miami"/>
    <s v=" Florida"/>
  </r>
  <r>
    <n v="2501053"/>
    <x v="7"/>
    <x v="1004"/>
    <x v="4"/>
    <n v="7"/>
    <n v="25.5"/>
    <x v="21"/>
    <s v="Aurelia Works"/>
    <s v="Indianapolis"/>
    <s v=" Indiana"/>
  </r>
  <r>
    <n v="2501054"/>
    <x v="8"/>
    <x v="1005"/>
    <x v="0"/>
    <n v="6"/>
    <n v="18.5"/>
    <x v="38"/>
    <s v="Luminexa"/>
    <s v="Dallas"/>
    <s v=" Texas"/>
  </r>
  <r>
    <n v="2501055"/>
    <x v="7"/>
    <x v="1006"/>
    <x v="2"/>
    <n v="6"/>
    <n v="36"/>
    <x v="29"/>
    <s v="Luminexa"/>
    <s v="Dallas"/>
    <s v=" Texas"/>
  </r>
  <r>
    <n v="2501056"/>
    <x v="5"/>
    <x v="1007"/>
    <x v="3"/>
    <n v="4"/>
    <n v="48"/>
    <x v="5"/>
    <s v="Solvesta"/>
    <s v="Los Angeles"/>
    <s v=" California"/>
  </r>
  <r>
    <n v="2501057"/>
    <x v="2"/>
    <x v="1008"/>
    <x v="4"/>
    <n v="5"/>
    <n v="25.5"/>
    <x v="52"/>
    <s v="Luminexa"/>
    <s v="Dallas"/>
    <s v=" Texas"/>
  </r>
  <r>
    <n v="2501058"/>
    <x v="7"/>
    <x v="1009"/>
    <x v="2"/>
    <n v="10"/>
    <n v="36"/>
    <x v="51"/>
    <s v="Aurelia Works"/>
    <s v="Indianapolis"/>
    <s v=" Indiana"/>
  </r>
  <r>
    <n v="2501059"/>
    <x v="7"/>
    <x v="1010"/>
    <x v="5"/>
    <n v="4"/>
    <n v="15.5"/>
    <x v="54"/>
    <s v="Aurelia Works"/>
    <s v="Indianapolis"/>
    <s v=" Indiana"/>
  </r>
  <r>
    <n v="2501060"/>
    <x v="9"/>
    <x v="1011"/>
    <x v="0"/>
    <n v="10"/>
    <n v="18.5"/>
    <x v="27"/>
    <s v="Bravora Group"/>
    <s v="New York City"/>
    <s v=" New York"/>
  </r>
  <r>
    <n v="2501061"/>
    <x v="2"/>
    <x v="1012"/>
    <x v="0"/>
    <n v="10"/>
    <n v="18.5"/>
    <x v="27"/>
    <s v="Vivanta Co."/>
    <s v="Houston"/>
    <s v=" Texas"/>
  </r>
  <r>
    <n v="2501062"/>
    <x v="3"/>
    <x v="1013"/>
    <x v="4"/>
    <n v="2"/>
    <n v="25.5"/>
    <x v="9"/>
    <s v="Bravora Group"/>
    <s v="New York City"/>
    <s v=" New York"/>
  </r>
  <r>
    <n v="2501063"/>
    <x v="8"/>
    <x v="1014"/>
    <x v="3"/>
    <n v="6"/>
    <n v="48"/>
    <x v="11"/>
    <s v="Aurelia Works"/>
    <s v="Indianapolis"/>
    <s v=" Indiana"/>
  </r>
  <r>
    <n v="2501064"/>
    <x v="1"/>
    <x v="1015"/>
    <x v="2"/>
    <n v="9"/>
    <n v="36"/>
    <x v="32"/>
    <s v="Nexora Labs"/>
    <s v="Chicago"/>
    <s v=" Illinois"/>
  </r>
  <r>
    <n v="2501065"/>
    <x v="8"/>
    <x v="1016"/>
    <x v="1"/>
    <n v="6"/>
    <n v="32"/>
    <x v="5"/>
    <s v="Aurelia Works"/>
    <s v="Indianapolis"/>
    <s v=" Indiana"/>
  </r>
  <r>
    <n v="2501066"/>
    <x v="3"/>
    <x v="1017"/>
    <x v="5"/>
    <n v="8"/>
    <n v="15.5"/>
    <x v="44"/>
    <s v="Bravora Group"/>
    <s v="New York City"/>
    <s v=" New York"/>
  </r>
  <r>
    <n v="2501067"/>
    <x v="9"/>
    <x v="1018"/>
    <x v="1"/>
    <n v="3"/>
    <n v="32"/>
    <x v="7"/>
    <s v="Luminexa"/>
    <s v="Dallas"/>
    <s v=" Texas"/>
  </r>
  <r>
    <n v="2501068"/>
    <x v="4"/>
    <x v="1019"/>
    <x v="4"/>
    <n v="3"/>
    <n v="25.5"/>
    <x v="53"/>
    <s v="Noventra"/>
    <s v="Miami"/>
    <s v=" Florida"/>
  </r>
  <r>
    <n v="2501069"/>
    <x v="0"/>
    <x v="1020"/>
    <x v="4"/>
    <n v="7"/>
    <n v="25.5"/>
    <x v="21"/>
    <s v="Luminexa"/>
    <s v="Dallas"/>
    <s v=" Texas"/>
  </r>
  <r>
    <n v="2501070"/>
    <x v="0"/>
    <x v="1021"/>
    <x v="3"/>
    <n v="7"/>
    <n v="48"/>
    <x v="37"/>
    <s v="Luminexa"/>
    <s v="Dallas"/>
    <s v=" Texas"/>
  </r>
  <r>
    <n v="2501071"/>
    <x v="0"/>
    <x v="1022"/>
    <x v="5"/>
    <n v="3"/>
    <n v="15.5"/>
    <x v="24"/>
    <s v="Aurelia Works"/>
    <s v="Indianapolis"/>
    <s v=" Indiana"/>
  </r>
  <r>
    <n v="2501072"/>
    <x v="9"/>
    <x v="1023"/>
    <x v="2"/>
    <n v="8"/>
    <n v="36"/>
    <x v="11"/>
    <s v="Velora Solutions"/>
    <s v="Seattle"/>
    <s v=" Washington"/>
  </r>
  <r>
    <n v="2501073"/>
    <x v="1"/>
    <x v="1024"/>
    <x v="0"/>
    <n v="4"/>
    <n v="18.5"/>
    <x v="0"/>
    <s v="Vivanta Co."/>
    <s v="Houston"/>
    <s v=" Texas"/>
  </r>
  <r>
    <n v="2501074"/>
    <x v="5"/>
    <x v="1025"/>
    <x v="1"/>
    <n v="1"/>
    <n v="32"/>
    <x v="6"/>
    <s v="Aurelia Works"/>
    <s v="Indianapolis"/>
    <s v=" Indiana"/>
  </r>
  <r>
    <n v="2501075"/>
    <x v="1"/>
    <x v="1026"/>
    <x v="5"/>
    <n v="1"/>
    <n v="15.5"/>
    <x v="40"/>
    <s v="Aurelia Works"/>
    <s v="Indianapolis"/>
    <s v=" Indiana"/>
  </r>
  <r>
    <n v="2501076"/>
    <x v="4"/>
    <x v="1027"/>
    <x v="2"/>
    <n v="10"/>
    <n v="36"/>
    <x v="51"/>
    <s v="Noventra"/>
    <s v="Miami"/>
    <s v=" Florida"/>
  </r>
  <r>
    <n v="2501077"/>
    <x v="4"/>
    <x v="1028"/>
    <x v="5"/>
    <n v="9"/>
    <n v="15.5"/>
    <x v="46"/>
    <s v="Noventra"/>
    <s v="Miami"/>
    <s v=" Florida"/>
  </r>
  <r>
    <n v="2501078"/>
    <x v="2"/>
    <x v="1029"/>
    <x v="4"/>
    <n v="5"/>
    <n v="25.5"/>
    <x v="52"/>
    <s v="Noventra"/>
    <s v="Miami"/>
    <s v=" Florida"/>
  </r>
  <r>
    <n v="2501079"/>
    <x v="0"/>
    <x v="1030"/>
    <x v="3"/>
    <n v="3"/>
    <n v="48"/>
    <x v="15"/>
    <s v="Velora Solutions"/>
    <s v="Seattle"/>
    <s v=" Washington"/>
  </r>
  <r>
    <n v="2501080"/>
    <x v="4"/>
    <x v="1031"/>
    <x v="2"/>
    <n v="2"/>
    <n v="36"/>
    <x v="13"/>
    <s v="Nexora Labs"/>
    <s v="Chicago"/>
    <s v=" Illinois"/>
  </r>
  <r>
    <n v="2501081"/>
    <x v="3"/>
    <x v="1032"/>
    <x v="5"/>
    <n v="1"/>
    <n v="15.5"/>
    <x v="40"/>
    <s v="Bravora Group"/>
    <s v="New York City"/>
    <s v=" New York"/>
  </r>
  <r>
    <n v="2501082"/>
    <x v="3"/>
    <x v="1033"/>
    <x v="4"/>
    <n v="8"/>
    <n v="25.5"/>
    <x v="39"/>
    <s v="Velora Solutions"/>
    <s v="Seattle"/>
    <s v=" Washington"/>
  </r>
  <r>
    <n v="2501083"/>
    <x v="6"/>
    <x v="1034"/>
    <x v="2"/>
    <n v="8"/>
    <n v="36"/>
    <x v="11"/>
    <s v="Luminexa"/>
    <s v="Dallas"/>
    <s v=" Texas"/>
  </r>
  <r>
    <n v="2501084"/>
    <x v="0"/>
    <x v="1035"/>
    <x v="0"/>
    <n v="9"/>
    <n v="18.5"/>
    <x v="2"/>
    <s v="Solvesta"/>
    <s v="Los Angeles"/>
    <s v=" California"/>
  </r>
  <r>
    <n v="2501085"/>
    <x v="8"/>
    <x v="1036"/>
    <x v="1"/>
    <n v="2"/>
    <n v="32"/>
    <x v="3"/>
    <s v="Solvesta"/>
    <s v="Los Angeles"/>
    <s v=" California"/>
  </r>
  <r>
    <n v="2501086"/>
    <x v="1"/>
    <x v="1037"/>
    <x v="5"/>
    <n v="7"/>
    <n v="15.5"/>
    <x v="48"/>
    <s v="Bravora Group"/>
    <s v="New York City"/>
    <s v=" New York"/>
  </r>
  <r>
    <n v="2501087"/>
    <x v="3"/>
    <x v="1038"/>
    <x v="0"/>
    <n v="5"/>
    <n v="18.5"/>
    <x v="36"/>
    <s v="Velora Solutions"/>
    <s v="Seattle"/>
    <s v=" Washington"/>
  </r>
  <r>
    <n v="2501088"/>
    <x v="3"/>
    <x v="1039"/>
    <x v="2"/>
    <n v="10"/>
    <n v="36"/>
    <x v="51"/>
    <s v="Nexora Labs"/>
    <s v="Chicago"/>
    <s v=" Illinois"/>
  </r>
  <r>
    <n v="2501089"/>
    <x v="7"/>
    <x v="1040"/>
    <x v="1"/>
    <n v="4"/>
    <n v="32"/>
    <x v="26"/>
    <s v="Aurelia Works"/>
    <s v="Indianapolis"/>
    <s v=" Indiana"/>
  </r>
  <r>
    <n v="2501090"/>
    <x v="4"/>
    <x v="1041"/>
    <x v="2"/>
    <n v="8"/>
    <n v="36"/>
    <x v="11"/>
    <s v="Velora Solutions"/>
    <s v="Seattle"/>
    <s v=" Washington"/>
  </r>
  <r>
    <n v="2501091"/>
    <x v="0"/>
    <x v="1042"/>
    <x v="4"/>
    <n v="6"/>
    <n v="25.5"/>
    <x v="28"/>
    <s v="Luminexa"/>
    <s v="Dallas"/>
    <s v=" Texas"/>
  </r>
  <r>
    <n v="2501092"/>
    <x v="2"/>
    <x v="1043"/>
    <x v="3"/>
    <n v="3"/>
    <n v="48"/>
    <x v="15"/>
    <s v="Noventra"/>
    <s v="Miami"/>
    <s v=" Florida"/>
  </r>
  <r>
    <n v="2501093"/>
    <x v="3"/>
    <x v="1044"/>
    <x v="0"/>
    <n v="10"/>
    <n v="18.5"/>
    <x v="27"/>
    <s v="Vivanta Co."/>
    <s v="Houston"/>
    <s v=" Texa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18ABAB-CF04-4455-AFAB-53E139C7C86B}" name="Reoort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Sales Managers" colHeaderCaption="Years">
  <location ref="A20:E32" firstHeaderRow="1" firstDataRow="2" firstDataCol="1"/>
  <pivotFields count="13">
    <pivotField showAll="0"/>
    <pivotField axis="axisRow" showAll="0">
      <items count="11">
        <item x="5"/>
        <item x="3"/>
        <item x="8"/>
        <item x="0"/>
        <item x="4"/>
        <item x="7"/>
        <item x="9"/>
        <item x="6"/>
        <item x="1"/>
        <item x="2"/>
        <item t="default"/>
      </items>
    </pivotField>
    <pivotField numFmtId="15" showAll="0">
      <items count="104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6"/>
        <item x="17"/>
        <item x="18"/>
        <item x="19"/>
        <item x="20"/>
        <item x="15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t="default"/>
      </items>
    </pivotField>
    <pivotField showAll="0"/>
    <pivotField numFmtId="165" showAll="0"/>
    <pivotField numFmtId="164" showAll="0"/>
    <pivotField dataField="1" numFmtId="164" showAll="0"/>
    <pivotField showAll="0"/>
    <pivotField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Col" showAll="0">
      <items count="7">
        <item sd="0" x="0"/>
        <item sd="0" x="1"/>
        <item sd="0" x="2"/>
        <item sd="0" x="3"/>
        <item sd="0" x="4"/>
        <item sd="0" x="5"/>
        <item t="default"/>
      </items>
    </pivotField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12"/>
  </colFields>
  <colItems count="4">
    <i>
      <x v="1"/>
    </i>
    <i>
      <x v="2"/>
    </i>
    <i>
      <x v="3"/>
    </i>
    <i t="grand">
      <x/>
    </i>
  </colItems>
  <dataFields count="1">
    <dataField name="Total Amount, $ " fld="6" showDataAs="percentOfCol" baseField="0" baseItem="0" numFmtId="10"/>
  </dataFields>
  <formats count="11">
    <format dxfId="83">
      <pivotArea type="all" dataOnly="0" outline="0" fieldPosition="0"/>
    </format>
    <format dxfId="84">
      <pivotArea outline="0" collapsedLevelsAreSubtotals="1" fieldPosition="0"/>
    </format>
    <format dxfId="85">
      <pivotArea type="origin" dataOnly="0" labelOnly="1" outline="0" fieldPosition="0"/>
    </format>
    <format dxfId="86">
      <pivotArea field="12" type="button" dataOnly="0" labelOnly="1" outline="0" axis="axisCol" fieldPosition="0"/>
    </format>
    <format dxfId="87">
      <pivotArea type="topRight" dataOnly="0" labelOnly="1" outline="0" fieldPosition="0"/>
    </format>
    <format dxfId="88">
      <pivotArea field="1" type="button" dataOnly="0" labelOnly="1" outline="0" axis="axisRow" fieldPosition="0"/>
    </format>
    <format dxfId="89">
      <pivotArea dataOnly="0" labelOnly="1" fieldPosition="0">
        <references count="1">
          <reference field="1" count="0"/>
        </references>
      </pivotArea>
    </format>
    <format dxfId="90">
      <pivotArea dataOnly="0" labelOnly="1" grandRow="1" outline="0" fieldPosition="0"/>
    </format>
    <format dxfId="91">
      <pivotArea dataOnly="0" labelOnly="1" fieldPosition="0">
        <references count="1">
          <reference field="12" count="3">
            <x v="1"/>
            <x v="2"/>
            <x v="3"/>
          </reference>
        </references>
      </pivotArea>
    </format>
    <format dxfId="92">
      <pivotArea dataOnly="0" labelOnly="1" grandCol="1" outline="0" fieldPosition="0"/>
    </format>
    <format dxfId="93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Dark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757F11-20D6-4956-8F62-0C52FE969B6D}" name="Report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Sales Managers" colHeaderCaption="Years">
  <location ref="A3:E15" firstHeaderRow="1" firstDataRow="2" firstDataCol="1"/>
  <pivotFields count="13">
    <pivotField showAll="0"/>
    <pivotField axis="axisRow" showAll="0">
      <items count="11">
        <item x="5"/>
        <item x="3"/>
        <item x="8"/>
        <item x="0"/>
        <item x="4"/>
        <item x="7"/>
        <item x="9"/>
        <item x="6"/>
        <item x="1"/>
        <item x="2"/>
        <item t="default"/>
      </items>
    </pivotField>
    <pivotField numFmtId="15" showAll="0">
      <items count="104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6"/>
        <item x="17"/>
        <item x="18"/>
        <item x="19"/>
        <item x="20"/>
        <item x="15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t="default"/>
      </items>
    </pivotField>
    <pivotField showAll="0"/>
    <pivotField numFmtId="165" showAll="0"/>
    <pivotField numFmtId="164" showAll="0"/>
    <pivotField dataField="1" numFmtId="164" showAll="0"/>
    <pivotField showAll="0"/>
    <pivotField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Col" showAll="0">
      <items count="7">
        <item sd="0" x="0"/>
        <item sd="0" x="1"/>
        <item sd="0" x="2"/>
        <item sd="0" x="3"/>
        <item sd="0" x="4"/>
        <item sd="0" x="5"/>
        <item t="default"/>
      </items>
    </pivotField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12"/>
  </colFields>
  <colItems count="4">
    <i>
      <x v="1"/>
    </i>
    <i>
      <x v="2"/>
    </i>
    <i>
      <x v="3"/>
    </i>
    <i t="grand">
      <x/>
    </i>
  </colItems>
  <dataFields count="1">
    <dataField name="Total Amount, $ " fld="6" showDataAs="percentOfRow" baseField="0" baseItem="0" numFmtId="10"/>
  </dataFields>
  <formats count="11">
    <format dxfId="105">
      <pivotArea type="all" dataOnly="0" outline="0" fieldPosition="0"/>
    </format>
    <format dxfId="106">
      <pivotArea outline="0" collapsedLevelsAreSubtotals="1" fieldPosition="0"/>
    </format>
    <format dxfId="107">
      <pivotArea type="origin" dataOnly="0" labelOnly="1" outline="0" fieldPosition="0"/>
    </format>
    <format dxfId="108">
      <pivotArea field="12" type="button" dataOnly="0" labelOnly="1" outline="0" axis="axisCol" fieldPosition="0"/>
    </format>
    <format dxfId="109">
      <pivotArea type="topRight" dataOnly="0" labelOnly="1" outline="0" fieldPosition="0"/>
    </format>
    <format dxfId="110">
      <pivotArea field="1" type="button" dataOnly="0" labelOnly="1" outline="0" axis="axisRow" fieldPosition="0"/>
    </format>
    <format dxfId="111">
      <pivotArea dataOnly="0" labelOnly="1" fieldPosition="0">
        <references count="1">
          <reference field="1" count="0"/>
        </references>
      </pivotArea>
    </format>
    <format dxfId="112">
      <pivotArea dataOnly="0" labelOnly="1" grandRow="1" outline="0" fieldPosition="0"/>
    </format>
    <format dxfId="113">
      <pivotArea dataOnly="0" labelOnly="1" fieldPosition="0">
        <references count="1">
          <reference field="12" count="3">
            <x v="1"/>
            <x v="2"/>
            <x v="3"/>
          </reference>
        </references>
      </pivotArea>
    </format>
    <format dxfId="114">
      <pivotArea dataOnly="0" labelOnly="1" grandCol="1" outline="0" fieldPosition="0"/>
    </format>
    <format dxfId="94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Dark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9626F3-1A89-4069-9E26-A8753BE827C8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Sales Managers" colHeaderCaption="Years">
  <location ref="A54:B88" firstHeaderRow="1" firstDataRow="1" firstDataCol="1"/>
  <pivotFields count="13">
    <pivotField showAll="0"/>
    <pivotField axis="axisRow" showAll="0" sortType="descending">
      <items count="11">
        <item x="5"/>
        <item x="3"/>
        <item x="8"/>
        <item x="0"/>
        <item x="4"/>
        <item x="7"/>
        <item x="9"/>
        <item x="6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5" showAll="0">
      <items count="104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6"/>
        <item x="17"/>
        <item x="18"/>
        <item x="19"/>
        <item x="20"/>
        <item x="15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t="default"/>
      </items>
    </pivotField>
    <pivotField showAll="0"/>
    <pivotField numFmtId="165" showAll="0"/>
    <pivotField numFmtId="164" showAll="0"/>
    <pivotField dataField="1" numFmtId="164" showAll="0"/>
    <pivotField showAll="0"/>
    <pivotField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7">
        <item sd="0" x="0"/>
        <item x="1"/>
        <item x="2"/>
        <item x="3"/>
        <item sd="0" x="4"/>
        <item sd="0" x="5"/>
        <item t="default"/>
      </items>
    </pivotField>
  </pivotFields>
  <rowFields count="2">
    <field x="12"/>
    <field x="1"/>
  </rowFields>
  <rowItems count="34">
    <i>
      <x v="1"/>
    </i>
    <i r="1">
      <x v="3"/>
    </i>
    <i r="1">
      <x v="8"/>
    </i>
    <i r="1">
      <x v="5"/>
    </i>
    <i r="1">
      <x v="7"/>
    </i>
    <i r="1">
      <x v="2"/>
    </i>
    <i r="1">
      <x v="4"/>
    </i>
    <i r="1">
      <x v="9"/>
    </i>
    <i r="1">
      <x v="1"/>
    </i>
    <i r="1">
      <x/>
    </i>
    <i r="1">
      <x v="6"/>
    </i>
    <i>
      <x v="2"/>
    </i>
    <i r="1">
      <x v="7"/>
    </i>
    <i r="1">
      <x v="4"/>
    </i>
    <i r="1">
      <x v="9"/>
    </i>
    <i r="1">
      <x v="5"/>
    </i>
    <i r="1">
      <x/>
    </i>
    <i r="1">
      <x v="3"/>
    </i>
    <i r="1">
      <x v="1"/>
    </i>
    <i r="1">
      <x v="2"/>
    </i>
    <i r="1">
      <x v="8"/>
    </i>
    <i r="1">
      <x v="6"/>
    </i>
    <i>
      <x v="3"/>
    </i>
    <i r="1">
      <x v="6"/>
    </i>
    <i r="1">
      <x v="3"/>
    </i>
    <i r="1">
      <x v="2"/>
    </i>
    <i r="1">
      <x v="7"/>
    </i>
    <i r="1">
      <x v="1"/>
    </i>
    <i r="1">
      <x v="9"/>
    </i>
    <i r="1">
      <x/>
    </i>
    <i r="1">
      <x v="4"/>
    </i>
    <i r="1">
      <x v="5"/>
    </i>
    <i r="1">
      <x v="8"/>
    </i>
    <i t="grand">
      <x/>
    </i>
  </rowItems>
  <colItems count="1">
    <i/>
  </colItems>
  <dataFields count="1">
    <dataField name="Total Amount, $ " fld="6" baseField="0" baseItem="0" numFmtId="164"/>
  </dataFields>
  <formats count="10">
    <format dxfId="124">
      <pivotArea type="all" dataOnly="0" outline="0" fieldPosition="0"/>
    </format>
    <format dxfId="123">
      <pivotArea outline="0" collapsedLevelsAreSubtotals="1" fieldPosition="0"/>
    </format>
    <format dxfId="122">
      <pivotArea type="origin" dataOnly="0" labelOnly="1" outline="0" fieldPosition="0"/>
    </format>
    <format dxfId="121">
      <pivotArea field="12" type="button" dataOnly="0" labelOnly="1" outline="0" axis="axisRow" fieldPosition="0"/>
    </format>
    <format dxfId="120">
      <pivotArea type="topRight" dataOnly="0" labelOnly="1" outline="0" fieldPosition="0"/>
    </format>
    <format dxfId="119">
      <pivotArea field="1" type="button" dataOnly="0" labelOnly="1" outline="0" axis="axisRow" fieldPosition="1"/>
    </format>
    <format dxfId="118">
      <pivotArea dataOnly="0" labelOnly="1" fieldPosition="0">
        <references count="1">
          <reference field="1" count="0"/>
        </references>
      </pivotArea>
    </format>
    <format dxfId="117">
      <pivotArea dataOnly="0" labelOnly="1" grandRow="1" outline="0" fieldPosition="0"/>
    </format>
    <format dxfId="116">
      <pivotArea dataOnly="0" labelOnly="1" fieldPosition="0">
        <references count="1">
          <reference field="12" count="3">
            <x v="1"/>
            <x v="2"/>
            <x v="3"/>
          </reference>
        </references>
      </pivotArea>
    </format>
    <format dxfId="115">
      <pivotArea dataOnly="0" labelOnly="1" grandCol="1" outline="0" fieldPosition="0"/>
    </format>
  </formats>
  <pivotTableStyleInfo name="PivotStyleDark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F5CDEE-8265-476D-9C0C-A08D2D782003}" name="Report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Sales Managers" colHeaderCaption="Years">
  <location ref="A37:E49" firstHeaderRow="1" firstDataRow="2" firstDataCol="1"/>
  <pivotFields count="13">
    <pivotField showAll="0"/>
    <pivotField axis="axisRow" showAll="0">
      <items count="11">
        <item x="5"/>
        <item x="3"/>
        <item x="8"/>
        <item x="0"/>
        <item x="4"/>
        <item x="7"/>
        <item x="9"/>
        <item x="6"/>
        <item x="1"/>
        <item x="2"/>
        <item t="default"/>
      </items>
    </pivotField>
    <pivotField numFmtId="15" showAll="0">
      <items count="104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6"/>
        <item x="17"/>
        <item x="18"/>
        <item x="19"/>
        <item x="20"/>
        <item x="15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t="default"/>
      </items>
    </pivotField>
    <pivotField showAll="0"/>
    <pivotField numFmtId="165" showAll="0"/>
    <pivotField numFmtId="164" showAll="0"/>
    <pivotField dataField="1" numFmtId="164" showAll="0"/>
    <pivotField showAll="0"/>
    <pivotField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Col" showAll="0">
      <items count="7">
        <item sd="0" x="0"/>
        <item sd="0" x="1"/>
        <item sd="0" x="2"/>
        <item sd="0" x="3"/>
        <item sd="0" x="4"/>
        <item sd="0" x="5"/>
        <item t="default"/>
      </items>
    </pivotField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12"/>
  </colFields>
  <colItems count="4">
    <i>
      <x v="1"/>
    </i>
    <i>
      <x v="2"/>
    </i>
    <i>
      <x v="3"/>
    </i>
    <i t="grand">
      <x/>
    </i>
  </colItems>
  <dataFields count="1">
    <dataField name="Total Amount, $ " fld="6" showDataAs="percentOfTotal" baseField="0" baseItem="0" numFmtId="10"/>
  </dataFields>
  <formats count="11">
    <format dxfId="134">
      <pivotArea type="all" dataOnly="0" outline="0" fieldPosition="0"/>
    </format>
    <format dxfId="133">
      <pivotArea outline="0" collapsedLevelsAreSubtotals="1" fieldPosition="0"/>
    </format>
    <format dxfId="132">
      <pivotArea type="origin" dataOnly="0" labelOnly="1" outline="0" fieldPosition="0"/>
    </format>
    <format dxfId="131">
      <pivotArea field="12" type="button" dataOnly="0" labelOnly="1" outline="0" axis="axisCol" fieldPosition="0"/>
    </format>
    <format dxfId="130">
      <pivotArea type="topRight" dataOnly="0" labelOnly="1" outline="0" fieldPosition="0"/>
    </format>
    <format dxfId="129">
      <pivotArea field="1" type="button" dataOnly="0" labelOnly="1" outline="0" axis="axisRow" fieldPosition="0"/>
    </format>
    <format dxfId="128">
      <pivotArea dataOnly="0" labelOnly="1" fieldPosition="0">
        <references count="1">
          <reference field="1" count="0"/>
        </references>
      </pivotArea>
    </format>
    <format dxfId="127">
      <pivotArea dataOnly="0" labelOnly="1" grandRow="1" outline="0" fieldPosition="0"/>
    </format>
    <format dxfId="126">
      <pivotArea dataOnly="0" labelOnly="1" fieldPosition="0">
        <references count="1">
          <reference field="12" count="3">
            <x v="1"/>
            <x v="2"/>
            <x v="3"/>
          </reference>
        </references>
      </pivotArea>
    </format>
    <format dxfId="125">
      <pivotArea dataOnly="0" labelOnly="1" grandCol="1" outline="0" fieldPosition="0"/>
    </format>
    <format dxfId="50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Dark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D276AB-AB16-42AC-8FD7-05C4749859A9}" name="Report1" cacheId="1" applyNumberFormats="0" applyBorderFormats="0" applyFontFormats="0" applyPatternFormats="0" applyAlignmentFormats="0" applyWidthHeightFormats="1" dataCaption="Values" updatedVersion="8" minRefreshableVersion="3" preserveFormatting="0" itemPrintTitles="1" createdVersion="8" indent="0" compact="0" compactData="0" multipleFieldFilters="0" rowHeaderCaption="Sales Managers" colHeaderCaption="Years">
  <location ref="A2:G21" firstHeaderRow="0" firstDataRow="1" firstDataCol="2"/>
  <pivotFields count="13">
    <pivotField compact="0" outline="0" showAll="0"/>
    <pivotField compact="0" outline="0" showAll="0"/>
    <pivotField compact="0" numFmtId="15" outline="0" showAll="0">
      <items count="104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6"/>
        <item x="17"/>
        <item x="18"/>
        <item x="19"/>
        <item x="20"/>
        <item x="15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t="default"/>
      </items>
    </pivotField>
    <pivotField axis="axisRow" compact="0" outline="0" showAll="0" defaultSubtotal="0">
      <items count="6">
        <item x="2"/>
        <item x="5"/>
        <item x="3"/>
        <item x="4"/>
        <item x="0"/>
        <item x="1"/>
      </items>
    </pivotField>
    <pivotField compact="0" numFmtId="165" outline="0" showAll="0"/>
    <pivotField compact="0" numFmtId="164" outline="0" showAll="0"/>
    <pivotField dataField="1" compact="0" numFmtId="164" outline="0" showAll="0"/>
    <pivotField compact="0" outline="0" showAll="0"/>
    <pivotField compact="0" outline="0" showAll="0"/>
    <pivotField compact="0" outline="0" showAll="0"/>
    <pivotField compact="0" outline="0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compact="0" outline="0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name="Year" axis="axisRow" compact="0" outline="0" showAll="0">
      <items count="7">
        <item sd="0" x="0"/>
        <item sd="0" x="1"/>
        <item sd="0" x="2"/>
        <item sd="0" x="3"/>
        <item sd="0" x="4"/>
        <item sd="0" x="5"/>
        <item t="default"/>
      </items>
    </pivotField>
  </pivotFields>
  <rowFields count="2">
    <field x="3"/>
    <field x="12"/>
  </rowFields>
  <rowItems count="19">
    <i>
      <x/>
      <x v="1"/>
    </i>
    <i r="1">
      <x v="2"/>
    </i>
    <i r="1">
      <x v="3"/>
    </i>
    <i>
      <x v="1"/>
      <x v="1"/>
    </i>
    <i r="1">
      <x v="2"/>
    </i>
    <i r="1">
      <x v="3"/>
    </i>
    <i>
      <x v="2"/>
      <x v="1"/>
    </i>
    <i r="1">
      <x v="2"/>
    </i>
    <i r="1">
      <x v="3"/>
    </i>
    <i>
      <x v="3"/>
      <x v="1"/>
    </i>
    <i r="1">
      <x v="2"/>
    </i>
    <i r="1">
      <x v="3"/>
    </i>
    <i>
      <x v="4"/>
      <x v="1"/>
    </i>
    <i r="1">
      <x v="2"/>
    </i>
    <i r="1">
      <x v="3"/>
    </i>
    <i>
      <x v="5"/>
      <x v="1"/>
    </i>
    <i r="1">
      <x v="2"/>
    </i>
    <i r="1">
      <x v="3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Sum of Total Amount, $" fld="6" baseField="0" baseItem="0"/>
    <dataField name="Sum of Total Amount PY, $2" fld="6" showDataAs="difference" baseField="12" baseItem="1048828"/>
    <dataField name="Sum of Total Amount % PY , $3" fld="6" showDataAs="percentDiff" baseField="12" baseItem="1048828" numFmtId="10"/>
    <dataField name="Total Amount RT, $2" fld="6" showDataAs="runTotal" baseField="12" baseItem="0"/>
    <dataField name="Total Amount % RT, $3" fld="6" baseField="12" baseItem="0" numFmtId="10">
      <extLst>
        <ext xmlns:x14="http://schemas.microsoft.com/office/spreadsheetml/2009/9/main" uri="{E15A36E0-9728-4e99-A89B-3F7291B0FE68}">
          <x14:dataField pivotShowAs="percentOfRunningTotal"/>
        </ext>
      </extLst>
    </dataField>
  </dataFields>
  <pivotTableStyleInfo name="PivotStyleDark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Aspect">
      <a:dk1>
        <a:sysClr val="windowText" lastClr="000000"/>
      </a:dk1>
      <a:lt1>
        <a:sysClr val="window" lastClr="FFFFFF"/>
      </a:lt1>
      <a:dk2>
        <a:srgbClr val="323232"/>
      </a:dk2>
      <a:lt2>
        <a:srgbClr val="E3DED1"/>
      </a:lt2>
      <a:accent1>
        <a:srgbClr val="F07F09"/>
      </a:accent1>
      <a:accent2>
        <a:srgbClr val="9F2936"/>
      </a:accent2>
      <a:accent3>
        <a:srgbClr val="1B587C"/>
      </a:accent3>
      <a:accent4>
        <a:srgbClr val="4E8542"/>
      </a:accent4>
      <a:accent5>
        <a:srgbClr val="604878"/>
      </a:accent5>
      <a:accent6>
        <a:srgbClr val="C19859"/>
      </a:accent6>
      <a:hlink>
        <a:srgbClr val="6B9F25"/>
      </a:hlink>
      <a:folHlink>
        <a:srgbClr val="B26B0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2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F68DF-6035-418E-9790-EB61766296FC}">
  <sheetPr>
    <tabColor theme="2" tint="-9.9978637043366805E-2"/>
    <pageSetUpPr fitToPage="1"/>
  </sheetPr>
  <dimension ref="A1:X25"/>
  <sheetViews>
    <sheetView showGridLines="0" zoomScale="78" zoomScaleNormal="78" workbookViewId="0">
      <selection activeCell="G18" sqref="G18"/>
    </sheetView>
  </sheetViews>
  <sheetFormatPr defaultColWidth="8.7109375" defaultRowHeight="19.899999999999999" customHeight="1"/>
  <cols>
    <col min="1" max="2" width="8.7109375" style="2"/>
    <col min="3" max="3" width="4.28515625" style="2" customWidth="1"/>
    <col min="4" max="12" width="8.7109375" style="2"/>
    <col min="13" max="13" width="85.5703125" style="2" customWidth="1"/>
    <col min="14" max="16384" width="8.7109375" style="2"/>
  </cols>
  <sheetData>
    <row r="1" spans="1:24" ht="19.899999999999999" customHeight="1">
      <c r="A1" s="1"/>
    </row>
    <row r="2" spans="1:24" ht="19.899999999999999" customHeight="1">
      <c r="A2" s="1"/>
    </row>
    <row r="3" spans="1:24" ht="19.899999999999999" customHeight="1">
      <c r="A3" s="1"/>
    </row>
    <row r="4" spans="1:24" ht="4.9000000000000004" customHeight="1">
      <c r="A4" s="1"/>
    </row>
    <row r="5" spans="1:24" ht="19.899999999999999" customHeight="1">
      <c r="B5" s="46" t="s">
        <v>63</v>
      </c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</row>
    <row r="6" spans="1:24" ht="19.899999999999999" customHeight="1">
      <c r="B6" s="46"/>
      <c r="C6" s="46"/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</row>
    <row r="7" spans="1:24" ht="19.899999999999999" customHeight="1">
      <c r="B7" s="46"/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</row>
    <row r="8" spans="1:24" ht="25.15" customHeight="1">
      <c r="B8" s="4" t="s">
        <v>0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 ht="19.899999999999999" customHeight="1" thickBot="1">
      <c r="B9" s="5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</row>
    <row r="10" spans="1:24" ht="19.899999999999999" customHeight="1">
      <c r="B10" s="6"/>
      <c r="C10" s="7"/>
      <c r="D10" s="7"/>
      <c r="E10" s="7"/>
      <c r="F10" s="7"/>
      <c r="G10" s="7"/>
      <c r="H10" s="7"/>
      <c r="I10" s="7"/>
      <c r="J10" s="7"/>
      <c r="K10" s="7"/>
      <c r="L10" s="7"/>
      <c r="M10" s="8"/>
    </row>
    <row r="11" spans="1:24" ht="25.15" customHeight="1">
      <c r="B11" s="9" t="b">
        <v>0</v>
      </c>
      <c r="C11" s="17" t="s">
        <v>66</v>
      </c>
      <c r="E11" s="10"/>
      <c r="F11" s="10"/>
      <c r="G11" s="10"/>
      <c r="H11" s="10"/>
      <c r="I11" s="10"/>
      <c r="J11" s="10"/>
      <c r="K11" s="10"/>
      <c r="L11" s="10"/>
      <c r="M11" s="11"/>
    </row>
    <row r="12" spans="1:24" ht="25.15" customHeight="1">
      <c r="B12" s="45"/>
      <c r="C12" s="17" t="s">
        <v>64</v>
      </c>
      <c r="E12" s="10"/>
      <c r="F12" s="10"/>
      <c r="G12" s="10"/>
      <c r="H12" s="10"/>
      <c r="I12" s="10"/>
      <c r="J12" s="10"/>
      <c r="K12" s="10"/>
      <c r="L12" s="10"/>
      <c r="M12" s="11"/>
    </row>
    <row r="13" spans="1:24" ht="25.15" customHeight="1">
      <c r="B13" s="45"/>
      <c r="C13" s="17" t="s">
        <v>65</v>
      </c>
      <c r="D13" s="17"/>
      <c r="E13" s="10"/>
      <c r="F13" s="10"/>
      <c r="G13" s="10"/>
      <c r="H13" s="10"/>
      <c r="I13" s="10"/>
      <c r="J13" s="10"/>
      <c r="K13" s="10"/>
      <c r="L13" s="10"/>
      <c r="M13" s="11"/>
    </row>
    <row r="14" spans="1:24" ht="25.15" customHeight="1" thickBot="1">
      <c r="B14" s="12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4"/>
    </row>
    <row r="15" spans="1:24" ht="25.15" customHeight="1"/>
    <row r="16" spans="1:24" ht="25.15" customHeight="1"/>
    <row r="17" spans="7:11" ht="25.15" customHeight="1">
      <c r="K17" s="15"/>
    </row>
    <row r="18" spans="7:11" ht="25.15" customHeight="1">
      <c r="G18" s="16"/>
      <c r="K18"/>
    </row>
    <row r="19" spans="7:11" ht="25.15" customHeight="1">
      <c r="K19"/>
    </row>
    <row r="20" spans="7:11" ht="25.15" customHeight="1">
      <c r="K20"/>
    </row>
    <row r="21" spans="7:11" ht="25.15" customHeight="1">
      <c r="K21"/>
    </row>
    <row r="22" spans="7:11" ht="25.15" customHeight="1">
      <c r="K22"/>
    </row>
    <row r="23" spans="7:11" ht="25.15" customHeight="1"/>
    <row r="24" spans="7:11" ht="25.15" customHeight="1"/>
    <row r="25" spans="7:11" ht="25.15" customHeight="1"/>
  </sheetData>
  <mergeCells count="1">
    <mergeCell ref="B5:X7"/>
  </mergeCells>
  <printOptions horizontalCentered="1"/>
  <pageMargins left="0.25" right="0.25" top="0.75" bottom="0.25" header="0.3" footer="0.3"/>
  <pageSetup paperSize="9" scale="46" orientation="landscape" r:id="rId1"/>
  <headerFooter>
    <oddHeader>&amp;C&amp;"Roboto,Bold"&amp;12Excel Challenge #47 Rules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A1458-0080-4E1D-BE7A-7D641A7B31EA}">
  <sheetPr>
    <tabColor theme="2" tint="-0.249977111117893"/>
    <pageSetUpPr fitToPage="1"/>
  </sheetPr>
  <dimension ref="B1:K1096"/>
  <sheetViews>
    <sheetView showGridLines="0" topLeftCell="D1" zoomScaleNormal="100" workbookViewId="0">
      <pane ySplit="2" topLeftCell="A3" activePane="bottomLeft" state="frozen"/>
      <selection activeCell="E25" sqref="E25"/>
      <selection pane="bottomLeft" activeCell="N13" sqref="N13"/>
    </sheetView>
  </sheetViews>
  <sheetFormatPr defaultColWidth="8.7109375" defaultRowHeight="19.899999999999999" customHeight="1"/>
  <cols>
    <col min="1" max="1" width="2.7109375" style="18" customWidth="1"/>
    <col min="2" max="2" width="19.85546875" style="18" bestFit="1" customWidth="1"/>
    <col min="3" max="3" width="19.85546875" style="18" customWidth="1"/>
    <col min="4" max="5" width="15.7109375" style="18" customWidth="1"/>
    <col min="6" max="6" width="19.42578125" style="18" customWidth="1"/>
    <col min="7" max="7" width="18.5703125" style="18" customWidth="1"/>
    <col min="8" max="8" width="18.7109375" style="18" customWidth="1"/>
    <col min="9" max="9" width="22.140625" style="18" customWidth="1"/>
    <col min="10" max="10" width="16.140625" style="18" customWidth="1"/>
    <col min="11" max="11" width="12.7109375" style="18" bestFit="1" customWidth="1"/>
    <col min="12" max="13" width="8.7109375" style="18"/>
    <col min="14" max="14" width="28.7109375" style="18" customWidth="1"/>
    <col min="15" max="16384" width="8.7109375" style="18"/>
  </cols>
  <sheetData>
    <row r="1" spans="2:11" ht="21" customHeight="1" thickTop="1" thickBot="1">
      <c r="B1" s="31" t="s">
        <v>1</v>
      </c>
      <c r="C1" s="32"/>
      <c r="D1" s="32"/>
      <c r="E1" s="32"/>
      <c r="F1" s="32"/>
      <c r="G1" s="32"/>
      <c r="H1" s="32"/>
      <c r="I1" s="32"/>
      <c r="J1" s="32"/>
      <c r="K1" s="33"/>
    </row>
    <row r="2" spans="2:11" ht="15" customHeight="1" thickTop="1" thickBot="1"/>
    <row r="3" spans="2:11" ht="19.899999999999999" customHeight="1" thickTop="1" thickBot="1">
      <c r="B3" s="22" t="s">
        <v>2</v>
      </c>
      <c r="C3" s="34" t="s">
        <v>39</v>
      </c>
      <c r="D3" s="23" t="s">
        <v>52</v>
      </c>
      <c r="E3" s="23" t="s">
        <v>3</v>
      </c>
      <c r="F3" s="23" t="s">
        <v>4</v>
      </c>
      <c r="G3" s="23" t="s">
        <v>5</v>
      </c>
      <c r="H3" s="23" t="s">
        <v>6</v>
      </c>
      <c r="I3" s="23" t="s">
        <v>7</v>
      </c>
      <c r="J3" s="23" t="s">
        <v>8</v>
      </c>
      <c r="K3" s="30" t="s">
        <v>31</v>
      </c>
    </row>
    <row r="4" spans="2:11" ht="19.899999999999999" customHeight="1" thickTop="1">
      <c r="B4" s="26">
        <v>2500001</v>
      </c>
      <c r="C4" s="26" t="s">
        <v>47</v>
      </c>
      <c r="D4" s="38">
        <v>43469</v>
      </c>
      <c r="E4" s="27" t="s">
        <v>9</v>
      </c>
      <c r="F4" s="28">
        <v>4</v>
      </c>
      <c r="G4" s="24">
        <v>18.5</v>
      </c>
      <c r="H4" s="24">
        <f>+G4*F4</f>
        <v>74</v>
      </c>
      <c r="I4" s="27" t="s">
        <v>10</v>
      </c>
      <c r="J4" s="27" t="s">
        <v>11</v>
      </c>
      <c r="K4" s="19" t="s">
        <v>32</v>
      </c>
    </row>
    <row r="5" spans="2:11" ht="19.899999999999999" customHeight="1">
      <c r="B5" s="20">
        <v>2500002</v>
      </c>
      <c r="C5" s="20" t="s">
        <v>41</v>
      </c>
      <c r="D5" s="39">
        <v>43469</v>
      </c>
      <c r="E5" s="21" t="s">
        <v>12</v>
      </c>
      <c r="F5" s="25">
        <v>10</v>
      </c>
      <c r="G5" s="21">
        <v>32</v>
      </c>
      <c r="H5" s="21">
        <f>+G5*F5</f>
        <v>320</v>
      </c>
      <c r="I5" s="29" t="s">
        <v>13</v>
      </c>
      <c r="J5" s="29" t="s">
        <v>14</v>
      </c>
      <c r="K5" s="19" t="s">
        <v>33</v>
      </c>
    </row>
    <row r="6" spans="2:11" ht="19.899999999999999" customHeight="1">
      <c r="B6" s="20">
        <v>2500003</v>
      </c>
      <c r="C6" s="20" t="s">
        <v>43</v>
      </c>
      <c r="D6" s="39">
        <v>43470</v>
      </c>
      <c r="E6" s="21" t="s">
        <v>9</v>
      </c>
      <c r="F6" s="25">
        <v>9</v>
      </c>
      <c r="G6" s="21">
        <v>18.5</v>
      </c>
      <c r="H6" s="21">
        <f t="shared" ref="H6:H69" si="0">+G6*F6</f>
        <v>166.5</v>
      </c>
      <c r="I6" s="29" t="s">
        <v>15</v>
      </c>
      <c r="J6" s="29" t="s">
        <v>16</v>
      </c>
      <c r="K6" s="19" t="s">
        <v>34</v>
      </c>
    </row>
    <row r="7" spans="2:11" ht="19.899999999999999" customHeight="1">
      <c r="B7" s="20">
        <v>2500004</v>
      </c>
      <c r="C7" s="20" t="s">
        <v>41</v>
      </c>
      <c r="D7" s="39">
        <v>43470</v>
      </c>
      <c r="E7" s="21" t="s">
        <v>12</v>
      </c>
      <c r="F7" s="25">
        <v>2</v>
      </c>
      <c r="G7" s="21">
        <v>32</v>
      </c>
      <c r="H7" s="21">
        <f t="shared" si="0"/>
        <v>64</v>
      </c>
      <c r="I7" s="29" t="s">
        <v>17</v>
      </c>
      <c r="J7" s="29" t="s">
        <v>18</v>
      </c>
      <c r="K7" s="19" t="s">
        <v>35</v>
      </c>
    </row>
    <row r="8" spans="2:11" ht="19.899999999999999" customHeight="1">
      <c r="B8" s="20">
        <v>2500005</v>
      </c>
      <c r="C8" s="20" t="s">
        <v>45</v>
      </c>
      <c r="D8" s="39">
        <v>43470</v>
      </c>
      <c r="E8" s="21" t="s">
        <v>12</v>
      </c>
      <c r="F8" s="25">
        <v>2</v>
      </c>
      <c r="G8" s="21">
        <v>32</v>
      </c>
      <c r="H8" s="21">
        <f t="shared" si="0"/>
        <v>64</v>
      </c>
      <c r="I8" s="29" t="s">
        <v>10</v>
      </c>
      <c r="J8" s="29" t="s">
        <v>11</v>
      </c>
      <c r="K8" s="19" t="s">
        <v>32</v>
      </c>
    </row>
    <row r="9" spans="2:11" ht="19.899999999999999" customHeight="1">
      <c r="B9" s="20">
        <v>2500006</v>
      </c>
      <c r="C9" s="20" t="s">
        <v>40</v>
      </c>
      <c r="D9" s="39">
        <v>43471</v>
      </c>
      <c r="E9" s="21" t="s">
        <v>20</v>
      </c>
      <c r="F9" s="25">
        <v>5</v>
      </c>
      <c r="G9" s="21">
        <v>36</v>
      </c>
      <c r="H9" s="21">
        <f t="shared" si="0"/>
        <v>180</v>
      </c>
      <c r="I9" s="29" t="s">
        <v>15</v>
      </c>
      <c r="J9" s="29" t="s">
        <v>16</v>
      </c>
      <c r="K9" s="19" t="s">
        <v>34</v>
      </c>
    </row>
    <row r="10" spans="2:11" ht="19.899999999999999" customHeight="1">
      <c r="B10" s="20">
        <v>2500007</v>
      </c>
      <c r="C10" s="20" t="s">
        <v>41</v>
      </c>
      <c r="D10" s="39">
        <v>43471</v>
      </c>
      <c r="E10" s="21" t="s">
        <v>21</v>
      </c>
      <c r="F10" s="25">
        <v>4</v>
      </c>
      <c r="G10" s="21">
        <v>48</v>
      </c>
      <c r="H10" s="21">
        <f t="shared" si="0"/>
        <v>192</v>
      </c>
      <c r="I10" s="29" t="s">
        <v>17</v>
      </c>
      <c r="J10" s="29" t="s">
        <v>18</v>
      </c>
      <c r="K10" s="19" t="s">
        <v>35</v>
      </c>
    </row>
    <row r="11" spans="2:11" ht="19.899999999999999" customHeight="1">
      <c r="B11" s="20">
        <v>2500008</v>
      </c>
      <c r="C11" s="20" t="s">
        <v>47</v>
      </c>
      <c r="D11" s="39">
        <v>43471</v>
      </c>
      <c r="E11" s="21" t="s">
        <v>12</v>
      </c>
      <c r="F11" s="25">
        <v>1</v>
      </c>
      <c r="G11" s="21">
        <v>32</v>
      </c>
      <c r="H11" s="21">
        <f t="shared" si="0"/>
        <v>32</v>
      </c>
      <c r="I11" s="29" t="s">
        <v>22</v>
      </c>
      <c r="J11" s="29" t="s">
        <v>19</v>
      </c>
      <c r="K11" s="19" t="s">
        <v>36</v>
      </c>
    </row>
    <row r="12" spans="2:11" ht="19.899999999999999" customHeight="1">
      <c r="B12" s="20">
        <v>2500009</v>
      </c>
      <c r="C12" s="20" t="s">
        <v>43</v>
      </c>
      <c r="D12" s="39">
        <v>43473</v>
      </c>
      <c r="E12" s="21" t="s">
        <v>12</v>
      </c>
      <c r="F12" s="25">
        <v>3</v>
      </c>
      <c r="G12" s="21">
        <v>32</v>
      </c>
      <c r="H12" s="21">
        <f t="shared" si="0"/>
        <v>96</v>
      </c>
      <c r="I12" s="29" t="s">
        <v>15</v>
      </c>
      <c r="J12" s="29" t="s">
        <v>16</v>
      </c>
      <c r="K12" s="19" t="s">
        <v>34</v>
      </c>
    </row>
    <row r="13" spans="2:11" ht="19.899999999999999" customHeight="1">
      <c r="B13" s="20">
        <v>2500010</v>
      </c>
      <c r="C13" s="20" t="s">
        <v>49</v>
      </c>
      <c r="D13" s="39">
        <v>43473</v>
      </c>
      <c r="E13" s="21" t="s">
        <v>24</v>
      </c>
      <c r="F13" s="25">
        <v>9</v>
      </c>
      <c r="G13" s="21">
        <v>25.5</v>
      </c>
      <c r="H13" s="21">
        <f t="shared" si="0"/>
        <v>229.5</v>
      </c>
      <c r="I13" s="29" t="s">
        <v>10</v>
      </c>
      <c r="J13" s="29" t="s">
        <v>11</v>
      </c>
      <c r="K13" s="19" t="s">
        <v>32</v>
      </c>
    </row>
    <row r="14" spans="2:11" ht="19.899999999999999" customHeight="1">
      <c r="B14" s="20">
        <v>2500011</v>
      </c>
      <c r="C14" s="20" t="s">
        <v>43</v>
      </c>
      <c r="D14" s="39">
        <v>43473</v>
      </c>
      <c r="E14" s="21" t="s">
        <v>24</v>
      </c>
      <c r="F14" s="25">
        <v>2</v>
      </c>
      <c r="G14" s="21">
        <v>25.5</v>
      </c>
      <c r="H14" s="21">
        <f t="shared" si="0"/>
        <v>51</v>
      </c>
      <c r="I14" s="29" t="s">
        <v>13</v>
      </c>
      <c r="J14" s="29" t="s">
        <v>14</v>
      </c>
      <c r="K14" s="19" t="s">
        <v>33</v>
      </c>
    </row>
    <row r="15" spans="2:11" ht="19.899999999999999" customHeight="1">
      <c r="B15" s="20">
        <v>2500012</v>
      </c>
      <c r="C15" s="20" t="s">
        <v>46</v>
      </c>
      <c r="D15" s="39">
        <v>43473</v>
      </c>
      <c r="E15" s="21" t="s">
        <v>24</v>
      </c>
      <c r="F15" s="25">
        <v>2</v>
      </c>
      <c r="G15" s="21">
        <v>25.5</v>
      </c>
      <c r="H15" s="21">
        <f t="shared" si="0"/>
        <v>51</v>
      </c>
      <c r="I15" s="29" t="s">
        <v>25</v>
      </c>
      <c r="J15" s="29" t="s">
        <v>23</v>
      </c>
      <c r="K15" s="19" t="s">
        <v>37</v>
      </c>
    </row>
    <row r="16" spans="2:11" ht="19.899999999999999" customHeight="1">
      <c r="B16" s="20">
        <v>2500013</v>
      </c>
      <c r="C16" s="20" t="s">
        <v>44</v>
      </c>
      <c r="D16" s="39">
        <v>43473</v>
      </c>
      <c r="E16" s="21" t="s">
        <v>9</v>
      </c>
      <c r="F16" s="25">
        <v>7</v>
      </c>
      <c r="G16" s="21">
        <v>18.5</v>
      </c>
      <c r="H16" s="21">
        <f t="shared" si="0"/>
        <v>129.5</v>
      </c>
      <c r="I16" s="29" t="s">
        <v>17</v>
      </c>
      <c r="J16" s="29" t="s">
        <v>18</v>
      </c>
      <c r="K16" s="19" t="s">
        <v>35</v>
      </c>
    </row>
    <row r="17" spans="2:11" ht="19.899999999999999" customHeight="1">
      <c r="B17" s="20">
        <v>2500014</v>
      </c>
      <c r="C17" s="20" t="s">
        <v>45</v>
      </c>
      <c r="D17" s="39">
        <v>43482</v>
      </c>
      <c r="E17" s="21" t="s">
        <v>12</v>
      </c>
      <c r="F17" s="25">
        <v>9</v>
      </c>
      <c r="G17" s="21">
        <v>32</v>
      </c>
      <c r="H17" s="21">
        <f t="shared" si="0"/>
        <v>288</v>
      </c>
      <c r="I17" s="29" t="s">
        <v>25</v>
      </c>
      <c r="J17" s="29" t="s">
        <v>23</v>
      </c>
      <c r="K17" s="19" t="s">
        <v>37</v>
      </c>
    </row>
    <row r="18" spans="2:11" ht="19.899999999999999" customHeight="1">
      <c r="B18" s="20">
        <v>2500015</v>
      </c>
      <c r="C18" s="20" t="s">
        <v>42</v>
      </c>
      <c r="D18" s="39">
        <v>43482</v>
      </c>
      <c r="E18" s="21" t="s">
        <v>21</v>
      </c>
      <c r="F18" s="25">
        <v>5</v>
      </c>
      <c r="G18" s="21">
        <v>48</v>
      </c>
      <c r="H18" s="21">
        <f t="shared" si="0"/>
        <v>240</v>
      </c>
      <c r="I18" s="29" t="s">
        <v>26</v>
      </c>
      <c r="J18" s="29" t="s">
        <v>29</v>
      </c>
      <c r="K18" s="19" t="s">
        <v>38</v>
      </c>
    </row>
    <row r="19" spans="2:11" ht="19.899999999999999" customHeight="1">
      <c r="B19" s="20">
        <v>2500016</v>
      </c>
      <c r="C19" s="20" t="s">
        <v>42</v>
      </c>
      <c r="D19" s="39">
        <v>43482</v>
      </c>
      <c r="E19" s="21" t="s">
        <v>12</v>
      </c>
      <c r="F19" s="25">
        <v>2</v>
      </c>
      <c r="G19" s="21">
        <v>32</v>
      </c>
      <c r="H19" s="21">
        <f t="shared" si="0"/>
        <v>64</v>
      </c>
      <c r="I19" s="29" t="s">
        <v>25</v>
      </c>
      <c r="J19" s="29" t="s">
        <v>23</v>
      </c>
      <c r="K19" s="19" t="s">
        <v>37</v>
      </c>
    </row>
    <row r="20" spans="2:11" ht="19.899999999999999" customHeight="1">
      <c r="B20" s="20">
        <v>2500017</v>
      </c>
      <c r="C20" s="20" t="s">
        <v>43</v>
      </c>
      <c r="D20" s="39">
        <v>43482</v>
      </c>
      <c r="E20" s="21" t="s">
        <v>24</v>
      </c>
      <c r="F20" s="25">
        <v>2</v>
      </c>
      <c r="G20" s="21">
        <v>25.5</v>
      </c>
      <c r="H20" s="21">
        <f t="shared" si="0"/>
        <v>51</v>
      </c>
      <c r="I20" s="29" t="s">
        <v>13</v>
      </c>
      <c r="J20" s="29" t="s">
        <v>14</v>
      </c>
      <c r="K20" s="19" t="s">
        <v>33</v>
      </c>
    </row>
    <row r="21" spans="2:11" ht="19.899999999999999" customHeight="1">
      <c r="B21" s="20">
        <v>2500018</v>
      </c>
      <c r="C21" s="20" t="s">
        <v>42</v>
      </c>
      <c r="D21" s="39">
        <v>43486</v>
      </c>
      <c r="E21" s="21" t="s">
        <v>20</v>
      </c>
      <c r="F21" s="25">
        <v>2</v>
      </c>
      <c r="G21" s="21">
        <v>36</v>
      </c>
      <c r="H21" s="21">
        <f t="shared" si="0"/>
        <v>72</v>
      </c>
      <c r="I21" s="29" t="s">
        <v>25</v>
      </c>
      <c r="J21" s="29" t="s">
        <v>23</v>
      </c>
      <c r="K21" s="19" t="s">
        <v>37</v>
      </c>
    </row>
    <row r="22" spans="2:11" ht="19.899999999999999" customHeight="1">
      <c r="B22" s="20">
        <v>2500025</v>
      </c>
      <c r="C22" s="20" t="s">
        <v>43</v>
      </c>
      <c r="D22" s="39">
        <v>43486</v>
      </c>
      <c r="E22" s="21" t="s">
        <v>20</v>
      </c>
      <c r="F22" s="25">
        <v>3</v>
      </c>
      <c r="G22" s="21">
        <v>36</v>
      </c>
      <c r="H22" s="21">
        <f t="shared" si="0"/>
        <v>108</v>
      </c>
      <c r="I22" s="29" t="s">
        <v>26</v>
      </c>
      <c r="J22" s="29" t="s">
        <v>29</v>
      </c>
      <c r="K22" s="19" t="s">
        <v>38</v>
      </c>
    </row>
    <row r="23" spans="2:11" ht="19.899999999999999" customHeight="1">
      <c r="B23" s="20">
        <v>2500020</v>
      </c>
      <c r="C23" s="20" t="s">
        <v>41</v>
      </c>
      <c r="D23" s="39">
        <v>43486</v>
      </c>
      <c r="E23" s="21" t="s">
        <v>24</v>
      </c>
      <c r="F23" s="25">
        <v>9</v>
      </c>
      <c r="G23" s="21">
        <v>25.5</v>
      </c>
      <c r="H23" s="21">
        <f t="shared" si="0"/>
        <v>229.5</v>
      </c>
      <c r="I23" s="29" t="s">
        <v>10</v>
      </c>
      <c r="J23" s="29" t="s">
        <v>11</v>
      </c>
      <c r="K23" s="19" t="s">
        <v>32</v>
      </c>
    </row>
    <row r="24" spans="2:11" ht="19.899999999999999" customHeight="1">
      <c r="B24" s="20">
        <v>2500021</v>
      </c>
      <c r="C24" s="20" t="s">
        <v>44</v>
      </c>
      <c r="D24" s="39">
        <v>43489</v>
      </c>
      <c r="E24" s="21" t="s">
        <v>24</v>
      </c>
      <c r="F24" s="25">
        <v>9</v>
      </c>
      <c r="G24" s="21">
        <v>25.5</v>
      </c>
      <c r="H24" s="21">
        <f t="shared" si="0"/>
        <v>229.5</v>
      </c>
      <c r="I24" s="29" t="s">
        <v>10</v>
      </c>
      <c r="J24" s="29" t="s">
        <v>11</v>
      </c>
      <c r="K24" s="19" t="s">
        <v>32</v>
      </c>
    </row>
    <row r="25" spans="2:11" ht="19.899999999999999" customHeight="1">
      <c r="B25" s="20">
        <v>2500022</v>
      </c>
      <c r="C25" s="20" t="s">
        <v>45</v>
      </c>
      <c r="D25" s="39">
        <v>43489</v>
      </c>
      <c r="E25" s="21" t="s">
        <v>12</v>
      </c>
      <c r="F25" s="25">
        <v>1</v>
      </c>
      <c r="G25" s="21">
        <v>32</v>
      </c>
      <c r="H25" s="21">
        <f t="shared" si="0"/>
        <v>32</v>
      </c>
      <c r="I25" s="29" t="s">
        <v>10</v>
      </c>
      <c r="J25" s="29" t="s">
        <v>11</v>
      </c>
      <c r="K25" s="19" t="s">
        <v>32</v>
      </c>
    </row>
    <row r="26" spans="2:11" ht="19.899999999999999" customHeight="1">
      <c r="B26" s="20">
        <v>2500023</v>
      </c>
      <c r="C26" s="20" t="s">
        <v>43</v>
      </c>
      <c r="D26" s="39">
        <v>43489</v>
      </c>
      <c r="E26" s="21" t="s">
        <v>21</v>
      </c>
      <c r="F26" s="25">
        <v>3</v>
      </c>
      <c r="G26" s="21">
        <v>48</v>
      </c>
      <c r="H26" s="21">
        <f t="shared" si="0"/>
        <v>144</v>
      </c>
      <c r="I26" s="29" t="s">
        <v>17</v>
      </c>
      <c r="J26" s="29" t="s">
        <v>18</v>
      </c>
      <c r="K26" s="19" t="s">
        <v>35</v>
      </c>
    </row>
    <row r="27" spans="2:11" ht="19.899999999999999" customHeight="1">
      <c r="B27" s="20">
        <v>2500024</v>
      </c>
      <c r="C27" s="20" t="s">
        <v>44</v>
      </c>
      <c r="D27" s="39">
        <v>43497</v>
      </c>
      <c r="E27" s="21" t="s">
        <v>27</v>
      </c>
      <c r="F27" s="25">
        <v>6</v>
      </c>
      <c r="G27" s="21">
        <v>15.5</v>
      </c>
      <c r="H27" s="21">
        <f t="shared" si="0"/>
        <v>93</v>
      </c>
      <c r="I27" s="29" t="s">
        <v>26</v>
      </c>
      <c r="J27" s="29" t="s">
        <v>29</v>
      </c>
      <c r="K27" s="19" t="s">
        <v>38</v>
      </c>
    </row>
    <row r="28" spans="2:11" ht="19.899999999999999" customHeight="1">
      <c r="B28" s="20">
        <v>2500025</v>
      </c>
      <c r="C28" s="20" t="s">
        <v>42</v>
      </c>
      <c r="D28" s="39">
        <v>43497</v>
      </c>
      <c r="E28" s="21" t="s">
        <v>24</v>
      </c>
      <c r="F28" s="25">
        <v>1</v>
      </c>
      <c r="G28" s="21">
        <v>25.5</v>
      </c>
      <c r="H28" s="21">
        <f t="shared" si="0"/>
        <v>25.5</v>
      </c>
      <c r="I28" s="29" t="s">
        <v>17</v>
      </c>
      <c r="J28" s="29" t="s">
        <v>18</v>
      </c>
      <c r="K28" s="19" t="s">
        <v>35</v>
      </c>
    </row>
    <row r="29" spans="2:11" ht="19.899999999999999" customHeight="1">
      <c r="B29" s="20">
        <v>2500026</v>
      </c>
      <c r="C29" s="20" t="s">
        <v>40</v>
      </c>
      <c r="D29" s="39">
        <v>43497</v>
      </c>
      <c r="E29" s="21" t="s">
        <v>24</v>
      </c>
      <c r="F29" s="25">
        <v>10</v>
      </c>
      <c r="G29" s="21">
        <v>25.5</v>
      </c>
      <c r="H29" s="21">
        <f t="shared" si="0"/>
        <v>255</v>
      </c>
      <c r="I29" s="29" t="s">
        <v>26</v>
      </c>
      <c r="J29" s="29" t="s">
        <v>29</v>
      </c>
      <c r="K29" s="19" t="s">
        <v>38</v>
      </c>
    </row>
    <row r="30" spans="2:11" ht="19.899999999999999" customHeight="1">
      <c r="B30" s="20">
        <v>2500027</v>
      </c>
      <c r="C30" s="20" t="s">
        <v>46</v>
      </c>
      <c r="D30" s="39">
        <v>43497</v>
      </c>
      <c r="E30" s="21" t="s">
        <v>20</v>
      </c>
      <c r="F30" s="25">
        <v>7</v>
      </c>
      <c r="G30" s="21">
        <v>36</v>
      </c>
      <c r="H30" s="21">
        <f t="shared" si="0"/>
        <v>252</v>
      </c>
      <c r="I30" s="29" t="s">
        <v>17</v>
      </c>
      <c r="J30" s="29" t="s">
        <v>18</v>
      </c>
      <c r="K30" s="19" t="s">
        <v>35</v>
      </c>
    </row>
    <row r="31" spans="2:11" ht="19.899999999999999" customHeight="1">
      <c r="B31" s="20">
        <v>2500028</v>
      </c>
      <c r="C31" s="20" t="s">
        <v>49</v>
      </c>
      <c r="D31" s="39">
        <v>43499</v>
      </c>
      <c r="E31" s="21" t="s">
        <v>27</v>
      </c>
      <c r="F31" s="25">
        <v>2</v>
      </c>
      <c r="G31" s="21">
        <v>15.5</v>
      </c>
      <c r="H31" s="21">
        <f t="shared" si="0"/>
        <v>31</v>
      </c>
      <c r="I31" s="29" t="s">
        <v>10</v>
      </c>
      <c r="J31" s="29" t="s">
        <v>11</v>
      </c>
      <c r="K31" s="19" t="s">
        <v>32</v>
      </c>
    </row>
    <row r="32" spans="2:11" ht="19.899999999999999" customHeight="1">
      <c r="B32" s="20">
        <v>2500029</v>
      </c>
      <c r="C32" s="20" t="s">
        <v>48</v>
      </c>
      <c r="D32" s="39">
        <v>43499</v>
      </c>
      <c r="E32" s="21" t="s">
        <v>24</v>
      </c>
      <c r="F32" s="25">
        <v>7</v>
      </c>
      <c r="G32" s="21">
        <v>25.5</v>
      </c>
      <c r="H32" s="21">
        <f t="shared" si="0"/>
        <v>178.5</v>
      </c>
      <c r="I32" s="29" t="s">
        <v>15</v>
      </c>
      <c r="J32" s="29" t="s">
        <v>16</v>
      </c>
      <c r="K32" s="19" t="s">
        <v>34</v>
      </c>
    </row>
    <row r="33" spans="2:11" ht="19.899999999999999" customHeight="1">
      <c r="B33" s="20">
        <v>2500030</v>
      </c>
      <c r="C33" s="20" t="s">
        <v>47</v>
      </c>
      <c r="D33" s="39">
        <v>43499</v>
      </c>
      <c r="E33" s="21" t="s">
        <v>21</v>
      </c>
      <c r="F33" s="25">
        <v>8</v>
      </c>
      <c r="G33" s="21">
        <v>48</v>
      </c>
      <c r="H33" s="21">
        <f t="shared" si="0"/>
        <v>384</v>
      </c>
      <c r="I33" s="29" t="s">
        <v>26</v>
      </c>
      <c r="J33" s="29" t="s">
        <v>29</v>
      </c>
      <c r="K33" s="19" t="s">
        <v>38</v>
      </c>
    </row>
    <row r="34" spans="2:11" ht="19.899999999999999" customHeight="1">
      <c r="B34" s="20">
        <v>2500031</v>
      </c>
      <c r="C34" s="20" t="s">
        <v>40</v>
      </c>
      <c r="D34" s="39">
        <v>43499</v>
      </c>
      <c r="E34" s="21" t="s">
        <v>12</v>
      </c>
      <c r="F34" s="25">
        <v>8</v>
      </c>
      <c r="G34" s="21">
        <v>32</v>
      </c>
      <c r="H34" s="21">
        <f t="shared" si="0"/>
        <v>256</v>
      </c>
      <c r="I34" s="29" t="s">
        <v>13</v>
      </c>
      <c r="J34" s="29" t="s">
        <v>14</v>
      </c>
      <c r="K34" s="19" t="s">
        <v>33</v>
      </c>
    </row>
    <row r="35" spans="2:11" ht="19.899999999999999" customHeight="1">
      <c r="B35" s="20">
        <v>2500032</v>
      </c>
      <c r="C35" s="20" t="s">
        <v>42</v>
      </c>
      <c r="D35" s="39">
        <v>43501</v>
      </c>
      <c r="E35" s="21" t="s">
        <v>24</v>
      </c>
      <c r="F35" s="25">
        <v>2</v>
      </c>
      <c r="G35" s="21">
        <v>25.5</v>
      </c>
      <c r="H35" s="21">
        <f t="shared" si="0"/>
        <v>51</v>
      </c>
      <c r="I35" s="29" t="s">
        <v>28</v>
      </c>
      <c r="J35" s="29" t="s">
        <v>30</v>
      </c>
      <c r="K35" s="19" t="s">
        <v>33</v>
      </c>
    </row>
    <row r="36" spans="2:11" ht="19.899999999999999" customHeight="1">
      <c r="B36" s="20">
        <v>2500033</v>
      </c>
      <c r="C36" s="20" t="s">
        <v>49</v>
      </c>
      <c r="D36" s="39">
        <v>43501</v>
      </c>
      <c r="E36" s="21" t="s">
        <v>27</v>
      </c>
      <c r="F36" s="25">
        <v>3</v>
      </c>
      <c r="G36" s="21">
        <v>15.5</v>
      </c>
      <c r="H36" s="21">
        <f t="shared" si="0"/>
        <v>46.5</v>
      </c>
      <c r="I36" s="29" t="s">
        <v>28</v>
      </c>
      <c r="J36" s="29" t="s">
        <v>30</v>
      </c>
      <c r="K36" s="19" t="s">
        <v>33</v>
      </c>
    </row>
    <row r="37" spans="2:11" ht="19.899999999999999" customHeight="1">
      <c r="B37" s="20">
        <v>2500034</v>
      </c>
      <c r="C37" s="20" t="s">
        <v>47</v>
      </c>
      <c r="D37" s="39">
        <v>43501</v>
      </c>
      <c r="E37" s="21" t="s">
        <v>27</v>
      </c>
      <c r="F37" s="25">
        <v>5</v>
      </c>
      <c r="G37" s="21">
        <v>15.5</v>
      </c>
      <c r="H37" s="21">
        <f t="shared" si="0"/>
        <v>77.5</v>
      </c>
      <c r="I37" s="29" t="s">
        <v>13</v>
      </c>
      <c r="J37" s="29" t="s">
        <v>14</v>
      </c>
      <c r="K37" s="19" t="s">
        <v>33</v>
      </c>
    </row>
    <row r="38" spans="2:11" ht="19.899999999999999" customHeight="1">
      <c r="B38" s="20">
        <v>2500035</v>
      </c>
      <c r="C38" s="20" t="s">
        <v>43</v>
      </c>
      <c r="D38" s="39">
        <v>43501</v>
      </c>
      <c r="E38" s="21" t="s">
        <v>12</v>
      </c>
      <c r="F38" s="25">
        <v>4</v>
      </c>
      <c r="G38" s="21">
        <v>32</v>
      </c>
      <c r="H38" s="21">
        <f t="shared" si="0"/>
        <v>128</v>
      </c>
      <c r="I38" s="29" t="s">
        <v>10</v>
      </c>
      <c r="J38" s="29" t="s">
        <v>11</v>
      </c>
      <c r="K38" s="19" t="s">
        <v>32</v>
      </c>
    </row>
    <row r="39" spans="2:11" ht="19.899999999999999" customHeight="1">
      <c r="B39" s="20">
        <v>2500036</v>
      </c>
      <c r="C39" s="20" t="s">
        <v>43</v>
      </c>
      <c r="D39" s="39">
        <v>43504</v>
      </c>
      <c r="E39" s="21" t="s">
        <v>21</v>
      </c>
      <c r="F39" s="25">
        <v>5</v>
      </c>
      <c r="G39" s="21">
        <v>48</v>
      </c>
      <c r="H39" s="21">
        <f t="shared" si="0"/>
        <v>240</v>
      </c>
      <c r="I39" s="29" t="s">
        <v>13</v>
      </c>
      <c r="J39" s="29" t="s">
        <v>14</v>
      </c>
      <c r="K39" s="19" t="s">
        <v>33</v>
      </c>
    </row>
    <row r="40" spans="2:11" ht="19.899999999999999" customHeight="1">
      <c r="B40" s="20">
        <v>2500037</v>
      </c>
      <c r="C40" s="20" t="s">
        <v>48</v>
      </c>
      <c r="D40" s="39">
        <v>43504</v>
      </c>
      <c r="E40" s="21" t="s">
        <v>9</v>
      </c>
      <c r="F40" s="25">
        <v>10</v>
      </c>
      <c r="G40" s="21">
        <v>18.5</v>
      </c>
      <c r="H40" s="21">
        <f t="shared" si="0"/>
        <v>185</v>
      </c>
      <c r="I40" s="29" t="s">
        <v>10</v>
      </c>
      <c r="J40" s="29" t="s">
        <v>11</v>
      </c>
      <c r="K40" s="19" t="s">
        <v>32</v>
      </c>
    </row>
    <row r="41" spans="2:11" ht="19.899999999999999" customHeight="1">
      <c r="B41" s="20">
        <v>2500038</v>
      </c>
      <c r="C41" s="20" t="s">
        <v>45</v>
      </c>
      <c r="D41" s="39">
        <v>43504</v>
      </c>
      <c r="E41" s="21" t="s">
        <v>24</v>
      </c>
      <c r="F41" s="25">
        <v>6</v>
      </c>
      <c r="G41" s="21">
        <v>25.5</v>
      </c>
      <c r="H41" s="21">
        <f t="shared" si="0"/>
        <v>153</v>
      </c>
      <c r="I41" s="29" t="s">
        <v>13</v>
      </c>
      <c r="J41" s="29" t="s">
        <v>14</v>
      </c>
      <c r="K41" s="19" t="s">
        <v>33</v>
      </c>
    </row>
    <row r="42" spans="2:11" ht="19.899999999999999" customHeight="1">
      <c r="B42" s="20">
        <v>2500039</v>
      </c>
      <c r="C42" s="20" t="s">
        <v>46</v>
      </c>
      <c r="D42" s="39">
        <v>43504</v>
      </c>
      <c r="E42" s="21" t="s">
        <v>20</v>
      </c>
      <c r="F42" s="25">
        <v>6</v>
      </c>
      <c r="G42" s="21">
        <v>36</v>
      </c>
      <c r="H42" s="21">
        <f t="shared" si="0"/>
        <v>216</v>
      </c>
      <c r="I42" s="29" t="s">
        <v>15</v>
      </c>
      <c r="J42" s="29" t="s">
        <v>16</v>
      </c>
      <c r="K42" s="19" t="s">
        <v>34</v>
      </c>
    </row>
    <row r="43" spans="2:11" ht="19.899999999999999" customHeight="1">
      <c r="B43" s="20">
        <v>2500040</v>
      </c>
      <c r="C43" s="20" t="s">
        <v>41</v>
      </c>
      <c r="D43" s="39">
        <v>43508</v>
      </c>
      <c r="E43" s="21" t="s">
        <v>24</v>
      </c>
      <c r="F43" s="25">
        <v>1</v>
      </c>
      <c r="G43" s="21">
        <v>25.5</v>
      </c>
      <c r="H43" s="21">
        <f t="shared" si="0"/>
        <v>25.5</v>
      </c>
      <c r="I43" s="29" t="s">
        <v>25</v>
      </c>
      <c r="J43" s="29" t="s">
        <v>23</v>
      </c>
      <c r="K43" s="19" t="s">
        <v>37</v>
      </c>
    </row>
    <row r="44" spans="2:11" ht="19.899999999999999" customHeight="1">
      <c r="B44" s="20">
        <v>2500041</v>
      </c>
      <c r="C44" s="20" t="s">
        <v>44</v>
      </c>
      <c r="D44" s="39">
        <v>43508</v>
      </c>
      <c r="E44" s="21" t="s">
        <v>9</v>
      </c>
      <c r="F44" s="25">
        <v>1</v>
      </c>
      <c r="G44" s="21">
        <v>18.5</v>
      </c>
      <c r="H44" s="21">
        <f t="shared" si="0"/>
        <v>18.5</v>
      </c>
      <c r="I44" s="29" t="s">
        <v>10</v>
      </c>
      <c r="J44" s="29" t="s">
        <v>11</v>
      </c>
      <c r="K44" s="19" t="s">
        <v>32</v>
      </c>
    </row>
    <row r="45" spans="2:11" ht="19.899999999999999" customHeight="1">
      <c r="B45" s="20">
        <v>2500042</v>
      </c>
      <c r="C45" s="20" t="s">
        <v>44</v>
      </c>
      <c r="D45" s="39">
        <v>43508</v>
      </c>
      <c r="E45" s="21" t="s">
        <v>21</v>
      </c>
      <c r="F45" s="25">
        <v>1</v>
      </c>
      <c r="G45" s="21">
        <v>48</v>
      </c>
      <c r="H45" s="21">
        <f t="shared" si="0"/>
        <v>48</v>
      </c>
      <c r="I45" s="29" t="s">
        <v>10</v>
      </c>
      <c r="J45" s="29" t="s">
        <v>11</v>
      </c>
      <c r="K45" s="19" t="s">
        <v>32</v>
      </c>
    </row>
    <row r="46" spans="2:11" ht="19.899999999999999" customHeight="1">
      <c r="B46" s="20">
        <v>2500043</v>
      </c>
      <c r="C46" s="20" t="s">
        <v>42</v>
      </c>
      <c r="D46" s="39">
        <v>43508</v>
      </c>
      <c r="E46" s="21" t="s">
        <v>20</v>
      </c>
      <c r="F46" s="25">
        <v>9</v>
      </c>
      <c r="G46" s="21">
        <v>36</v>
      </c>
      <c r="H46" s="21">
        <f t="shared" si="0"/>
        <v>324</v>
      </c>
      <c r="I46" s="29" t="s">
        <v>22</v>
      </c>
      <c r="J46" s="29" t="s">
        <v>19</v>
      </c>
      <c r="K46" s="19" t="s">
        <v>36</v>
      </c>
    </row>
    <row r="47" spans="2:11" ht="19.899999999999999" customHeight="1">
      <c r="B47" s="20">
        <v>2500044</v>
      </c>
      <c r="C47" s="20" t="s">
        <v>42</v>
      </c>
      <c r="D47" s="39">
        <v>43516</v>
      </c>
      <c r="E47" s="21" t="s">
        <v>21</v>
      </c>
      <c r="F47" s="25">
        <v>4</v>
      </c>
      <c r="G47" s="21">
        <v>48</v>
      </c>
      <c r="H47" s="21">
        <f t="shared" si="0"/>
        <v>192</v>
      </c>
      <c r="I47" s="29" t="s">
        <v>25</v>
      </c>
      <c r="J47" s="29" t="s">
        <v>23</v>
      </c>
      <c r="K47" s="19" t="s">
        <v>37</v>
      </c>
    </row>
    <row r="48" spans="2:11" ht="19.899999999999999" customHeight="1">
      <c r="B48" s="20">
        <v>2500045</v>
      </c>
      <c r="C48" s="20" t="s">
        <v>43</v>
      </c>
      <c r="D48" s="39">
        <v>43516</v>
      </c>
      <c r="E48" s="21" t="s">
        <v>24</v>
      </c>
      <c r="F48" s="25">
        <v>4</v>
      </c>
      <c r="G48" s="21">
        <v>25.5</v>
      </c>
      <c r="H48" s="21">
        <f t="shared" si="0"/>
        <v>102</v>
      </c>
      <c r="I48" s="29" t="s">
        <v>26</v>
      </c>
      <c r="J48" s="29" t="s">
        <v>29</v>
      </c>
      <c r="K48" s="19" t="s">
        <v>38</v>
      </c>
    </row>
    <row r="49" spans="2:11" ht="19.899999999999999" customHeight="1">
      <c r="B49" s="20">
        <v>2500046</v>
      </c>
      <c r="C49" s="20" t="s">
        <v>47</v>
      </c>
      <c r="D49" s="39">
        <v>43516</v>
      </c>
      <c r="E49" s="21" t="s">
        <v>21</v>
      </c>
      <c r="F49" s="25">
        <v>5</v>
      </c>
      <c r="G49" s="21">
        <v>48</v>
      </c>
      <c r="H49" s="21">
        <f t="shared" si="0"/>
        <v>240</v>
      </c>
      <c r="I49" s="29" t="s">
        <v>10</v>
      </c>
      <c r="J49" s="29" t="s">
        <v>11</v>
      </c>
      <c r="K49" s="19" t="s">
        <v>32</v>
      </c>
    </row>
    <row r="50" spans="2:11" ht="19.899999999999999" customHeight="1">
      <c r="B50" s="20">
        <v>2500047</v>
      </c>
      <c r="C50" s="20" t="s">
        <v>47</v>
      </c>
      <c r="D50" s="39">
        <v>43516</v>
      </c>
      <c r="E50" s="21" t="s">
        <v>24</v>
      </c>
      <c r="F50" s="25">
        <v>7</v>
      </c>
      <c r="G50" s="21">
        <v>25.5</v>
      </c>
      <c r="H50" s="21">
        <f t="shared" si="0"/>
        <v>178.5</v>
      </c>
      <c r="I50" s="29" t="s">
        <v>15</v>
      </c>
      <c r="J50" s="29" t="s">
        <v>16</v>
      </c>
      <c r="K50" s="19" t="s">
        <v>34</v>
      </c>
    </row>
    <row r="51" spans="2:11" ht="19.899999999999999" customHeight="1">
      <c r="B51" s="20">
        <v>2500048</v>
      </c>
      <c r="C51" s="20" t="s">
        <v>45</v>
      </c>
      <c r="D51" s="39">
        <v>43516</v>
      </c>
      <c r="E51" s="21" t="s">
        <v>12</v>
      </c>
      <c r="F51" s="25">
        <v>6</v>
      </c>
      <c r="G51" s="21">
        <v>32</v>
      </c>
      <c r="H51" s="21">
        <f t="shared" si="0"/>
        <v>192</v>
      </c>
      <c r="I51" s="29" t="s">
        <v>10</v>
      </c>
      <c r="J51" s="29" t="s">
        <v>11</v>
      </c>
      <c r="K51" s="19" t="s">
        <v>32</v>
      </c>
    </row>
    <row r="52" spans="2:11" ht="19.899999999999999" customHeight="1">
      <c r="B52" s="20">
        <v>2500049</v>
      </c>
      <c r="C52" s="20" t="s">
        <v>48</v>
      </c>
      <c r="D52" s="39">
        <v>43525</v>
      </c>
      <c r="E52" s="21" t="s">
        <v>21</v>
      </c>
      <c r="F52" s="25">
        <v>9</v>
      </c>
      <c r="G52" s="21">
        <v>48</v>
      </c>
      <c r="H52" s="21">
        <f t="shared" si="0"/>
        <v>432</v>
      </c>
      <c r="I52" s="29" t="s">
        <v>22</v>
      </c>
      <c r="J52" s="29" t="s">
        <v>19</v>
      </c>
      <c r="K52" s="19" t="s">
        <v>36</v>
      </c>
    </row>
    <row r="53" spans="2:11" ht="19.899999999999999" customHeight="1">
      <c r="B53" s="20">
        <v>2500050</v>
      </c>
      <c r="C53" s="20" t="s">
        <v>49</v>
      </c>
      <c r="D53" s="39">
        <v>43525</v>
      </c>
      <c r="E53" s="21" t="s">
        <v>21</v>
      </c>
      <c r="F53" s="25">
        <v>5</v>
      </c>
      <c r="G53" s="21">
        <v>48</v>
      </c>
      <c r="H53" s="21">
        <f t="shared" si="0"/>
        <v>240</v>
      </c>
      <c r="I53" s="29" t="s">
        <v>15</v>
      </c>
      <c r="J53" s="29" t="s">
        <v>16</v>
      </c>
      <c r="K53" s="19" t="s">
        <v>34</v>
      </c>
    </row>
    <row r="54" spans="2:11" ht="19.899999999999999" customHeight="1">
      <c r="B54" s="20">
        <v>2500051</v>
      </c>
      <c r="C54" s="20" t="s">
        <v>49</v>
      </c>
      <c r="D54" s="39">
        <v>43525</v>
      </c>
      <c r="E54" s="21" t="s">
        <v>9</v>
      </c>
      <c r="F54" s="25">
        <v>3</v>
      </c>
      <c r="G54" s="21">
        <v>18.5</v>
      </c>
      <c r="H54" s="21">
        <f t="shared" si="0"/>
        <v>55.5</v>
      </c>
      <c r="I54" s="29" t="s">
        <v>10</v>
      </c>
      <c r="J54" s="29" t="s">
        <v>11</v>
      </c>
      <c r="K54" s="19" t="s">
        <v>32</v>
      </c>
    </row>
    <row r="55" spans="2:11" ht="19.899999999999999" customHeight="1">
      <c r="B55" s="20">
        <v>2500052</v>
      </c>
      <c r="C55" s="20" t="s">
        <v>47</v>
      </c>
      <c r="D55" s="39">
        <v>43525</v>
      </c>
      <c r="E55" s="21" t="s">
        <v>21</v>
      </c>
      <c r="F55" s="25">
        <v>8</v>
      </c>
      <c r="G55" s="21">
        <v>48</v>
      </c>
      <c r="H55" s="21">
        <f t="shared" si="0"/>
        <v>384</v>
      </c>
      <c r="I55" s="29" t="s">
        <v>22</v>
      </c>
      <c r="J55" s="29" t="s">
        <v>19</v>
      </c>
      <c r="K55" s="19" t="s">
        <v>36</v>
      </c>
    </row>
    <row r="56" spans="2:11" ht="19.899999999999999" customHeight="1">
      <c r="B56" s="20">
        <v>2500053</v>
      </c>
      <c r="C56" s="20" t="s">
        <v>42</v>
      </c>
      <c r="D56" s="39">
        <v>43525</v>
      </c>
      <c r="E56" s="21" t="s">
        <v>9</v>
      </c>
      <c r="F56" s="25">
        <v>5</v>
      </c>
      <c r="G56" s="21">
        <v>18.5</v>
      </c>
      <c r="H56" s="21">
        <f t="shared" si="0"/>
        <v>92.5</v>
      </c>
      <c r="I56" s="29" t="s">
        <v>26</v>
      </c>
      <c r="J56" s="29" t="s">
        <v>29</v>
      </c>
      <c r="K56" s="19" t="s">
        <v>38</v>
      </c>
    </row>
    <row r="57" spans="2:11" ht="19.899999999999999" customHeight="1">
      <c r="B57" s="20">
        <v>2500054</v>
      </c>
      <c r="C57" s="20" t="s">
        <v>43</v>
      </c>
      <c r="D57" s="39">
        <v>43530</v>
      </c>
      <c r="E57" s="21" t="s">
        <v>9</v>
      </c>
      <c r="F57" s="25">
        <v>3</v>
      </c>
      <c r="G57" s="21">
        <v>18.5</v>
      </c>
      <c r="H57" s="21">
        <f t="shared" si="0"/>
        <v>55.5</v>
      </c>
      <c r="I57" s="29" t="s">
        <v>25</v>
      </c>
      <c r="J57" s="29" t="s">
        <v>23</v>
      </c>
      <c r="K57" s="19" t="s">
        <v>37</v>
      </c>
    </row>
    <row r="58" spans="2:11" ht="19.899999999999999" customHeight="1">
      <c r="B58" s="20">
        <v>2500055</v>
      </c>
      <c r="C58" s="20" t="s">
        <v>47</v>
      </c>
      <c r="D58" s="39">
        <v>43530</v>
      </c>
      <c r="E58" s="21" t="s">
        <v>27</v>
      </c>
      <c r="F58" s="25">
        <v>2</v>
      </c>
      <c r="G58" s="21">
        <v>15.5</v>
      </c>
      <c r="H58" s="21">
        <f t="shared" si="0"/>
        <v>31</v>
      </c>
      <c r="I58" s="29" t="s">
        <v>10</v>
      </c>
      <c r="J58" s="29" t="s">
        <v>11</v>
      </c>
      <c r="K58" s="19" t="s">
        <v>32</v>
      </c>
    </row>
    <row r="59" spans="2:11" ht="19.899999999999999" customHeight="1">
      <c r="B59" s="20">
        <v>2500056</v>
      </c>
      <c r="C59" s="20" t="s">
        <v>46</v>
      </c>
      <c r="D59" s="39">
        <v>43530</v>
      </c>
      <c r="E59" s="21" t="s">
        <v>27</v>
      </c>
      <c r="F59" s="25">
        <v>2</v>
      </c>
      <c r="G59" s="21">
        <v>15.5</v>
      </c>
      <c r="H59" s="21">
        <f t="shared" si="0"/>
        <v>31</v>
      </c>
      <c r="I59" s="29" t="s">
        <v>15</v>
      </c>
      <c r="J59" s="29" t="s">
        <v>16</v>
      </c>
      <c r="K59" s="19" t="s">
        <v>34</v>
      </c>
    </row>
    <row r="60" spans="2:11" ht="19.899999999999999" customHeight="1">
      <c r="B60" s="20">
        <v>2500057</v>
      </c>
      <c r="C60" s="20" t="s">
        <v>43</v>
      </c>
      <c r="D60" s="39">
        <v>43530</v>
      </c>
      <c r="E60" s="21" t="s">
        <v>21</v>
      </c>
      <c r="F60" s="25">
        <v>7</v>
      </c>
      <c r="G60" s="21">
        <v>48</v>
      </c>
      <c r="H60" s="21">
        <f t="shared" si="0"/>
        <v>336</v>
      </c>
      <c r="I60" s="29" t="s">
        <v>10</v>
      </c>
      <c r="J60" s="29" t="s">
        <v>11</v>
      </c>
      <c r="K60" s="19" t="s">
        <v>32</v>
      </c>
    </row>
    <row r="61" spans="2:11" ht="19.899999999999999" customHeight="1">
      <c r="B61" s="20">
        <v>2500058</v>
      </c>
      <c r="C61" s="20" t="s">
        <v>40</v>
      </c>
      <c r="D61" s="39">
        <v>43530</v>
      </c>
      <c r="E61" s="21" t="s">
        <v>20</v>
      </c>
      <c r="F61" s="25">
        <v>4</v>
      </c>
      <c r="G61" s="21">
        <v>36</v>
      </c>
      <c r="H61" s="21">
        <f t="shared" si="0"/>
        <v>144</v>
      </c>
      <c r="I61" s="29" t="s">
        <v>28</v>
      </c>
      <c r="J61" s="29" t="s">
        <v>30</v>
      </c>
      <c r="K61" s="19" t="s">
        <v>33</v>
      </c>
    </row>
    <row r="62" spans="2:11" ht="19.899999999999999" customHeight="1">
      <c r="B62" s="20">
        <v>2500059</v>
      </c>
      <c r="C62" s="20" t="s">
        <v>49</v>
      </c>
      <c r="D62" s="39">
        <v>43537</v>
      </c>
      <c r="E62" s="21" t="s">
        <v>20</v>
      </c>
      <c r="F62" s="25">
        <v>5</v>
      </c>
      <c r="G62" s="21">
        <v>36</v>
      </c>
      <c r="H62" s="21">
        <f t="shared" si="0"/>
        <v>180</v>
      </c>
      <c r="I62" s="29" t="s">
        <v>22</v>
      </c>
      <c r="J62" s="29" t="s">
        <v>19</v>
      </c>
      <c r="K62" s="19" t="s">
        <v>36</v>
      </c>
    </row>
    <row r="63" spans="2:11" ht="19.899999999999999" customHeight="1">
      <c r="B63" s="20">
        <v>2500060</v>
      </c>
      <c r="C63" s="20" t="s">
        <v>43</v>
      </c>
      <c r="D63" s="39">
        <v>43537</v>
      </c>
      <c r="E63" s="21" t="s">
        <v>21</v>
      </c>
      <c r="F63" s="25">
        <v>5</v>
      </c>
      <c r="G63" s="21">
        <v>48</v>
      </c>
      <c r="H63" s="21">
        <f t="shared" si="0"/>
        <v>240</v>
      </c>
      <c r="I63" s="29" t="s">
        <v>22</v>
      </c>
      <c r="J63" s="29" t="s">
        <v>19</v>
      </c>
      <c r="K63" s="19" t="s">
        <v>36</v>
      </c>
    </row>
    <row r="64" spans="2:11" ht="19.899999999999999" customHeight="1">
      <c r="B64" s="20">
        <v>2500061</v>
      </c>
      <c r="C64" s="20" t="s">
        <v>48</v>
      </c>
      <c r="D64" s="39">
        <v>43537</v>
      </c>
      <c r="E64" s="21" t="s">
        <v>9</v>
      </c>
      <c r="F64" s="25">
        <v>9</v>
      </c>
      <c r="G64" s="21">
        <v>18.5</v>
      </c>
      <c r="H64" s="21">
        <f t="shared" si="0"/>
        <v>166.5</v>
      </c>
      <c r="I64" s="29" t="s">
        <v>22</v>
      </c>
      <c r="J64" s="29" t="s">
        <v>19</v>
      </c>
      <c r="K64" s="19" t="s">
        <v>36</v>
      </c>
    </row>
    <row r="65" spans="2:11" ht="19.899999999999999" customHeight="1">
      <c r="B65" s="20">
        <v>2500062</v>
      </c>
      <c r="C65" s="20" t="s">
        <v>43</v>
      </c>
      <c r="D65" s="39">
        <v>43537</v>
      </c>
      <c r="E65" s="21" t="s">
        <v>20</v>
      </c>
      <c r="F65" s="25">
        <v>7</v>
      </c>
      <c r="G65" s="21">
        <v>36</v>
      </c>
      <c r="H65" s="21">
        <f t="shared" si="0"/>
        <v>252</v>
      </c>
      <c r="I65" s="29" t="s">
        <v>26</v>
      </c>
      <c r="J65" s="29" t="s">
        <v>29</v>
      </c>
      <c r="K65" s="19" t="s">
        <v>38</v>
      </c>
    </row>
    <row r="66" spans="2:11" ht="19.899999999999999" customHeight="1">
      <c r="B66" s="20">
        <v>2500063</v>
      </c>
      <c r="C66" s="20" t="s">
        <v>42</v>
      </c>
      <c r="D66" s="39">
        <v>43537</v>
      </c>
      <c r="E66" s="21" t="s">
        <v>20</v>
      </c>
      <c r="F66" s="25">
        <v>9</v>
      </c>
      <c r="G66" s="21">
        <v>36</v>
      </c>
      <c r="H66" s="21">
        <f t="shared" si="0"/>
        <v>324</v>
      </c>
      <c r="I66" s="29" t="s">
        <v>15</v>
      </c>
      <c r="J66" s="29" t="s">
        <v>16</v>
      </c>
      <c r="K66" s="19" t="s">
        <v>34</v>
      </c>
    </row>
    <row r="67" spans="2:11" ht="19.899999999999999" customHeight="1">
      <c r="B67" s="20">
        <v>2500064</v>
      </c>
      <c r="C67" s="20" t="s">
        <v>42</v>
      </c>
      <c r="D67" s="39">
        <v>43532</v>
      </c>
      <c r="E67" s="21" t="s">
        <v>9</v>
      </c>
      <c r="F67" s="25">
        <v>6</v>
      </c>
      <c r="G67" s="21">
        <v>18.5</v>
      </c>
      <c r="H67" s="21">
        <f t="shared" si="0"/>
        <v>111</v>
      </c>
      <c r="I67" s="29" t="s">
        <v>22</v>
      </c>
      <c r="J67" s="29" t="s">
        <v>19</v>
      </c>
      <c r="K67" s="19" t="s">
        <v>36</v>
      </c>
    </row>
    <row r="68" spans="2:11" ht="19.899999999999999" customHeight="1">
      <c r="B68" s="20">
        <v>2500065</v>
      </c>
      <c r="C68" s="20" t="s">
        <v>44</v>
      </c>
      <c r="D68" s="39">
        <v>43533</v>
      </c>
      <c r="E68" s="21" t="s">
        <v>12</v>
      </c>
      <c r="F68" s="25">
        <v>1</v>
      </c>
      <c r="G68" s="21">
        <v>32</v>
      </c>
      <c r="H68" s="21">
        <f t="shared" si="0"/>
        <v>32</v>
      </c>
      <c r="I68" s="29" t="s">
        <v>25</v>
      </c>
      <c r="J68" s="29" t="s">
        <v>23</v>
      </c>
      <c r="K68" s="19" t="s">
        <v>37</v>
      </c>
    </row>
    <row r="69" spans="2:11" ht="19.899999999999999" customHeight="1">
      <c r="B69" s="20">
        <v>2500066</v>
      </c>
      <c r="C69" s="20" t="s">
        <v>44</v>
      </c>
      <c r="D69" s="39">
        <v>43534</v>
      </c>
      <c r="E69" s="21" t="s">
        <v>24</v>
      </c>
      <c r="F69" s="25">
        <v>1</v>
      </c>
      <c r="G69" s="21">
        <v>25.5</v>
      </c>
      <c r="H69" s="21">
        <f t="shared" si="0"/>
        <v>25.5</v>
      </c>
      <c r="I69" s="29" t="s">
        <v>28</v>
      </c>
      <c r="J69" s="29" t="s">
        <v>30</v>
      </c>
      <c r="K69" s="19" t="s">
        <v>33</v>
      </c>
    </row>
    <row r="70" spans="2:11" ht="19.899999999999999" customHeight="1">
      <c r="B70" s="20">
        <v>2500067</v>
      </c>
      <c r="C70" s="20" t="s">
        <v>42</v>
      </c>
      <c r="D70" s="39">
        <v>43535</v>
      </c>
      <c r="E70" s="21" t="s">
        <v>12</v>
      </c>
      <c r="F70" s="25">
        <v>4</v>
      </c>
      <c r="G70" s="21">
        <v>32</v>
      </c>
      <c r="H70" s="21">
        <f t="shared" ref="H70:H133" si="1">+G70*F70</f>
        <v>128</v>
      </c>
      <c r="I70" s="29" t="s">
        <v>26</v>
      </c>
      <c r="J70" s="29" t="s">
        <v>29</v>
      </c>
      <c r="K70" s="19" t="s">
        <v>38</v>
      </c>
    </row>
    <row r="71" spans="2:11" ht="19.899999999999999" customHeight="1">
      <c r="B71" s="20">
        <v>2500068</v>
      </c>
      <c r="C71" s="20" t="s">
        <v>44</v>
      </c>
      <c r="D71" s="39">
        <v>43536</v>
      </c>
      <c r="E71" s="21" t="s">
        <v>12</v>
      </c>
      <c r="F71" s="25">
        <v>6</v>
      </c>
      <c r="G71" s="21">
        <v>32</v>
      </c>
      <c r="H71" s="21">
        <f t="shared" si="1"/>
        <v>192</v>
      </c>
      <c r="I71" s="29" t="s">
        <v>15</v>
      </c>
      <c r="J71" s="29" t="s">
        <v>16</v>
      </c>
      <c r="K71" s="19" t="s">
        <v>34</v>
      </c>
    </row>
    <row r="72" spans="2:11" ht="19.899999999999999" customHeight="1">
      <c r="B72" s="20">
        <v>2500069</v>
      </c>
      <c r="C72" s="20" t="s">
        <v>42</v>
      </c>
      <c r="D72" s="39">
        <v>43537</v>
      </c>
      <c r="E72" s="21" t="s">
        <v>24</v>
      </c>
      <c r="F72" s="25">
        <v>8</v>
      </c>
      <c r="G72" s="21">
        <v>25.5</v>
      </c>
      <c r="H72" s="21">
        <f t="shared" si="1"/>
        <v>204</v>
      </c>
      <c r="I72" s="29" t="s">
        <v>25</v>
      </c>
      <c r="J72" s="29" t="s">
        <v>23</v>
      </c>
      <c r="K72" s="19" t="s">
        <v>37</v>
      </c>
    </row>
    <row r="73" spans="2:11" ht="19.899999999999999" customHeight="1">
      <c r="B73" s="20">
        <v>2500070</v>
      </c>
      <c r="C73" s="20" t="s">
        <v>47</v>
      </c>
      <c r="D73" s="39">
        <v>43538</v>
      </c>
      <c r="E73" s="21" t="s">
        <v>27</v>
      </c>
      <c r="F73" s="25">
        <v>1</v>
      </c>
      <c r="G73" s="21">
        <v>15.5</v>
      </c>
      <c r="H73" s="21">
        <f t="shared" si="1"/>
        <v>15.5</v>
      </c>
      <c r="I73" s="29" t="s">
        <v>22</v>
      </c>
      <c r="J73" s="29" t="s">
        <v>19</v>
      </c>
      <c r="K73" s="19" t="s">
        <v>36</v>
      </c>
    </row>
    <row r="74" spans="2:11" ht="19.899999999999999" customHeight="1">
      <c r="B74" s="20">
        <v>2500071</v>
      </c>
      <c r="C74" s="20" t="s">
        <v>43</v>
      </c>
      <c r="D74" s="39">
        <v>43539</v>
      </c>
      <c r="E74" s="21" t="s">
        <v>20</v>
      </c>
      <c r="F74" s="25">
        <v>3</v>
      </c>
      <c r="G74" s="21">
        <v>36</v>
      </c>
      <c r="H74" s="21">
        <f t="shared" si="1"/>
        <v>108</v>
      </c>
      <c r="I74" s="29" t="s">
        <v>10</v>
      </c>
      <c r="J74" s="29" t="s">
        <v>11</v>
      </c>
      <c r="K74" s="19" t="s">
        <v>32</v>
      </c>
    </row>
    <row r="75" spans="2:11" ht="19.899999999999999" customHeight="1">
      <c r="B75" s="20">
        <v>2500072</v>
      </c>
      <c r="C75" s="20" t="s">
        <v>44</v>
      </c>
      <c r="D75" s="39">
        <v>43540</v>
      </c>
      <c r="E75" s="21" t="s">
        <v>21</v>
      </c>
      <c r="F75" s="25">
        <v>2</v>
      </c>
      <c r="G75" s="21">
        <v>48</v>
      </c>
      <c r="H75" s="21">
        <f t="shared" si="1"/>
        <v>96</v>
      </c>
      <c r="I75" s="29" t="s">
        <v>13</v>
      </c>
      <c r="J75" s="29" t="s">
        <v>14</v>
      </c>
      <c r="K75" s="19" t="s">
        <v>33</v>
      </c>
    </row>
    <row r="76" spans="2:11" ht="19.899999999999999" customHeight="1">
      <c r="B76" s="20">
        <v>2500073</v>
      </c>
      <c r="C76" s="20" t="s">
        <v>40</v>
      </c>
      <c r="D76" s="39">
        <v>43541</v>
      </c>
      <c r="E76" s="21" t="s">
        <v>9</v>
      </c>
      <c r="F76" s="25">
        <v>3</v>
      </c>
      <c r="G76" s="21">
        <v>18.5</v>
      </c>
      <c r="H76" s="21">
        <f t="shared" si="1"/>
        <v>55.5</v>
      </c>
      <c r="I76" s="29" t="s">
        <v>26</v>
      </c>
      <c r="J76" s="29" t="s">
        <v>29</v>
      </c>
      <c r="K76" s="19" t="s">
        <v>38</v>
      </c>
    </row>
    <row r="77" spans="2:11" ht="19.899999999999999" customHeight="1">
      <c r="B77" s="20">
        <v>2500074</v>
      </c>
      <c r="C77" s="20" t="s">
        <v>40</v>
      </c>
      <c r="D77" s="39">
        <v>43542</v>
      </c>
      <c r="E77" s="21" t="s">
        <v>20</v>
      </c>
      <c r="F77" s="25">
        <v>7</v>
      </c>
      <c r="G77" s="21">
        <v>36</v>
      </c>
      <c r="H77" s="21">
        <f t="shared" si="1"/>
        <v>252</v>
      </c>
      <c r="I77" s="29" t="s">
        <v>22</v>
      </c>
      <c r="J77" s="29" t="s">
        <v>19</v>
      </c>
      <c r="K77" s="19" t="s">
        <v>36</v>
      </c>
    </row>
    <row r="78" spans="2:11" ht="19.899999999999999" customHeight="1">
      <c r="B78" s="20">
        <v>2500075</v>
      </c>
      <c r="C78" s="20" t="s">
        <v>47</v>
      </c>
      <c r="D78" s="39">
        <v>43543</v>
      </c>
      <c r="E78" s="21" t="s">
        <v>9</v>
      </c>
      <c r="F78" s="25">
        <v>2</v>
      </c>
      <c r="G78" s="21">
        <v>18.5</v>
      </c>
      <c r="H78" s="21">
        <f t="shared" si="1"/>
        <v>37</v>
      </c>
      <c r="I78" s="29" t="s">
        <v>28</v>
      </c>
      <c r="J78" s="29" t="s">
        <v>30</v>
      </c>
      <c r="K78" s="19" t="s">
        <v>33</v>
      </c>
    </row>
    <row r="79" spans="2:11" ht="19.899999999999999" customHeight="1">
      <c r="B79" s="20">
        <v>2500076</v>
      </c>
      <c r="C79" s="20" t="s">
        <v>41</v>
      </c>
      <c r="D79" s="39">
        <v>43544</v>
      </c>
      <c r="E79" s="21" t="s">
        <v>9</v>
      </c>
      <c r="F79" s="25">
        <v>1</v>
      </c>
      <c r="G79" s="21">
        <v>18.5</v>
      </c>
      <c r="H79" s="21">
        <f t="shared" si="1"/>
        <v>18.5</v>
      </c>
      <c r="I79" s="29" t="s">
        <v>25</v>
      </c>
      <c r="J79" s="29" t="s">
        <v>23</v>
      </c>
      <c r="K79" s="19" t="s">
        <v>37</v>
      </c>
    </row>
    <row r="80" spans="2:11" ht="19.899999999999999" customHeight="1">
      <c r="B80" s="20">
        <v>2500077</v>
      </c>
      <c r="C80" s="20" t="s">
        <v>45</v>
      </c>
      <c r="D80" s="39">
        <v>43545</v>
      </c>
      <c r="E80" s="21" t="s">
        <v>24</v>
      </c>
      <c r="F80" s="25">
        <v>1</v>
      </c>
      <c r="G80" s="21">
        <v>25.5</v>
      </c>
      <c r="H80" s="21">
        <f t="shared" si="1"/>
        <v>25.5</v>
      </c>
      <c r="I80" s="29" t="s">
        <v>15</v>
      </c>
      <c r="J80" s="29" t="s">
        <v>16</v>
      </c>
      <c r="K80" s="19" t="s">
        <v>34</v>
      </c>
    </row>
    <row r="81" spans="2:11" ht="19.899999999999999" customHeight="1">
      <c r="B81" s="20">
        <v>2500078</v>
      </c>
      <c r="C81" s="20" t="s">
        <v>44</v>
      </c>
      <c r="D81" s="39">
        <v>43546</v>
      </c>
      <c r="E81" s="21" t="s">
        <v>21</v>
      </c>
      <c r="F81" s="25">
        <v>8</v>
      </c>
      <c r="G81" s="21">
        <v>48</v>
      </c>
      <c r="H81" s="21">
        <f t="shared" si="1"/>
        <v>384</v>
      </c>
      <c r="I81" s="29" t="s">
        <v>17</v>
      </c>
      <c r="J81" s="29" t="s">
        <v>18</v>
      </c>
      <c r="K81" s="19" t="s">
        <v>35</v>
      </c>
    </row>
    <row r="82" spans="2:11" ht="19.899999999999999" customHeight="1">
      <c r="B82" s="20">
        <v>2500079</v>
      </c>
      <c r="C82" s="20" t="s">
        <v>44</v>
      </c>
      <c r="D82" s="39">
        <v>43547</v>
      </c>
      <c r="E82" s="21" t="s">
        <v>27</v>
      </c>
      <c r="F82" s="25">
        <v>6</v>
      </c>
      <c r="G82" s="21">
        <v>15.5</v>
      </c>
      <c r="H82" s="21">
        <f t="shared" si="1"/>
        <v>93</v>
      </c>
      <c r="I82" s="29" t="s">
        <v>10</v>
      </c>
      <c r="J82" s="29" t="s">
        <v>11</v>
      </c>
      <c r="K82" s="19" t="s">
        <v>32</v>
      </c>
    </row>
    <row r="83" spans="2:11" ht="19.899999999999999" customHeight="1">
      <c r="B83" s="20">
        <v>2500080</v>
      </c>
      <c r="C83" s="20" t="s">
        <v>46</v>
      </c>
      <c r="D83" s="39">
        <v>43548</v>
      </c>
      <c r="E83" s="21" t="s">
        <v>27</v>
      </c>
      <c r="F83" s="25">
        <v>6</v>
      </c>
      <c r="G83" s="21">
        <v>15.5</v>
      </c>
      <c r="H83" s="21">
        <f t="shared" si="1"/>
        <v>93</v>
      </c>
      <c r="I83" s="29" t="s">
        <v>10</v>
      </c>
      <c r="J83" s="29" t="s">
        <v>11</v>
      </c>
      <c r="K83" s="19" t="s">
        <v>32</v>
      </c>
    </row>
    <row r="84" spans="2:11" ht="19.899999999999999" customHeight="1">
      <c r="B84" s="20">
        <v>2500081</v>
      </c>
      <c r="C84" s="20" t="s">
        <v>47</v>
      </c>
      <c r="D84" s="39">
        <v>43549</v>
      </c>
      <c r="E84" s="21" t="s">
        <v>12</v>
      </c>
      <c r="F84" s="25">
        <v>7</v>
      </c>
      <c r="G84" s="21">
        <v>32</v>
      </c>
      <c r="H84" s="21">
        <f t="shared" si="1"/>
        <v>224</v>
      </c>
      <c r="I84" s="29" t="s">
        <v>15</v>
      </c>
      <c r="J84" s="29" t="s">
        <v>16</v>
      </c>
      <c r="K84" s="19" t="s">
        <v>34</v>
      </c>
    </row>
    <row r="85" spans="2:11" ht="19.899999999999999" customHeight="1">
      <c r="B85" s="20">
        <v>2500082</v>
      </c>
      <c r="C85" s="20" t="s">
        <v>46</v>
      </c>
      <c r="D85" s="39">
        <v>43550</v>
      </c>
      <c r="E85" s="21" t="s">
        <v>24</v>
      </c>
      <c r="F85" s="25">
        <v>8</v>
      </c>
      <c r="G85" s="21">
        <v>25.5</v>
      </c>
      <c r="H85" s="21">
        <f t="shared" si="1"/>
        <v>204</v>
      </c>
      <c r="I85" s="29" t="s">
        <v>13</v>
      </c>
      <c r="J85" s="29" t="s">
        <v>14</v>
      </c>
      <c r="K85" s="19" t="s">
        <v>33</v>
      </c>
    </row>
    <row r="86" spans="2:11" ht="19.899999999999999" customHeight="1">
      <c r="B86" s="20">
        <v>2500083</v>
      </c>
      <c r="C86" s="20" t="s">
        <v>47</v>
      </c>
      <c r="D86" s="39">
        <v>43551</v>
      </c>
      <c r="E86" s="21" t="s">
        <v>20</v>
      </c>
      <c r="F86" s="25">
        <v>2</v>
      </c>
      <c r="G86" s="21">
        <v>36</v>
      </c>
      <c r="H86" s="21">
        <f t="shared" si="1"/>
        <v>72</v>
      </c>
      <c r="I86" s="29" t="s">
        <v>26</v>
      </c>
      <c r="J86" s="29" t="s">
        <v>29</v>
      </c>
      <c r="K86" s="19" t="s">
        <v>38</v>
      </c>
    </row>
    <row r="87" spans="2:11" ht="19.899999999999999" customHeight="1">
      <c r="B87" s="20">
        <v>2500084</v>
      </c>
      <c r="C87" s="20" t="s">
        <v>48</v>
      </c>
      <c r="D87" s="39">
        <v>43552</v>
      </c>
      <c r="E87" s="21" t="s">
        <v>27</v>
      </c>
      <c r="F87" s="25">
        <v>10</v>
      </c>
      <c r="G87" s="21">
        <v>15.5</v>
      </c>
      <c r="H87" s="21">
        <f t="shared" si="1"/>
        <v>155</v>
      </c>
      <c r="I87" s="29" t="s">
        <v>15</v>
      </c>
      <c r="J87" s="29" t="s">
        <v>16</v>
      </c>
      <c r="K87" s="19" t="s">
        <v>34</v>
      </c>
    </row>
    <row r="88" spans="2:11" ht="19.899999999999999" customHeight="1">
      <c r="B88" s="20">
        <v>2500085</v>
      </c>
      <c r="C88" s="20" t="s">
        <v>48</v>
      </c>
      <c r="D88" s="39">
        <v>43553</v>
      </c>
      <c r="E88" s="21" t="s">
        <v>12</v>
      </c>
      <c r="F88" s="25">
        <v>6</v>
      </c>
      <c r="G88" s="21">
        <v>32</v>
      </c>
      <c r="H88" s="21">
        <f t="shared" si="1"/>
        <v>192</v>
      </c>
      <c r="I88" s="29" t="s">
        <v>13</v>
      </c>
      <c r="J88" s="29" t="s">
        <v>14</v>
      </c>
      <c r="K88" s="19" t="s">
        <v>33</v>
      </c>
    </row>
    <row r="89" spans="2:11" ht="19.899999999999999" customHeight="1">
      <c r="B89" s="20">
        <v>2500086</v>
      </c>
      <c r="C89" s="20" t="s">
        <v>48</v>
      </c>
      <c r="D89" s="39">
        <v>43554</v>
      </c>
      <c r="E89" s="21" t="s">
        <v>12</v>
      </c>
      <c r="F89" s="25">
        <v>6</v>
      </c>
      <c r="G89" s="21">
        <v>32</v>
      </c>
      <c r="H89" s="21">
        <f t="shared" si="1"/>
        <v>192</v>
      </c>
      <c r="I89" s="29" t="s">
        <v>13</v>
      </c>
      <c r="J89" s="29" t="s">
        <v>14</v>
      </c>
      <c r="K89" s="19" t="s">
        <v>33</v>
      </c>
    </row>
    <row r="90" spans="2:11" ht="19.899999999999999" customHeight="1">
      <c r="B90" s="20">
        <v>2500087</v>
      </c>
      <c r="C90" s="20" t="s">
        <v>45</v>
      </c>
      <c r="D90" s="39">
        <v>43555</v>
      </c>
      <c r="E90" s="21" t="s">
        <v>12</v>
      </c>
      <c r="F90" s="25">
        <v>4</v>
      </c>
      <c r="G90" s="21">
        <v>32</v>
      </c>
      <c r="H90" s="21">
        <f t="shared" si="1"/>
        <v>128</v>
      </c>
      <c r="I90" s="29" t="s">
        <v>10</v>
      </c>
      <c r="J90" s="29" t="s">
        <v>11</v>
      </c>
      <c r="K90" s="19" t="s">
        <v>32</v>
      </c>
    </row>
    <row r="91" spans="2:11" ht="19.899999999999999" customHeight="1">
      <c r="B91" s="20">
        <v>2500088</v>
      </c>
      <c r="C91" s="20" t="s">
        <v>44</v>
      </c>
      <c r="D91" s="39">
        <v>43556</v>
      </c>
      <c r="E91" s="21" t="s">
        <v>9</v>
      </c>
      <c r="F91" s="25">
        <v>4</v>
      </c>
      <c r="G91" s="21">
        <v>18.5</v>
      </c>
      <c r="H91" s="21">
        <f t="shared" si="1"/>
        <v>74</v>
      </c>
      <c r="I91" s="29" t="s">
        <v>28</v>
      </c>
      <c r="J91" s="29" t="s">
        <v>30</v>
      </c>
      <c r="K91" s="19" t="s">
        <v>33</v>
      </c>
    </row>
    <row r="92" spans="2:11" ht="19.899999999999999" customHeight="1">
      <c r="B92" s="20">
        <v>2500089</v>
      </c>
      <c r="C92" s="20" t="s">
        <v>41</v>
      </c>
      <c r="D92" s="39">
        <v>43557</v>
      </c>
      <c r="E92" s="21" t="s">
        <v>9</v>
      </c>
      <c r="F92" s="25">
        <v>6</v>
      </c>
      <c r="G92" s="21">
        <v>18.5</v>
      </c>
      <c r="H92" s="21">
        <f t="shared" si="1"/>
        <v>111</v>
      </c>
      <c r="I92" s="29" t="s">
        <v>25</v>
      </c>
      <c r="J92" s="29" t="s">
        <v>23</v>
      </c>
      <c r="K92" s="19" t="s">
        <v>37</v>
      </c>
    </row>
    <row r="93" spans="2:11" ht="19.899999999999999" customHeight="1">
      <c r="B93" s="20">
        <v>2500090</v>
      </c>
      <c r="C93" s="20" t="s">
        <v>47</v>
      </c>
      <c r="D93" s="39">
        <v>43558</v>
      </c>
      <c r="E93" s="21" t="s">
        <v>24</v>
      </c>
      <c r="F93" s="25">
        <v>9</v>
      </c>
      <c r="G93" s="21">
        <v>25.5</v>
      </c>
      <c r="H93" s="21">
        <f t="shared" si="1"/>
        <v>229.5</v>
      </c>
      <c r="I93" s="29" t="s">
        <v>26</v>
      </c>
      <c r="J93" s="29" t="s">
        <v>29</v>
      </c>
      <c r="K93" s="19" t="s">
        <v>38</v>
      </c>
    </row>
    <row r="94" spans="2:11" ht="19.899999999999999" customHeight="1">
      <c r="B94" s="20">
        <v>2500091</v>
      </c>
      <c r="C94" s="20" t="s">
        <v>41</v>
      </c>
      <c r="D94" s="39">
        <v>43559</v>
      </c>
      <c r="E94" s="21" t="s">
        <v>9</v>
      </c>
      <c r="F94" s="25">
        <v>5</v>
      </c>
      <c r="G94" s="21">
        <v>18.5</v>
      </c>
      <c r="H94" s="21">
        <f t="shared" si="1"/>
        <v>92.5</v>
      </c>
      <c r="I94" s="29" t="s">
        <v>15</v>
      </c>
      <c r="J94" s="29" t="s">
        <v>16</v>
      </c>
      <c r="K94" s="19" t="s">
        <v>34</v>
      </c>
    </row>
    <row r="95" spans="2:11" ht="19.899999999999999" customHeight="1">
      <c r="B95" s="20">
        <v>2500092</v>
      </c>
      <c r="C95" s="20" t="s">
        <v>41</v>
      </c>
      <c r="D95" s="39">
        <v>43560</v>
      </c>
      <c r="E95" s="21" t="s">
        <v>27</v>
      </c>
      <c r="F95" s="25">
        <v>8</v>
      </c>
      <c r="G95" s="21">
        <v>15.5</v>
      </c>
      <c r="H95" s="21">
        <f t="shared" si="1"/>
        <v>124</v>
      </c>
      <c r="I95" s="29" t="s">
        <v>17</v>
      </c>
      <c r="J95" s="29" t="s">
        <v>18</v>
      </c>
      <c r="K95" s="19" t="s">
        <v>35</v>
      </c>
    </row>
    <row r="96" spans="2:11" ht="19.899999999999999" customHeight="1">
      <c r="B96" s="20">
        <v>2500093</v>
      </c>
      <c r="C96" s="20" t="s">
        <v>45</v>
      </c>
      <c r="D96" s="39">
        <v>43561</v>
      </c>
      <c r="E96" s="21" t="s">
        <v>21</v>
      </c>
      <c r="F96" s="25">
        <v>3</v>
      </c>
      <c r="G96" s="21">
        <v>48</v>
      </c>
      <c r="H96" s="21">
        <f t="shared" si="1"/>
        <v>144</v>
      </c>
      <c r="I96" s="29" t="s">
        <v>17</v>
      </c>
      <c r="J96" s="29" t="s">
        <v>18</v>
      </c>
      <c r="K96" s="19" t="s">
        <v>35</v>
      </c>
    </row>
    <row r="97" spans="2:11" ht="19.899999999999999" customHeight="1">
      <c r="B97" s="20">
        <v>2500094</v>
      </c>
      <c r="C97" s="20" t="s">
        <v>45</v>
      </c>
      <c r="D97" s="39">
        <v>43562</v>
      </c>
      <c r="E97" s="21" t="s">
        <v>12</v>
      </c>
      <c r="F97" s="25">
        <v>7</v>
      </c>
      <c r="G97" s="21">
        <v>32</v>
      </c>
      <c r="H97" s="21">
        <f t="shared" si="1"/>
        <v>224</v>
      </c>
      <c r="I97" s="29" t="s">
        <v>15</v>
      </c>
      <c r="J97" s="29" t="s">
        <v>16</v>
      </c>
      <c r="K97" s="19" t="s">
        <v>34</v>
      </c>
    </row>
    <row r="98" spans="2:11" ht="19.899999999999999" customHeight="1">
      <c r="B98" s="20">
        <v>2500095</v>
      </c>
      <c r="C98" s="20" t="s">
        <v>48</v>
      </c>
      <c r="D98" s="39">
        <v>43563</v>
      </c>
      <c r="E98" s="21" t="s">
        <v>20</v>
      </c>
      <c r="F98" s="25">
        <v>4</v>
      </c>
      <c r="G98" s="21">
        <v>36</v>
      </c>
      <c r="H98" s="21">
        <f t="shared" si="1"/>
        <v>144</v>
      </c>
      <c r="I98" s="29" t="s">
        <v>22</v>
      </c>
      <c r="J98" s="29" t="s">
        <v>19</v>
      </c>
      <c r="K98" s="19" t="s">
        <v>36</v>
      </c>
    </row>
    <row r="99" spans="2:11" ht="19.899999999999999" customHeight="1">
      <c r="B99" s="20">
        <v>2500096</v>
      </c>
      <c r="C99" s="20" t="s">
        <v>46</v>
      </c>
      <c r="D99" s="39">
        <v>43564</v>
      </c>
      <c r="E99" s="21" t="s">
        <v>12</v>
      </c>
      <c r="F99" s="25">
        <v>2</v>
      </c>
      <c r="G99" s="21">
        <v>32</v>
      </c>
      <c r="H99" s="21">
        <f t="shared" si="1"/>
        <v>64</v>
      </c>
      <c r="I99" s="29" t="s">
        <v>22</v>
      </c>
      <c r="J99" s="29" t="s">
        <v>19</v>
      </c>
      <c r="K99" s="19" t="s">
        <v>36</v>
      </c>
    </row>
    <row r="100" spans="2:11" ht="19.899999999999999" customHeight="1">
      <c r="B100" s="20">
        <v>2500097</v>
      </c>
      <c r="C100" s="20" t="s">
        <v>40</v>
      </c>
      <c r="D100" s="39">
        <v>43565</v>
      </c>
      <c r="E100" s="21" t="s">
        <v>9</v>
      </c>
      <c r="F100" s="25">
        <v>2</v>
      </c>
      <c r="G100" s="21">
        <v>18.5</v>
      </c>
      <c r="H100" s="21">
        <f t="shared" si="1"/>
        <v>37</v>
      </c>
      <c r="I100" s="29" t="s">
        <v>26</v>
      </c>
      <c r="J100" s="29" t="s">
        <v>29</v>
      </c>
      <c r="K100" s="19" t="s">
        <v>38</v>
      </c>
    </row>
    <row r="101" spans="2:11" ht="19.899999999999999" customHeight="1">
      <c r="B101" s="20">
        <v>2500098</v>
      </c>
      <c r="C101" s="20" t="s">
        <v>42</v>
      </c>
      <c r="D101" s="39">
        <v>43566</v>
      </c>
      <c r="E101" s="21" t="s">
        <v>27</v>
      </c>
      <c r="F101" s="25">
        <v>8</v>
      </c>
      <c r="G101" s="21">
        <v>15.5</v>
      </c>
      <c r="H101" s="21">
        <f t="shared" si="1"/>
        <v>124</v>
      </c>
      <c r="I101" s="29" t="s">
        <v>17</v>
      </c>
      <c r="J101" s="29" t="s">
        <v>18</v>
      </c>
      <c r="K101" s="19" t="s">
        <v>35</v>
      </c>
    </row>
    <row r="102" spans="2:11" ht="19.899999999999999" customHeight="1">
      <c r="B102" s="20">
        <v>2500099</v>
      </c>
      <c r="C102" s="20" t="s">
        <v>47</v>
      </c>
      <c r="D102" s="39">
        <v>43567</v>
      </c>
      <c r="E102" s="21" t="s">
        <v>9</v>
      </c>
      <c r="F102" s="25">
        <v>4</v>
      </c>
      <c r="G102" s="21">
        <v>18.5</v>
      </c>
      <c r="H102" s="21">
        <f t="shared" si="1"/>
        <v>74</v>
      </c>
      <c r="I102" s="29" t="s">
        <v>15</v>
      </c>
      <c r="J102" s="29" t="s">
        <v>16</v>
      </c>
      <c r="K102" s="19" t="s">
        <v>34</v>
      </c>
    </row>
    <row r="103" spans="2:11" ht="19.899999999999999" customHeight="1">
      <c r="B103" s="20">
        <v>2500100</v>
      </c>
      <c r="C103" s="20" t="s">
        <v>42</v>
      </c>
      <c r="D103" s="39">
        <v>43568</v>
      </c>
      <c r="E103" s="21" t="s">
        <v>12</v>
      </c>
      <c r="F103" s="25">
        <v>10</v>
      </c>
      <c r="G103" s="21">
        <v>32</v>
      </c>
      <c r="H103" s="21">
        <f t="shared" si="1"/>
        <v>320</v>
      </c>
      <c r="I103" s="29" t="s">
        <v>26</v>
      </c>
      <c r="J103" s="29" t="s">
        <v>29</v>
      </c>
      <c r="K103" s="19" t="s">
        <v>38</v>
      </c>
    </row>
    <row r="104" spans="2:11" ht="19.899999999999999" customHeight="1">
      <c r="B104" s="20">
        <v>2500101</v>
      </c>
      <c r="C104" s="20" t="s">
        <v>46</v>
      </c>
      <c r="D104" s="39">
        <v>43569</v>
      </c>
      <c r="E104" s="21" t="s">
        <v>27</v>
      </c>
      <c r="F104" s="25">
        <v>2</v>
      </c>
      <c r="G104" s="21">
        <v>15.5</v>
      </c>
      <c r="H104" s="21">
        <f t="shared" si="1"/>
        <v>31</v>
      </c>
      <c r="I104" s="29" t="s">
        <v>22</v>
      </c>
      <c r="J104" s="29" t="s">
        <v>19</v>
      </c>
      <c r="K104" s="19" t="s">
        <v>36</v>
      </c>
    </row>
    <row r="105" spans="2:11" ht="19.899999999999999" customHeight="1">
      <c r="B105" s="20">
        <v>2500102</v>
      </c>
      <c r="C105" s="20" t="s">
        <v>49</v>
      </c>
      <c r="D105" s="39">
        <v>43570</v>
      </c>
      <c r="E105" s="21" t="s">
        <v>21</v>
      </c>
      <c r="F105" s="25">
        <v>3</v>
      </c>
      <c r="G105" s="21">
        <v>48</v>
      </c>
      <c r="H105" s="21">
        <f t="shared" si="1"/>
        <v>144</v>
      </c>
      <c r="I105" s="29" t="s">
        <v>10</v>
      </c>
      <c r="J105" s="29" t="s">
        <v>11</v>
      </c>
      <c r="K105" s="19" t="s">
        <v>32</v>
      </c>
    </row>
    <row r="106" spans="2:11" ht="19.899999999999999" customHeight="1">
      <c r="B106" s="20">
        <v>2500103</v>
      </c>
      <c r="C106" s="20" t="s">
        <v>45</v>
      </c>
      <c r="D106" s="39">
        <v>43571</v>
      </c>
      <c r="E106" s="21" t="s">
        <v>20</v>
      </c>
      <c r="F106" s="25">
        <v>3</v>
      </c>
      <c r="G106" s="21">
        <v>36</v>
      </c>
      <c r="H106" s="21">
        <f t="shared" si="1"/>
        <v>108</v>
      </c>
      <c r="I106" s="29" t="s">
        <v>13</v>
      </c>
      <c r="J106" s="29" t="s">
        <v>14</v>
      </c>
      <c r="K106" s="19" t="s">
        <v>33</v>
      </c>
    </row>
    <row r="107" spans="2:11" ht="19.899999999999999" customHeight="1">
      <c r="B107" s="20">
        <v>2500104</v>
      </c>
      <c r="C107" s="20" t="s">
        <v>44</v>
      </c>
      <c r="D107" s="39">
        <v>43572</v>
      </c>
      <c r="E107" s="21" t="s">
        <v>21</v>
      </c>
      <c r="F107" s="25">
        <v>8</v>
      </c>
      <c r="G107" s="21">
        <v>48</v>
      </c>
      <c r="H107" s="21">
        <f t="shared" si="1"/>
        <v>384</v>
      </c>
      <c r="I107" s="29" t="s">
        <v>17</v>
      </c>
      <c r="J107" s="29" t="s">
        <v>18</v>
      </c>
      <c r="K107" s="19" t="s">
        <v>35</v>
      </c>
    </row>
    <row r="108" spans="2:11" ht="19.899999999999999" customHeight="1">
      <c r="B108" s="20">
        <v>2500105</v>
      </c>
      <c r="C108" s="20" t="s">
        <v>47</v>
      </c>
      <c r="D108" s="39">
        <v>43573</v>
      </c>
      <c r="E108" s="21" t="s">
        <v>24</v>
      </c>
      <c r="F108" s="25">
        <v>4</v>
      </c>
      <c r="G108" s="21">
        <v>25.5</v>
      </c>
      <c r="H108" s="21">
        <f t="shared" si="1"/>
        <v>102</v>
      </c>
      <c r="I108" s="29" t="s">
        <v>28</v>
      </c>
      <c r="J108" s="29" t="s">
        <v>30</v>
      </c>
      <c r="K108" s="19" t="s">
        <v>33</v>
      </c>
    </row>
    <row r="109" spans="2:11" ht="19.899999999999999" customHeight="1">
      <c r="B109" s="20">
        <v>2500106</v>
      </c>
      <c r="C109" s="20" t="s">
        <v>46</v>
      </c>
      <c r="D109" s="39">
        <v>43574</v>
      </c>
      <c r="E109" s="21" t="s">
        <v>24</v>
      </c>
      <c r="F109" s="25">
        <v>2</v>
      </c>
      <c r="G109" s="21">
        <v>25.5</v>
      </c>
      <c r="H109" s="21">
        <f t="shared" si="1"/>
        <v>51</v>
      </c>
      <c r="I109" s="29" t="s">
        <v>15</v>
      </c>
      <c r="J109" s="29" t="s">
        <v>16</v>
      </c>
      <c r="K109" s="19" t="s">
        <v>34</v>
      </c>
    </row>
    <row r="110" spans="2:11" ht="19.899999999999999" customHeight="1">
      <c r="B110" s="20">
        <v>2500107</v>
      </c>
      <c r="C110" s="20" t="s">
        <v>49</v>
      </c>
      <c r="D110" s="39">
        <v>43575</v>
      </c>
      <c r="E110" s="21" t="s">
        <v>27</v>
      </c>
      <c r="F110" s="25">
        <v>3</v>
      </c>
      <c r="G110" s="21">
        <v>15.5</v>
      </c>
      <c r="H110" s="21">
        <f t="shared" si="1"/>
        <v>46.5</v>
      </c>
      <c r="I110" s="29" t="s">
        <v>25</v>
      </c>
      <c r="J110" s="29" t="s">
        <v>23</v>
      </c>
      <c r="K110" s="19" t="s">
        <v>37</v>
      </c>
    </row>
    <row r="111" spans="2:11" ht="19.899999999999999" customHeight="1">
      <c r="B111" s="20">
        <v>2500108</v>
      </c>
      <c r="C111" s="20" t="s">
        <v>49</v>
      </c>
      <c r="D111" s="39">
        <v>43576</v>
      </c>
      <c r="E111" s="21" t="s">
        <v>9</v>
      </c>
      <c r="F111" s="25">
        <v>1</v>
      </c>
      <c r="G111" s="21">
        <v>18.5</v>
      </c>
      <c r="H111" s="21">
        <f t="shared" si="1"/>
        <v>18.5</v>
      </c>
      <c r="I111" s="29" t="s">
        <v>26</v>
      </c>
      <c r="J111" s="29" t="s">
        <v>29</v>
      </c>
      <c r="K111" s="19" t="s">
        <v>38</v>
      </c>
    </row>
    <row r="112" spans="2:11" ht="19.899999999999999" customHeight="1">
      <c r="B112" s="20">
        <v>2500109</v>
      </c>
      <c r="C112" s="20" t="s">
        <v>41</v>
      </c>
      <c r="D112" s="39">
        <v>43577</v>
      </c>
      <c r="E112" s="21" t="s">
        <v>9</v>
      </c>
      <c r="F112" s="25">
        <v>10</v>
      </c>
      <c r="G112" s="21">
        <v>18.5</v>
      </c>
      <c r="H112" s="21">
        <f t="shared" si="1"/>
        <v>185</v>
      </c>
      <c r="I112" s="29" t="s">
        <v>28</v>
      </c>
      <c r="J112" s="29" t="s">
        <v>30</v>
      </c>
      <c r="K112" s="19" t="s">
        <v>33</v>
      </c>
    </row>
    <row r="113" spans="2:11" ht="19.899999999999999" customHeight="1">
      <c r="B113" s="20">
        <v>2500110</v>
      </c>
      <c r="C113" s="20" t="s">
        <v>48</v>
      </c>
      <c r="D113" s="39">
        <v>43578</v>
      </c>
      <c r="E113" s="21" t="s">
        <v>20</v>
      </c>
      <c r="F113" s="25">
        <v>1</v>
      </c>
      <c r="G113" s="21">
        <v>36</v>
      </c>
      <c r="H113" s="21">
        <f t="shared" si="1"/>
        <v>36</v>
      </c>
      <c r="I113" s="29" t="s">
        <v>17</v>
      </c>
      <c r="J113" s="29" t="s">
        <v>18</v>
      </c>
      <c r="K113" s="19" t="s">
        <v>35</v>
      </c>
    </row>
    <row r="114" spans="2:11" ht="19.899999999999999" customHeight="1">
      <c r="B114" s="20">
        <v>2500111</v>
      </c>
      <c r="C114" s="20" t="s">
        <v>41</v>
      </c>
      <c r="D114" s="39">
        <v>43579</v>
      </c>
      <c r="E114" s="21" t="s">
        <v>20</v>
      </c>
      <c r="F114" s="25">
        <v>1</v>
      </c>
      <c r="G114" s="21">
        <v>36</v>
      </c>
      <c r="H114" s="21">
        <f t="shared" si="1"/>
        <v>36</v>
      </c>
      <c r="I114" s="29" t="s">
        <v>26</v>
      </c>
      <c r="J114" s="29" t="s">
        <v>29</v>
      </c>
      <c r="K114" s="19" t="s">
        <v>38</v>
      </c>
    </row>
    <row r="115" spans="2:11" ht="19.899999999999999" customHeight="1">
      <c r="B115" s="20">
        <v>2500112</v>
      </c>
      <c r="C115" s="20" t="s">
        <v>40</v>
      </c>
      <c r="D115" s="39">
        <v>43580</v>
      </c>
      <c r="E115" s="21" t="s">
        <v>27</v>
      </c>
      <c r="F115" s="25">
        <v>6</v>
      </c>
      <c r="G115" s="21">
        <v>15.5</v>
      </c>
      <c r="H115" s="21">
        <f t="shared" si="1"/>
        <v>93</v>
      </c>
      <c r="I115" s="29" t="s">
        <v>28</v>
      </c>
      <c r="J115" s="29" t="s">
        <v>30</v>
      </c>
      <c r="K115" s="19" t="s">
        <v>33</v>
      </c>
    </row>
    <row r="116" spans="2:11" ht="19.899999999999999" customHeight="1">
      <c r="B116" s="20">
        <v>2500113</v>
      </c>
      <c r="C116" s="20" t="s">
        <v>45</v>
      </c>
      <c r="D116" s="39">
        <v>43581</v>
      </c>
      <c r="E116" s="21" t="s">
        <v>9</v>
      </c>
      <c r="F116" s="25">
        <v>4</v>
      </c>
      <c r="G116" s="21">
        <v>18.5</v>
      </c>
      <c r="H116" s="21">
        <f t="shared" si="1"/>
        <v>74</v>
      </c>
      <c r="I116" s="29" t="s">
        <v>28</v>
      </c>
      <c r="J116" s="29" t="s">
        <v>30</v>
      </c>
      <c r="K116" s="19" t="s">
        <v>33</v>
      </c>
    </row>
    <row r="117" spans="2:11" ht="19.899999999999999" customHeight="1">
      <c r="B117" s="20">
        <v>2500114</v>
      </c>
      <c r="C117" s="20" t="s">
        <v>42</v>
      </c>
      <c r="D117" s="39">
        <v>43582</v>
      </c>
      <c r="E117" s="21" t="s">
        <v>12</v>
      </c>
      <c r="F117" s="25">
        <v>6</v>
      </c>
      <c r="G117" s="21">
        <v>32</v>
      </c>
      <c r="H117" s="21">
        <f t="shared" si="1"/>
        <v>192</v>
      </c>
      <c r="I117" s="29" t="s">
        <v>25</v>
      </c>
      <c r="J117" s="29" t="s">
        <v>23</v>
      </c>
      <c r="K117" s="19" t="s">
        <v>37</v>
      </c>
    </row>
    <row r="118" spans="2:11" ht="19.899999999999999" customHeight="1">
      <c r="B118" s="20">
        <v>2500115</v>
      </c>
      <c r="C118" s="20" t="s">
        <v>42</v>
      </c>
      <c r="D118" s="39">
        <v>43583</v>
      </c>
      <c r="E118" s="21" t="s">
        <v>27</v>
      </c>
      <c r="F118" s="25">
        <v>9</v>
      </c>
      <c r="G118" s="21">
        <v>15.5</v>
      </c>
      <c r="H118" s="21">
        <f t="shared" si="1"/>
        <v>139.5</v>
      </c>
      <c r="I118" s="29" t="s">
        <v>17</v>
      </c>
      <c r="J118" s="29" t="s">
        <v>18</v>
      </c>
      <c r="K118" s="19" t="s">
        <v>35</v>
      </c>
    </row>
    <row r="119" spans="2:11" ht="19.899999999999999" customHeight="1">
      <c r="B119" s="20">
        <v>2500116</v>
      </c>
      <c r="C119" s="20" t="s">
        <v>47</v>
      </c>
      <c r="D119" s="39">
        <v>43584</v>
      </c>
      <c r="E119" s="21" t="s">
        <v>9</v>
      </c>
      <c r="F119" s="25">
        <v>7</v>
      </c>
      <c r="G119" s="21">
        <v>18.5</v>
      </c>
      <c r="H119" s="21">
        <f t="shared" si="1"/>
        <v>129.5</v>
      </c>
      <c r="I119" s="29" t="s">
        <v>17</v>
      </c>
      <c r="J119" s="29" t="s">
        <v>18</v>
      </c>
      <c r="K119" s="19" t="s">
        <v>35</v>
      </c>
    </row>
    <row r="120" spans="2:11" ht="19.899999999999999" customHeight="1">
      <c r="B120" s="20">
        <v>2500117</v>
      </c>
      <c r="C120" s="20" t="s">
        <v>43</v>
      </c>
      <c r="D120" s="39">
        <v>43585</v>
      </c>
      <c r="E120" s="21" t="s">
        <v>21</v>
      </c>
      <c r="F120" s="25">
        <v>9</v>
      </c>
      <c r="G120" s="21">
        <v>48</v>
      </c>
      <c r="H120" s="21">
        <f t="shared" si="1"/>
        <v>432</v>
      </c>
      <c r="I120" s="29" t="s">
        <v>17</v>
      </c>
      <c r="J120" s="29" t="s">
        <v>18</v>
      </c>
      <c r="K120" s="19" t="s">
        <v>35</v>
      </c>
    </row>
    <row r="121" spans="2:11" ht="19.899999999999999" customHeight="1">
      <c r="B121" s="20">
        <v>2500118</v>
      </c>
      <c r="C121" s="20" t="s">
        <v>42</v>
      </c>
      <c r="D121" s="39">
        <v>43586</v>
      </c>
      <c r="E121" s="21" t="s">
        <v>27</v>
      </c>
      <c r="F121" s="25">
        <v>9</v>
      </c>
      <c r="G121" s="21">
        <v>15.5</v>
      </c>
      <c r="H121" s="21">
        <f t="shared" si="1"/>
        <v>139.5</v>
      </c>
      <c r="I121" s="29" t="s">
        <v>17</v>
      </c>
      <c r="J121" s="29" t="s">
        <v>18</v>
      </c>
      <c r="K121" s="19" t="s">
        <v>35</v>
      </c>
    </row>
    <row r="122" spans="2:11" ht="19.899999999999999" customHeight="1">
      <c r="B122" s="20">
        <v>2500125</v>
      </c>
      <c r="C122" s="20" t="s">
        <v>41</v>
      </c>
      <c r="D122" s="39">
        <v>43587</v>
      </c>
      <c r="E122" s="21" t="s">
        <v>27</v>
      </c>
      <c r="F122" s="25">
        <v>10</v>
      </c>
      <c r="G122" s="21">
        <v>15.5</v>
      </c>
      <c r="H122" s="21">
        <f t="shared" si="1"/>
        <v>155</v>
      </c>
      <c r="I122" s="29" t="s">
        <v>28</v>
      </c>
      <c r="J122" s="29" t="s">
        <v>30</v>
      </c>
      <c r="K122" s="19" t="s">
        <v>33</v>
      </c>
    </row>
    <row r="123" spans="2:11" ht="19.899999999999999" customHeight="1">
      <c r="B123" s="20">
        <v>2500120</v>
      </c>
      <c r="C123" s="20" t="s">
        <v>41</v>
      </c>
      <c r="D123" s="39">
        <v>43588</v>
      </c>
      <c r="E123" s="21" t="s">
        <v>12</v>
      </c>
      <c r="F123" s="25">
        <v>1</v>
      </c>
      <c r="G123" s="21">
        <v>32</v>
      </c>
      <c r="H123" s="21">
        <f t="shared" si="1"/>
        <v>32</v>
      </c>
      <c r="I123" s="29" t="s">
        <v>25</v>
      </c>
      <c r="J123" s="29" t="s">
        <v>23</v>
      </c>
      <c r="K123" s="19" t="s">
        <v>37</v>
      </c>
    </row>
    <row r="124" spans="2:11" ht="19.899999999999999" customHeight="1">
      <c r="B124" s="20">
        <v>2500121</v>
      </c>
      <c r="C124" s="20" t="s">
        <v>44</v>
      </c>
      <c r="D124" s="39">
        <v>43589</v>
      </c>
      <c r="E124" s="21" t="s">
        <v>12</v>
      </c>
      <c r="F124" s="25">
        <v>5</v>
      </c>
      <c r="G124" s="21">
        <v>32</v>
      </c>
      <c r="H124" s="21">
        <f t="shared" si="1"/>
        <v>160</v>
      </c>
      <c r="I124" s="29" t="s">
        <v>13</v>
      </c>
      <c r="J124" s="29" t="s">
        <v>14</v>
      </c>
      <c r="K124" s="19" t="s">
        <v>33</v>
      </c>
    </row>
    <row r="125" spans="2:11" ht="19.899999999999999" customHeight="1">
      <c r="B125" s="20">
        <v>2500122</v>
      </c>
      <c r="C125" s="20" t="s">
        <v>42</v>
      </c>
      <c r="D125" s="40">
        <v>43590</v>
      </c>
      <c r="E125" s="29" t="s">
        <v>21</v>
      </c>
      <c r="F125" s="25">
        <v>4</v>
      </c>
      <c r="G125" s="21">
        <v>48</v>
      </c>
      <c r="H125" s="21">
        <f t="shared" si="1"/>
        <v>192</v>
      </c>
      <c r="I125" s="29" t="s">
        <v>10</v>
      </c>
      <c r="J125" s="29" t="s">
        <v>11</v>
      </c>
      <c r="K125" s="19" t="s">
        <v>32</v>
      </c>
    </row>
    <row r="126" spans="2:11" ht="19.899999999999999" customHeight="1">
      <c r="B126" s="20">
        <v>2500123</v>
      </c>
      <c r="C126" s="20" t="s">
        <v>49</v>
      </c>
      <c r="D126" s="40">
        <v>43591</v>
      </c>
      <c r="E126" s="29" t="s">
        <v>20</v>
      </c>
      <c r="F126" s="25">
        <v>5</v>
      </c>
      <c r="G126" s="21">
        <v>36</v>
      </c>
      <c r="H126" s="21">
        <f t="shared" si="1"/>
        <v>180</v>
      </c>
      <c r="I126" s="29" t="s">
        <v>25</v>
      </c>
      <c r="J126" s="29" t="s">
        <v>23</v>
      </c>
      <c r="K126" s="19" t="s">
        <v>37</v>
      </c>
    </row>
    <row r="127" spans="2:11" ht="19.899999999999999" customHeight="1">
      <c r="B127" s="20">
        <v>2500124</v>
      </c>
      <c r="C127" s="20" t="s">
        <v>49</v>
      </c>
      <c r="D127" s="40">
        <v>43592</v>
      </c>
      <c r="E127" s="29" t="s">
        <v>9</v>
      </c>
      <c r="F127" s="25">
        <v>5</v>
      </c>
      <c r="G127" s="21">
        <v>18.5</v>
      </c>
      <c r="H127" s="21">
        <f t="shared" si="1"/>
        <v>92.5</v>
      </c>
      <c r="I127" s="29" t="s">
        <v>25</v>
      </c>
      <c r="J127" s="29" t="s">
        <v>23</v>
      </c>
      <c r="K127" s="19" t="s">
        <v>37</v>
      </c>
    </row>
    <row r="128" spans="2:11" ht="19.899999999999999" customHeight="1">
      <c r="B128" s="20">
        <v>2500125</v>
      </c>
      <c r="C128" s="20" t="s">
        <v>43</v>
      </c>
      <c r="D128" s="40">
        <v>43593</v>
      </c>
      <c r="E128" s="29" t="s">
        <v>24</v>
      </c>
      <c r="F128" s="25">
        <v>9</v>
      </c>
      <c r="G128" s="21">
        <v>25.5</v>
      </c>
      <c r="H128" s="21">
        <f t="shared" si="1"/>
        <v>229.5</v>
      </c>
      <c r="I128" s="29" t="s">
        <v>22</v>
      </c>
      <c r="J128" s="29" t="s">
        <v>19</v>
      </c>
      <c r="K128" s="19" t="s">
        <v>36</v>
      </c>
    </row>
    <row r="129" spans="2:11" ht="19.899999999999999" customHeight="1">
      <c r="B129" s="20">
        <v>2500126</v>
      </c>
      <c r="C129" s="20" t="s">
        <v>49</v>
      </c>
      <c r="D129" s="40">
        <v>43594</v>
      </c>
      <c r="E129" s="29" t="s">
        <v>27</v>
      </c>
      <c r="F129" s="25">
        <v>3</v>
      </c>
      <c r="G129" s="21">
        <v>15.5</v>
      </c>
      <c r="H129" s="21">
        <f t="shared" si="1"/>
        <v>46.5</v>
      </c>
      <c r="I129" s="29" t="s">
        <v>22</v>
      </c>
      <c r="J129" s="29" t="s">
        <v>19</v>
      </c>
      <c r="K129" s="19" t="s">
        <v>36</v>
      </c>
    </row>
    <row r="130" spans="2:11" ht="19.899999999999999" customHeight="1">
      <c r="B130" s="20">
        <v>2500127</v>
      </c>
      <c r="C130" s="20" t="s">
        <v>44</v>
      </c>
      <c r="D130" s="40">
        <v>43595</v>
      </c>
      <c r="E130" s="29" t="s">
        <v>21</v>
      </c>
      <c r="F130" s="25">
        <v>6</v>
      </c>
      <c r="G130" s="21">
        <v>48</v>
      </c>
      <c r="H130" s="21">
        <f t="shared" si="1"/>
        <v>288</v>
      </c>
      <c r="I130" s="29" t="s">
        <v>26</v>
      </c>
      <c r="J130" s="29" t="s">
        <v>29</v>
      </c>
      <c r="K130" s="19" t="s">
        <v>38</v>
      </c>
    </row>
    <row r="131" spans="2:11" ht="19.899999999999999" customHeight="1">
      <c r="B131" s="20">
        <v>2500128</v>
      </c>
      <c r="C131" s="20" t="s">
        <v>49</v>
      </c>
      <c r="D131" s="40">
        <v>43596</v>
      </c>
      <c r="E131" s="29" t="s">
        <v>9</v>
      </c>
      <c r="F131" s="25">
        <v>6</v>
      </c>
      <c r="G131" s="21">
        <v>18.5</v>
      </c>
      <c r="H131" s="21">
        <f t="shared" si="1"/>
        <v>111</v>
      </c>
      <c r="I131" s="29" t="s">
        <v>26</v>
      </c>
      <c r="J131" s="29" t="s">
        <v>29</v>
      </c>
      <c r="K131" s="19" t="s">
        <v>38</v>
      </c>
    </row>
    <row r="132" spans="2:11" ht="19.899999999999999" customHeight="1">
      <c r="B132" s="20">
        <v>2500129</v>
      </c>
      <c r="C132" s="20" t="s">
        <v>45</v>
      </c>
      <c r="D132" s="40">
        <v>43597</v>
      </c>
      <c r="E132" s="29" t="s">
        <v>9</v>
      </c>
      <c r="F132" s="25">
        <v>10</v>
      </c>
      <c r="G132" s="21">
        <v>18.5</v>
      </c>
      <c r="H132" s="21">
        <f t="shared" si="1"/>
        <v>185</v>
      </c>
      <c r="I132" s="29" t="s">
        <v>15</v>
      </c>
      <c r="J132" s="29" t="s">
        <v>16</v>
      </c>
      <c r="K132" s="19" t="s">
        <v>34</v>
      </c>
    </row>
    <row r="133" spans="2:11" ht="19.899999999999999" customHeight="1">
      <c r="B133" s="20">
        <v>2500130</v>
      </c>
      <c r="C133" s="20" t="s">
        <v>40</v>
      </c>
      <c r="D133" s="40">
        <v>43598</v>
      </c>
      <c r="E133" s="29" t="s">
        <v>12</v>
      </c>
      <c r="F133" s="25">
        <v>9</v>
      </c>
      <c r="G133" s="21">
        <v>32</v>
      </c>
      <c r="H133" s="21">
        <f t="shared" si="1"/>
        <v>288</v>
      </c>
      <c r="I133" s="29" t="s">
        <v>10</v>
      </c>
      <c r="J133" s="29" t="s">
        <v>11</v>
      </c>
      <c r="K133" s="19" t="s">
        <v>32</v>
      </c>
    </row>
    <row r="134" spans="2:11" ht="19.899999999999999" customHeight="1">
      <c r="B134" s="20">
        <v>2500131</v>
      </c>
      <c r="C134" s="20" t="s">
        <v>41</v>
      </c>
      <c r="D134" s="40">
        <v>43599</v>
      </c>
      <c r="E134" s="29" t="s">
        <v>9</v>
      </c>
      <c r="F134" s="25">
        <v>4</v>
      </c>
      <c r="G134" s="21">
        <v>18.5</v>
      </c>
      <c r="H134" s="21">
        <f t="shared" ref="H134:H197" si="2">+G134*F134</f>
        <v>74</v>
      </c>
      <c r="I134" s="29" t="s">
        <v>25</v>
      </c>
      <c r="J134" s="29" t="s">
        <v>23</v>
      </c>
      <c r="K134" s="19" t="s">
        <v>37</v>
      </c>
    </row>
    <row r="135" spans="2:11" ht="19.899999999999999" customHeight="1">
      <c r="B135" s="20">
        <v>2500132</v>
      </c>
      <c r="C135" s="20" t="s">
        <v>40</v>
      </c>
      <c r="D135" s="40">
        <v>43600</v>
      </c>
      <c r="E135" s="29" t="s">
        <v>21</v>
      </c>
      <c r="F135" s="25">
        <v>8</v>
      </c>
      <c r="G135" s="21">
        <v>48</v>
      </c>
      <c r="H135" s="21">
        <f t="shared" si="2"/>
        <v>384</v>
      </c>
      <c r="I135" s="29" t="s">
        <v>15</v>
      </c>
      <c r="J135" s="29" t="s">
        <v>16</v>
      </c>
      <c r="K135" s="19" t="s">
        <v>34</v>
      </c>
    </row>
    <row r="136" spans="2:11" ht="19.899999999999999" customHeight="1">
      <c r="B136" s="20">
        <v>2500133</v>
      </c>
      <c r="C136" s="20" t="s">
        <v>49</v>
      </c>
      <c r="D136" s="40">
        <v>43601</v>
      </c>
      <c r="E136" s="29" t="s">
        <v>20</v>
      </c>
      <c r="F136" s="25">
        <v>4</v>
      </c>
      <c r="G136" s="21">
        <v>36</v>
      </c>
      <c r="H136" s="21">
        <f t="shared" si="2"/>
        <v>144</v>
      </c>
      <c r="I136" s="29" t="s">
        <v>10</v>
      </c>
      <c r="J136" s="29" t="s">
        <v>11</v>
      </c>
      <c r="K136" s="19" t="s">
        <v>32</v>
      </c>
    </row>
    <row r="137" spans="2:11" ht="19.899999999999999" customHeight="1">
      <c r="B137" s="20">
        <v>2500134</v>
      </c>
      <c r="C137" s="20" t="s">
        <v>45</v>
      </c>
      <c r="D137" s="40">
        <v>43602</v>
      </c>
      <c r="E137" s="29" t="s">
        <v>20</v>
      </c>
      <c r="F137" s="25">
        <v>8</v>
      </c>
      <c r="G137" s="21">
        <v>36</v>
      </c>
      <c r="H137" s="21">
        <f t="shared" si="2"/>
        <v>288</v>
      </c>
      <c r="I137" s="29" t="s">
        <v>26</v>
      </c>
      <c r="J137" s="29" t="s">
        <v>29</v>
      </c>
      <c r="K137" s="19" t="s">
        <v>38</v>
      </c>
    </row>
    <row r="138" spans="2:11" ht="19.899999999999999" customHeight="1">
      <c r="B138" s="20">
        <v>2500135</v>
      </c>
      <c r="C138" s="20" t="s">
        <v>40</v>
      </c>
      <c r="D138" s="40">
        <v>43603</v>
      </c>
      <c r="E138" s="29" t="s">
        <v>21</v>
      </c>
      <c r="F138" s="25">
        <v>3</v>
      </c>
      <c r="G138" s="21">
        <v>48</v>
      </c>
      <c r="H138" s="21">
        <f t="shared" si="2"/>
        <v>144</v>
      </c>
      <c r="I138" s="29" t="s">
        <v>22</v>
      </c>
      <c r="J138" s="29" t="s">
        <v>19</v>
      </c>
      <c r="K138" s="19" t="s">
        <v>36</v>
      </c>
    </row>
    <row r="139" spans="2:11" ht="19.899999999999999" customHeight="1">
      <c r="B139" s="20">
        <v>2500136</v>
      </c>
      <c r="C139" s="20" t="s">
        <v>44</v>
      </c>
      <c r="D139" s="40">
        <v>43604</v>
      </c>
      <c r="E139" s="29" t="s">
        <v>9</v>
      </c>
      <c r="F139" s="25">
        <v>4</v>
      </c>
      <c r="G139" s="21">
        <v>18.5</v>
      </c>
      <c r="H139" s="21">
        <f t="shared" si="2"/>
        <v>74</v>
      </c>
      <c r="I139" s="29" t="s">
        <v>25</v>
      </c>
      <c r="J139" s="29" t="s">
        <v>23</v>
      </c>
      <c r="K139" s="19" t="s">
        <v>37</v>
      </c>
    </row>
    <row r="140" spans="2:11" ht="19.899999999999999" customHeight="1">
      <c r="B140" s="20">
        <v>2500137</v>
      </c>
      <c r="C140" s="20" t="s">
        <v>41</v>
      </c>
      <c r="D140" s="40">
        <v>43605</v>
      </c>
      <c r="E140" s="29" t="s">
        <v>27</v>
      </c>
      <c r="F140" s="25">
        <v>7</v>
      </c>
      <c r="G140" s="21">
        <v>15.5</v>
      </c>
      <c r="H140" s="21">
        <f t="shared" si="2"/>
        <v>108.5</v>
      </c>
      <c r="I140" s="29" t="s">
        <v>22</v>
      </c>
      <c r="J140" s="29" t="s">
        <v>19</v>
      </c>
      <c r="K140" s="19" t="s">
        <v>36</v>
      </c>
    </row>
    <row r="141" spans="2:11" ht="19.899999999999999" customHeight="1">
      <c r="B141" s="20">
        <v>2500138</v>
      </c>
      <c r="C141" s="20" t="s">
        <v>47</v>
      </c>
      <c r="D141" s="40">
        <v>43606</v>
      </c>
      <c r="E141" s="29" t="s">
        <v>9</v>
      </c>
      <c r="F141" s="25">
        <v>10</v>
      </c>
      <c r="G141" s="21">
        <v>18.5</v>
      </c>
      <c r="H141" s="21">
        <f t="shared" si="2"/>
        <v>185</v>
      </c>
      <c r="I141" s="29" t="s">
        <v>10</v>
      </c>
      <c r="J141" s="29" t="s">
        <v>11</v>
      </c>
      <c r="K141" s="19" t="s">
        <v>32</v>
      </c>
    </row>
    <row r="142" spans="2:11" ht="19.899999999999999" customHeight="1">
      <c r="B142" s="20">
        <v>2500139</v>
      </c>
      <c r="C142" s="20" t="s">
        <v>49</v>
      </c>
      <c r="D142" s="40">
        <v>43607</v>
      </c>
      <c r="E142" s="29" t="s">
        <v>20</v>
      </c>
      <c r="F142" s="25">
        <v>2</v>
      </c>
      <c r="G142" s="21">
        <v>36</v>
      </c>
      <c r="H142" s="21">
        <f t="shared" si="2"/>
        <v>72</v>
      </c>
      <c r="I142" s="29" t="s">
        <v>25</v>
      </c>
      <c r="J142" s="29" t="s">
        <v>23</v>
      </c>
      <c r="K142" s="19" t="s">
        <v>37</v>
      </c>
    </row>
    <row r="143" spans="2:11" ht="19.899999999999999" customHeight="1">
      <c r="B143" s="20">
        <v>2500140</v>
      </c>
      <c r="C143" s="20" t="s">
        <v>41</v>
      </c>
      <c r="D143" s="40">
        <v>43608</v>
      </c>
      <c r="E143" s="29" t="s">
        <v>12</v>
      </c>
      <c r="F143" s="25">
        <v>4</v>
      </c>
      <c r="G143" s="21">
        <v>32</v>
      </c>
      <c r="H143" s="21">
        <f t="shared" si="2"/>
        <v>128</v>
      </c>
      <c r="I143" s="29" t="s">
        <v>25</v>
      </c>
      <c r="J143" s="29" t="s">
        <v>23</v>
      </c>
      <c r="K143" s="19" t="s">
        <v>37</v>
      </c>
    </row>
    <row r="144" spans="2:11" ht="19.899999999999999" customHeight="1">
      <c r="B144" s="20">
        <v>2500141</v>
      </c>
      <c r="C144" s="20" t="s">
        <v>47</v>
      </c>
      <c r="D144" s="40">
        <v>43609</v>
      </c>
      <c r="E144" s="29" t="s">
        <v>21</v>
      </c>
      <c r="F144" s="25">
        <v>2</v>
      </c>
      <c r="G144" s="21">
        <v>48</v>
      </c>
      <c r="H144" s="21">
        <f t="shared" si="2"/>
        <v>96</v>
      </c>
      <c r="I144" s="29" t="s">
        <v>25</v>
      </c>
      <c r="J144" s="29" t="s">
        <v>23</v>
      </c>
      <c r="K144" s="19" t="s">
        <v>37</v>
      </c>
    </row>
    <row r="145" spans="2:11" ht="19.899999999999999" customHeight="1">
      <c r="B145" s="20">
        <v>2500142</v>
      </c>
      <c r="C145" s="20" t="s">
        <v>41</v>
      </c>
      <c r="D145" s="40">
        <v>43610</v>
      </c>
      <c r="E145" s="29" t="s">
        <v>12</v>
      </c>
      <c r="F145" s="25">
        <v>4</v>
      </c>
      <c r="G145" s="21">
        <v>32</v>
      </c>
      <c r="H145" s="21">
        <f t="shared" si="2"/>
        <v>128</v>
      </c>
      <c r="I145" s="29" t="s">
        <v>13</v>
      </c>
      <c r="J145" s="29" t="s">
        <v>14</v>
      </c>
      <c r="K145" s="19" t="s">
        <v>33</v>
      </c>
    </row>
    <row r="146" spans="2:11" ht="19.899999999999999" customHeight="1">
      <c r="B146" s="20">
        <v>2500143</v>
      </c>
      <c r="C146" s="20" t="s">
        <v>41</v>
      </c>
      <c r="D146" s="40">
        <v>43611</v>
      </c>
      <c r="E146" s="29" t="s">
        <v>27</v>
      </c>
      <c r="F146" s="25">
        <v>9</v>
      </c>
      <c r="G146" s="21">
        <v>15.5</v>
      </c>
      <c r="H146" s="21">
        <f t="shared" si="2"/>
        <v>139.5</v>
      </c>
      <c r="I146" s="29" t="s">
        <v>15</v>
      </c>
      <c r="J146" s="29" t="s">
        <v>16</v>
      </c>
      <c r="K146" s="19" t="s">
        <v>34</v>
      </c>
    </row>
    <row r="147" spans="2:11" ht="19.899999999999999" customHeight="1">
      <c r="B147" s="20">
        <v>2500144</v>
      </c>
      <c r="C147" s="20" t="s">
        <v>49</v>
      </c>
      <c r="D147" s="40">
        <v>43612</v>
      </c>
      <c r="E147" s="29" t="s">
        <v>20</v>
      </c>
      <c r="F147" s="25">
        <v>4</v>
      </c>
      <c r="G147" s="21">
        <v>36</v>
      </c>
      <c r="H147" s="21">
        <f t="shared" si="2"/>
        <v>144</v>
      </c>
      <c r="I147" s="29" t="s">
        <v>25</v>
      </c>
      <c r="J147" s="29" t="s">
        <v>23</v>
      </c>
      <c r="K147" s="19" t="s">
        <v>37</v>
      </c>
    </row>
    <row r="148" spans="2:11" ht="19.899999999999999" customHeight="1">
      <c r="B148" s="20">
        <v>2500145</v>
      </c>
      <c r="C148" s="20" t="s">
        <v>44</v>
      </c>
      <c r="D148" s="40">
        <v>43613</v>
      </c>
      <c r="E148" s="29" t="s">
        <v>12</v>
      </c>
      <c r="F148" s="25">
        <v>6</v>
      </c>
      <c r="G148" s="21">
        <v>32</v>
      </c>
      <c r="H148" s="21">
        <f t="shared" si="2"/>
        <v>192</v>
      </c>
      <c r="I148" s="29" t="s">
        <v>15</v>
      </c>
      <c r="J148" s="29" t="s">
        <v>16</v>
      </c>
      <c r="K148" s="19" t="s">
        <v>34</v>
      </c>
    </row>
    <row r="149" spans="2:11" ht="19.899999999999999" customHeight="1">
      <c r="B149" s="20">
        <v>2500146</v>
      </c>
      <c r="C149" s="20" t="s">
        <v>46</v>
      </c>
      <c r="D149" s="40">
        <v>43614</v>
      </c>
      <c r="E149" s="29" t="s">
        <v>20</v>
      </c>
      <c r="F149" s="25">
        <v>9</v>
      </c>
      <c r="G149" s="21">
        <v>36</v>
      </c>
      <c r="H149" s="21">
        <f t="shared" si="2"/>
        <v>324</v>
      </c>
      <c r="I149" s="29" t="s">
        <v>13</v>
      </c>
      <c r="J149" s="29" t="s">
        <v>14</v>
      </c>
      <c r="K149" s="19" t="s">
        <v>33</v>
      </c>
    </row>
    <row r="150" spans="2:11" ht="19.899999999999999" customHeight="1">
      <c r="B150" s="20">
        <v>2500147</v>
      </c>
      <c r="C150" s="20" t="s">
        <v>42</v>
      </c>
      <c r="D150" s="40">
        <v>43615</v>
      </c>
      <c r="E150" s="29" t="s">
        <v>27</v>
      </c>
      <c r="F150" s="25">
        <v>10</v>
      </c>
      <c r="G150" s="21">
        <v>15.5</v>
      </c>
      <c r="H150" s="21">
        <f t="shared" si="2"/>
        <v>155</v>
      </c>
      <c r="I150" s="29" t="s">
        <v>13</v>
      </c>
      <c r="J150" s="29" t="s">
        <v>14</v>
      </c>
      <c r="K150" s="19" t="s">
        <v>33</v>
      </c>
    </row>
    <row r="151" spans="2:11" ht="19.899999999999999" customHeight="1">
      <c r="B151" s="20">
        <v>2500148</v>
      </c>
      <c r="C151" s="20" t="s">
        <v>43</v>
      </c>
      <c r="D151" s="40">
        <v>43616</v>
      </c>
      <c r="E151" s="29" t="s">
        <v>27</v>
      </c>
      <c r="F151" s="25">
        <v>9</v>
      </c>
      <c r="G151" s="21">
        <v>15.5</v>
      </c>
      <c r="H151" s="21">
        <f t="shared" si="2"/>
        <v>139.5</v>
      </c>
      <c r="I151" s="29" t="s">
        <v>13</v>
      </c>
      <c r="J151" s="29" t="s">
        <v>14</v>
      </c>
      <c r="K151" s="19" t="s">
        <v>33</v>
      </c>
    </row>
    <row r="152" spans="2:11" ht="19.899999999999999" customHeight="1">
      <c r="B152" s="20">
        <v>2500149</v>
      </c>
      <c r="C152" s="20" t="s">
        <v>45</v>
      </c>
      <c r="D152" s="40">
        <v>43617</v>
      </c>
      <c r="E152" s="29" t="s">
        <v>9</v>
      </c>
      <c r="F152" s="25">
        <v>7</v>
      </c>
      <c r="G152" s="21">
        <v>18.5</v>
      </c>
      <c r="H152" s="21">
        <f t="shared" si="2"/>
        <v>129.5</v>
      </c>
      <c r="I152" s="29" t="s">
        <v>13</v>
      </c>
      <c r="J152" s="29" t="s">
        <v>14</v>
      </c>
      <c r="K152" s="19" t="s">
        <v>33</v>
      </c>
    </row>
    <row r="153" spans="2:11" ht="19.899999999999999" customHeight="1">
      <c r="B153" s="20">
        <v>2500150</v>
      </c>
      <c r="C153" s="20" t="s">
        <v>47</v>
      </c>
      <c r="D153" s="40">
        <v>43618</v>
      </c>
      <c r="E153" s="29" t="s">
        <v>27</v>
      </c>
      <c r="F153" s="25">
        <v>1</v>
      </c>
      <c r="G153" s="21">
        <v>15.5</v>
      </c>
      <c r="H153" s="21">
        <f t="shared" si="2"/>
        <v>15.5</v>
      </c>
      <c r="I153" s="29" t="s">
        <v>17</v>
      </c>
      <c r="J153" s="29" t="s">
        <v>18</v>
      </c>
      <c r="K153" s="19" t="s">
        <v>35</v>
      </c>
    </row>
    <row r="154" spans="2:11" ht="19.899999999999999" customHeight="1">
      <c r="B154" s="20">
        <v>2500151</v>
      </c>
      <c r="C154" s="20" t="s">
        <v>46</v>
      </c>
      <c r="D154" s="40">
        <v>43619</v>
      </c>
      <c r="E154" s="29" t="s">
        <v>20</v>
      </c>
      <c r="F154" s="25">
        <v>6</v>
      </c>
      <c r="G154" s="21">
        <v>36</v>
      </c>
      <c r="H154" s="21">
        <f t="shared" si="2"/>
        <v>216</v>
      </c>
      <c r="I154" s="29" t="s">
        <v>26</v>
      </c>
      <c r="J154" s="29" t="s">
        <v>29</v>
      </c>
      <c r="K154" s="19" t="s">
        <v>38</v>
      </c>
    </row>
    <row r="155" spans="2:11" ht="19.899999999999999" customHeight="1">
      <c r="B155" s="20">
        <v>2500152</v>
      </c>
      <c r="C155" s="20" t="s">
        <v>49</v>
      </c>
      <c r="D155" s="40">
        <v>43620</v>
      </c>
      <c r="E155" s="29" t="s">
        <v>9</v>
      </c>
      <c r="F155" s="25">
        <v>6</v>
      </c>
      <c r="G155" s="21">
        <v>18.5</v>
      </c>
      <c r="H155" s="21">
        <f t="shared" si="2"/>
        <v>111</v>
      </c>
      <c r="I155" s="29" t="s">
        <v>17</v>
      </c>
      <c r="J155" s="29" t="s">
        <v>18</v>
      </c>
      <c r="K155" s="19" t="s">
        <v>35</v>
      </c>
    </row>
    <row r="156" spans="2:11" ht="19.899999999999999" customHeight="1">
      <c r="B156" s="20">
        <v>2500153</v>
      </c>
      <c r="C156" s="20" t="s">
        <v>45</v>
      </c>
      <c r="D156" s="40">
        <v>43621</v>
      </c>
      <c r="E156" s="29" t="s">
        <v>21</v>
      </c>
      <c r="F156" s="25">
        <v>1</v>
      </c>
      <c r="G156" s="21">
        <v>48</v>
      </c>
      <c r="H156" s="21">
        <f t="shared" si="2"/>
        <v>48</v>
      </c>
      <c r="I156" s="29" t="s">
        <v>17</v>
      </c>
      <c r="J156" s="29" t="s">
        <v>18</v>
      </c>
      <c r="K156" s="19" t="s">
        <v>35</v>
      </c>
    </row>
    <row r="157" spans="2:11" ht="19.899999999999999" customHeight="1">
      <c r="B157" s="20">
        <v>2500154</v>
      </c>
      <c r="C157" s="20" t="s">
        <v>45</v>
      </c>
      <c r="D157" s="40">
        <v>43622</v>
      </c>
      <c r="E157" s="29" t="s">
        <v>9</v>
      </c>
      <c r="F157" s="25">
        <v>2</v>
      </c>
      <c r="G157" s="21">
        <v>18.5</v>
      </c>
      <c r="H157" s="21">
        <f t="shared" si="2"/>
        <v>37</v>
      </c>
      <c r="I157" s="29" t="s">
        <v>28</v>
      </c>
      <c r="J157" s="29" t="s">
        <v>30</v>
      </c>
      <c r="K157" s="19" t="s">
        <v>33</v>
      </c>
    </row>
    <row r="158" spans="2:11" ht="19.899999999999999" customHeight="1">
      <c r="B158" s="20">
        <v>2500155</v>
      </c>
      <c r="C158" s="20" t="s">
        <v>47</v>
      </c>
      <c r="D158" s="40">
        <v>43623</v>
      </c>
      <c r="E158" s="29" t="s">
        <v>9</v>
      </c>
      <c r="F158" s="25">
        <v>10</v>
      </c>
      <c r="G158" s="21">
        <v>18.5</v>
      </c>
      <c r="H158" s="21">
        <f t="shared" si="2"/>
        <v>185</v>
      </c>
      <c r="I158" s="29" t="s">
        <v>26</v>
      </c>
      <c r="J158" s="29" t="s">
        <v>29</v>
      </c>
      <c r="K158" s="19" t="s">
        <v>38</v>
      </c>
    </row>
    <row r="159" spans="2:11" ht="19.899999999999999" customHeight="1">
      <c r="B159" s="20">
        <v>2500156</v>
      </c>
      <c r="C159" s="20" t="s">
        <v>46</v>
      </c>
      <c r="D159" s="40">
        <v>43624</v>
      </c>
      <c r="E159" s="29" t="s">
        <v>21</v>
      </c>
      <c r="F159" s="25">
        <v>7</v>
      </c>
      <c r="G159" s="21">
        <v>48</v>
      </c>
      <c r="H159" s="21">
        <f t="shared" si="2"/>
        <v>336</v>
      </c>
      <c r="I159" s="29" t="s">
        <v>10</v>
      </c>
      <c r="J159" s="29" t="s">
        <v>11</v>
      </c>
      <c r="K159" s="19" t="s">
        <v>32</v>
      </c>
    </row>
    <row r="160" spans="2:11" ht="19.899999999999999" customHeight="1">
      <c r="B160" s="20">
        <v>2500157</v>
      </c>
      <c r="C160" s="20" t="s">
        <v>48</v>
      </c>
      <c r="D160" s="40">
        <v>43625</v>
      </c>
      <c r="E160" s="29" t="s">
        <v>27</v>
      </c>
      <c r="F160" s="25">
        <v>1</v>
      </c>
      <c r="G160" s="21">
        <v>15.5</v>
      </c>
      <c r="H160" s="21">
        <f t="shared" si="2"/>
        <v>15.5</v>
      </c>
      <c r="I160" s="29" t="s">
        <v>22</v>
      </c>
      <c r="J160" s="29" t="s">
        <v>19</v>
      </c>
      <c r="K160" s="19" t="s">
        <v>36</v>
      </c>
    </row>
    <row r="161" spans="2:11" ht="19.899999999999999" customHeight="1">
      <c r="B161" s="20">
        <v>2500158</v>
      </c>
      <c r="C161" s="20" t="s">
        <v>49</v>
      </c>
      <c r="D161" s="40">
        <v>43626</v>
      </c>
      <c r="E161" s="29" t="s">
        <v>27</v>
      </c>
      <c r="F161" s="25">
        <v>3</v>
      </c>
      <c r="G161" s="21">
        <v>15.5</v>
      </c>
      <c r="H161" s="21">
        <f t="shared" si="2"/>
        <v>46.5</v>
      </c>
      <c r="I161" s="29" t="s">
        <v>10</v>
      </c>
      <c r="J161" s="29" t="s">
        <v>11</v>
      </c>
      <c r="K161" s="19" t="s">
        <v>32</v>
      </c>
    </row>
    <row r="162" spans="2:11" ht="19.899999999999999" customHeight="1">
      <c r="B162" s="20">
        <v>2500159</v>
      </c>
      <c r="C162" s="20" t="s">
        <v>42</v>
      </c>
      <c r="D162" s="40">
        <v>43627</v>
      </c>
      <c r="E162" s="29" t="s">
        <v>21</v>
      </c>
      <c r="F162" s="25">
        <v>1</v>
      </c>
      <c r="G162" s="21">
        <v>48</v>
      </c>
      <c r="H162" s="21">
        <f t="shared" si="2"/>
        <v>48</v>
      </c>
      <c r="I162" s="29" t="s">
        <v>15</v>
      </c>
      <c r="J162" s="29" t="s">
        <v>16</v>
      </c>
      <c r="K162" s="19" t="s">
        <v>34</v>
      </c>
    </row>
    <row r="163" spans="2:11" ht="19.899999999999999" customHeight="1">
      <c r="B163" s="20">
        <v>2500160</v>
      </c>
      <c r="C163" s="20" t="s">
        <v>42</v>
      </c>
      <c r="D163" s="40">
        <v>43628</v>
      </c>
      <c r="E163" s="29" t="s">
        <v>27</v>
      </c>
      <c r="F163" s="25">
        <v>8</v>
      </c>
      <c r="G163" s="21">
        <v>15.5</v>
      </c>
      <c r="H163" s="21">
        <f t="shared" si="2"/>
        <v>124</v>
      </c>
      <c r="I163" s="29" t="s">
        <v>15</v>
      </c>
      <c r="J163" s="29" t="s">
        <v>16</v>
      </c>
      <c r="K163" s="19" t="s">
        <v>34</v>
      </c>
    </row>
    <row r="164" spans="2:11" ht="19.899999999999999" customHeight="1">
      <c r="B164" s="20">
        <v>2500161</v>
      </c>
      <c r="C164" s="20" t="s">
        <v>47</v>
      </c>
      <c r="D164" s="40">
        <v>43629</v>
      </c>
      <c r="E164" s="29" t="s">
        <v>21</v>
      </c>
      <c r="F164" s="25">
        <v>6</v>
      </c>
      <c r="G164" s="21">
        <v>48</v>
      </c>
      <c r="H164" s="21">
        <f t="shared" si="2"/>
        <v>288</v>
      </c>
      <c r="I164" s="29" t="s">
        <v>28</v>
      </c>
      <c r="J164" s="29" t="s">
        <v>30</v>
      </c>
      <c r="K164" s="19" t="s">
        <v>33</v>
      </c>
    </row>
    <row r="165" spans="2:11" ht="19.899999999999999" customHeight="1">
      <c r="B165" s="20">
        <v>2500162</v>
      </c>
      <c r="C165" s="20" t="s">
        <v>45</v>
      </c>
      <c r="D165" s="40">
        <v>43630</v>
      </c>
      <c r="E165" s="29" t="s">
        <v>24</v>
      </c>
      <c r="F165" s="25">
        <v>7</v>
      </c>
      <c r="G165" s="21">
        <v>25.5</v>
      </c>
      <c r="H165" s="21">
        <f t="shared" si="2"/>
        <v>178.5</v>
      </c>
      <c r="I165" s="29" t="s">
        <v>13</v>
      </c>
      <c r="J165" s="29" t="s">
        <v>14</v>
      </c>
      <c r="K165" s="19" t="s">
        <v>33</v>
      </c>
    </row>
    <row r="166" spans="2:11" ht="19.899999999999999" customHeight="1">
      <c r="B166" s="20">
        <v>2500163</v>
      </c>
      <c r="C166" s="20" t="s">
        <v>42</v>
      </c>
      <c r="D166" s="40">
        <v>43631</v>
      </c>
      <c r="E166" s="29" t="s">
        <v>12</v>
      </c>
      <c r="F166" s="25">
        <v>1</v>
      </c>
      <c r="G166" s="21">
        <v>32</v>
      </c>
      <c r="H166" s="21">
        <f t="shared" si="2"/>
        <v>32</v>
      </c>
      <c r="I166" s="29" t="s">
        <v>25</v>
      </c>
      <c r="J166" s="29" t="s">
        <v>23</v>
      </c>
      <c r="K166" s="19" t="s">
        <v>37</v>
      </c>
    </row>
    <row r="167" spans="2:11" ht="19.899999999999999" customHeight="1">
      <c r="B167" s="20">
        <v>2500164</v>
      </c>
      <c r="C167" s="20" t="s">
        <v>41</v>
      </c>
      <c r="D167" s="40">
        <v>43632</v>
      </c>
      <c r="E167" s="29" t="s">
        <v>24</v>
      </c>
      <c r="F167" s="25">
        <v>9</v>
      </c>
      <c r="G167" s="21">
        <v>25.5</v>
      </c>
      <c r="H167" s="21">
        <f t="shared" si="2"/>
        <v>229.5</v>
      </c>
      <c r="I167" s="29" t="s">
        <v>26</v>
      </c>
      <c r="J167" s="29" t="s">
        <v>29</v>
      </c>
      <c r="K167" s="19" t="s">
        <v>38</v>
      </c>
    </row>
    <row r="168" spans="2:11" ht="19.899999999999999" customHeight="1">
      <c r="B168" s="20">
        <v>2500165</v>
      </c>
      <c r="C168" s="20" t="s">
        <v>44</v>
      </c>
      <c r="D168" s="40">
        <v>43633</v>
      </c>
      <c r="E168" s="29" t="s">
        <v>21</v>
      </c>
      <c r="F168" s="25">
        <v>10</v>
      </c>
      <c r="G168" s="21">
        <v>48</v>
      </c>
      <c r="H168" s="21">
        <f t="shared" si="2"/>
        <v>480</v>
      </c>
      <c r="I168" s="29" t="s">
        <v>28</v>
      </c>
      <c r="J168" s="29" t="s">
        <v>30</v>
      </c>
      <c r="K168" s="19" t="s">
        <v>33</v>
      </c>
    </row>
    <row r="169" spans="2:11" ht="19.899999999999999" customHeight="1">
      <c r="B169" s="20">
        <v>2500166</v>
      </c>
      <c r="C169" s="20" t="s">
        <v>48</v>
      </c>
      <c r="D169" s="40">
        <v>43634</v>
      </c>
      <c r="E169" s="29" t="s">
        <v>27</v>
      </c>
      <c r="F169" s="25">
        <v>8</v>
      </c>
      <c r="G169" s="21">
        <v>15.5</v>
      </c>
      <c r="H169" s="21">
        <f t="shared" si="2"/>
        <v>124</v>
      </c>
      <c r="I169" s="29" t="s">
        <v>15</v>
      </c>
      <c r="J169" s="29" t="s">
        <v>16</v>
      </c>
      <c r="K169" s="19" t="s">
        <v>34</v>
      </c>
    </row>
    <row r="170" spans="2:11" ht="19.899999999999999" customHeight="1">
      <c r="B170" s="20">
        <v>2500167</v>
      </c>
      <c r="C170" s="20" t="s">
        <v>46</v>
      </c>
      <c r="D170" s="40">
        <v>43635</v>
      </c>
      <c r="E170" s="29" t="s">
        <v>20</v>
      </c>
      <c r="F170" s="25">
        <v>5</v>
      </c>
      <c r="G170" s="21">
        <v>36</v>
      </c>
      <c r="H170" s="21">
        <f t="shared" si="2"/>
        <v>180</v>
      </c>
      <c r="I170" s="29" t="s">
        <v>25</v>
      </c>
      <c r="J170" s="29" t="s">
        <v>23</v>
      </c>
      <c r="K170" s="19" t="s">
        <v>37</v>
      </c>
    </row>
    <row r="171" spans="2:11" ht="19.899999999999999" customHeight="1">
      <c r="B171" s="20">
        <v>2500168</v>
      </c>
      <c r="C171" s="20" t="s">
        <v>42</v>
      </c>
      <c r="D171" s="40">
        <v>43636</v>
      </c>
      <c r="E171" s="29" t="s">
        <v>27</v>
      </c>
      <c r="F171" s="25">
        <v>6</v>
      </c>
      <c r="G171" s="21">
        <v>15.5</v>
      </c>
      <c r="H171" s="21">
        <f t="shared" si="2"/>
        <v>93</v>
      </c>
      <c r="I171" s="29" t="s">
        <v>26</v>
      </c>
      <c r="J171" s="29" t="s">
        <v>29</v>
      </c>
      <c r="K171" s="19" t="s">
        <v>38</v>
      </c>
    </row>
    <row r="172" spans="2:11" ht="19.899999999999999" customHeight="1">
      <c r="B172" s="20">
        <v>2500169</v>
      </c>
      <c r="C172" s="20" t="s">
        <v>40</v>
      </c>
      <c r="D172" s="40">
        <v>43637</v>
      </c>
      <c r="E172" s="29" t="s">
        <v>24</v>
      </c>
      <c r="F172" s="25">
        <v>6</v>
      </c>
      <c r="G172" s="21">
        <v>25.5</v>
      </c>
      <c r="H172" s="21">
        <f t="shared" si="2"/>
        <v>153</v>
      </c>
      <c r="I172" s="29" t="s">
        <v>25</v>
      </c>
      <c r="J172" s="29" t="s">
        <v>23</v>
      </c>
      <c r="K172" s="19" t="s">
        <v>37</v>
      </c>
    </row>
    <row r="173" spans="2:11" ht="19.899999999999999" customHeight="1">
      <c r="B173" s="20">
        <v>2500170</v>
      </c>
      <c r="C173" s="20" t="s">
        <v>42</v>
      </c>
      <c r="D173" s="40">
        <v>43638</v>
      </c>
      <c r="E173" s="29" t="s">
        <v>12</v>
      </c>
      <c r="F173" s="25">
        <v>5</v>
      </c>
      <c r="G173" s="21">
        <v>32</v>
      </c>
      <c r="H173" s="21">
        <f t="shared" si="2"/>
        <v>160</v>
      </c>
      <c r="I173" s="29" t="s">
        <v>28</v>
      </c>
      <c r="J173" s="29" t="s">
        <v>30</v>
      </c>
      <c r="K173" s="19" t="s">
        <v>33</v>
      </c>
    </row>
    <row r="174" spans="2:11" ht="19.899999999999999" customHeight="1">
      <c r="B174" s="20">
        <v>2500171</v>
      </c>
      <c r="C174" s="20" t="s">
        <v>46</v>
      </c>
      <c r="D174" s="40">
        <v>43639</v>
      </c>
      <c r="E174" s="29" t="s">
        <v>9</v>
      </c>
      <c r="F174" s="25">
        <v>9</v>
      </c>
      <c r="G174" s="21">
        <v>18.5</v>
      </c>
      <c r="H174" s="21">
        <f t="shared" si="2"/>
        <v>166.5</v>
      </c>
      <c r="I174" s="29" t="s">
        <v>15</v>
      </c>
      <c r="J174" s="29" t="s">
        <v>16</v>
      </c>
      <c r="K174" s="19" t="s">
        <v>34</v>
      </c>
    </row>
    <row r="175" spans="2:11" ht="19.899999999999999" customHeight="1">
      <c r="B175" s="20">
        <v>2500172</v>
      </c>
      <c r="C175" s="20" t="s">
        <v>48</v>
      </c>
      <c r="D175" s="40">
        <v>43640</v>
      </c>
      <c r="E175" s="29" t="s">
        <v>12</v>
      </c>
      <c r="F175" s="25">
        <v>5</v>
      </c>
      <c r="G175" s="21">
        <v>32</v>
      </c>
      <c r="H175" s="21">
        <f t="shared" si="2"/>
        <v>160</v>
      </c>
      <c r="I175" s="29" t="s">
        <v>17</v>
      </c>
      <c r="J175" s="29" t="s">
        <v>18</v>
      </c>
      <c r="K175" s="19" t="s">
        <v>35</v>
      </c>
    </row>
    <row r="176" spans="2:11" ht="19.899999999999999" customHeight="1">
      <c r="B176" s="20">
        <v>2500173</v>
      </c>
      <c r="C176" s="20" t="s">
        <v>44</v>
      </c>
      <c r="D176" s="40">
        <v>43641</v>
      </c>
      <c r="E176" s="29" t="s">
        <v>12</v>
      </c>
      <c r="F176" s="25">
        <v>4</v>
      </c>
      <c r="G176" s="21">
        <v>32</v>
      </c>
      <c r="H176" s="21">
        <f t="shared" si="2"/>
        <v>128</v>
      </c>
      <c r="I176" s="29" t="s">
        <v>10</v>
      </c>
      <c r="J176" s="29" t="s">
        <v>11</v>
      </c>
      <c r="K176" s="19" t="s">
        <v>32</v>
      </c>
    </row>
    <row r="177" spans="2:11" ht="19.899999999999999" customHeight="1">
      <c r="B177" s="20">
        <v>2500174</v>
      </c>
      <c r="C177" s="20" t="s">
        <v>46</v>
      </c>
      <c r="D177" s="40">
        <v>43642</v>
      </c>
      <c r="E177" s="29" t="s">
        <v>12</v>
      </c>
      <c r="F177" s="25">
        <v>4</v>
      </c>
      <c r="G177" s="21">
        <v>32</v>
      </c>
      <c r="H177" s="21">
        <f t="shared" si="2"/>
        <v>128</v>
      </c>
      <c r="I177" s="29" t="s">
        <v>13</v>
      </c>
      <c r="J177" s="29" t="s">
        <v>14</v>
      </c>
      <c r="K177" s="19" t="s">
        <v>33</v>
      </c>
    </row>
    <row r="178" spans="2:11" ht="19.899999999999999" customHeight="1">
      <c r="B178" s="20">
        <v>2500175</v>
      </c>
      <c r="C178" s="20" t="s">
        <v>42</v>
      </c>
      <c r="D178" s="40">
        <v>43643</v>
      </c>
      <c r="E178" s="29" t="s">
        <v>24</v>
      </c>
      <c r="F178" s="25">
        <v>1</v>
      </c>
      <c r="G178" s="21">
        <v>25.5</v>
      </c>
      <c r="H178" s="21">
        <f t="shared" si="2"/>
        <v>25.5</v>
      </c>
      <c r="I178" s="29" t="s">
        <v>26</v>
      </c>
      <c r="J178" s="29" t="s">
        <v>29</v>
      </c>
      <c r="K178" s="19" t="s">
        <v>38</v>
      </c>
    </row>
    <row r="179" spans="2:11" ht="19.899999999999999" customHeight="1">
      <c r="B179" s="20">
        <v>2500176</v>
      </c>
      <c r="C179" s="20" t="s">
        <v>44</v>
      </c>
      <c r="D179" s="40">
        <v>43644</v>
      </c>
      <c r="E179" s="29" t="s">
        <v>21</v>
      </c>
      <c r="F179" s="25">
        <v>3</v>
      </c>
      <c r="G179" s="21">
        <v>48</v>
      </c>
      <c r="H179" s="21">
        <f t="shared" si="2"/>
        <v>144</v>
      </c>
      <c r="I179" s="29" t="s">
        <v>17</v>
      </c>
      <c r="J179" s="29" t="s">
        <v>18</v>
      </c>
      <c r="K179" s="19" t="s">
        <v>35</v>
      </c>
    </row>
    <row r="180" spans="2:11" ht="19.899999999999999" customHeight="1">
      <c r="B180" s="20">
        <v>2500177</v>
      </c>
      <c r="C180" s="20" t="s">
        <v>49</v>
      </c>
      <c r="D180" s="40">
        <v>43645</v>
      </c>
      <c r="E180" s="29" t="s">
        <v>12</v>
      </c>
      <c r="F180" s="25">
        <v>3</v>
      </c>
      <c r="G180" s="21">
        <v>32</v>
      </c>
      <c r="H180" s="21">
        <f t="shared" si="2"/>
        <v>96</v>
      </c>
      <c r="I180" s="29" t="s">
        <v>17</v>
      </c>
      <c r="J180" s="29" t="s">
        <v>18</v>
      </c>
      <c r="K180" s="19" t="s">
        <v>35</v>
      </c>
    </row>
    <row r="181" spans="2:11" ht="19.899999999999999" customHeight="1">
      <c r="B181" s="20">
        <v>2500178</v>
      </c>
      <c r="C181" s="20" t="s">
        <v>47</v>
      </c>
      <c r="D181" s="40">
        <v>43646</v>
      </c>
      <c r="E181" s="29" t="s">
        <v>20</v>
      </c>
      <c r="F181" s="25">
        <v>8</v>
      </c>
      <c r="G181" s="21">
        <v>36</v>
      </c>
      <c r="H181" s="21">
        <f t="shared" si="2"/>
        <v>288</v>
      </c>
      <c r="I181" s="29" t="s">
        <v>22</v>
      </c>
      <c r="J181" s="29" t="s">
        <v>19</v>
      </c>
      <c r="K181" s="19" t="s">
        <v>36</v>
      </c>
    </row>
    <row r="182" spans="2:11" ht="19.899999999999999" customHeight="1">
      <c r="B182" s="20">
        <v>2500179</v>
      </c>
      <c r="C182" s="20" t="s">
        <v>40</v>
      </c>
      <c r="D182" s="40">
        <v>43647</v>
      </c>
      <c r="E182" s="29" t="s">
        <v>20</v>
      </c>
      <c r="F182" s="25">
        <v>5</v>
      </c>
      <c r="G182" s="21">
        <v>36</v>
      </c>
      <c r="H182" s="21">
        <f t="shared" si="2"/>
        <v>180</v>
      </c>
      <c r="I182" s="29" t="s">
        <v>17</v>
      </c>
      <c r="J182" s="29" t="s">
        <v>18</v>
      </c>
      <c r="K182" s="19" t="s">
        <v>35</v>
      </c>
    </row>
    <row r="183" spans="2:11" ht="19.899999999999999" customHeight="1">
      <c r="B183" s="20">
        <v>2500180</v>
      </c>
      <c r="C183" s="20" t="s">
        <v>48</v>
      </c>
      <c r="D183" s="40">
        <v>43648</v>
      </c>
      <c r="E183" s="29" t="s">
        <v>20</v>
      </c>
      <c r="F183" s="25">
        <v>7</v>
      </c>
      <c r="G183" s="21">
        <v>36</v>
      </c>
      <c r="H183" s="21">
        <f t="shared" si="2"/>
        <v>252</v>
      </c>
      <c r="I183" s="29" t="s">
        <v>26</v>
      </c>
      <c r="J183" s="29" t="s">
        <v>29</v>
      </c>
      <c r="K183" s="19" t="s">
        <v>38</v>
      </c>
    </row>
    <row r="184" spans="2:11" ht="19.899999999999999" customHeight="1">
      <c r="B184" s="20">
        <v>2500181</v>
      </c>
      <c r="C184" s="20" t="s">
        <v>45</v>
      </c>
      <c r="D184" s="40">
        <v>43649</v>
      </c>
      <c r="E184" s="29" t="s">
        <v>21</v>
      </c>
      <c r="F184" s="25">
        <v>4</v>
      </c>
      <c r="G184" s="21">
        <v>48</v>
      </c>
      <c r="H184" s="21">
        <f t="shared" si="2"/>
        <v>192</v>
      </c>
      <c r="I184" s="29" t="s">
        <v>26</v>
      </c>
      <c r="J184" s="29" t="s">
        <v>29</v>
      </c>
      <c r="K184" s="19" t="s">
        <v>38</v>
      </c>
    </row>
    <row r="185" spans="2:11" ht="19.899999999999999" customHeight="1">
      <c r="B185" s="20">
        <v>2500182</v>
      </c>
      <c r="C185" s="20" t="s">
        <v>48</v>
      </c>
      <c r="D185" s="40">
        <v>43650</v>
      </c>
      <c r="E185" s="29" t="s">
        <v>12</v>
      </c>
      <c r="F185" s="25">
        <v>3</v>
      </c>
      <c r="G185" s="21">
        <v>32</v>
      </c>
      <c r="H185" s="21">
        <f t="shared" si="2"/>
        <v>96</v>
      </c>
      <c r="I185" s="29" t="s">
        <v>15</v>
      </c>
      <c r="J185" s="29" t="s">
        <v>16</v>
      </c>
      <c r="K185" s="19" t="s">
        <v>34</v>
      </c>
    </row>
    <row r="186" spans="2:11" ht="19.899999999999999" customHeight="1">
      <c r="B186" s="20">
        <v>2500183</v>
      </c>
      <c r="C186" s="20" t="s">
        <v>49</v>
      </c>
      <c r="D186" s="40">
        <v>43651</v>
      </c>
      <c r="E186" s="29" t="s">
        <v>9</v>
      </c>
      <c r="F186" s="25">
        <v>4</v>
      </c>
      <c r="G186" s="21">
        <v>18.5</v>
      </c>
      <c r="H186" s="21">
        <f t="shared" si="2"/>
        <v>74</v>
      </c>
      <c r="I186" s="29" t="s">
        <v>17</v>
      </c>
      <c r="J186" s="29" t="s">
        <v>18</v>
      </c>
      <c r="K186" s="19" t="s">
        <v>35</v>
      </c>
    </row>
    <row r="187" spans="2:11" ht="19.899999999999999" customHeight="1">
      <c r="B187" s="20">
        <v>2500184</v>
      </c>
      <c r="C187" s="20" t="s">
        <v>45</v>
      </c>
      <c r="D187" s="40">
        <v>43652</v>
      </c>
      <c r="E187" s="29" t="s">
        <v>27</v>
      </c>
      <c r="F187" s="25">
        <v>9</v>
      </c>
      <c r="G187" s="21">
        <v>15.5</v>
      </c>
      <c r="H187" s="21">
        <f t="shared" si="2"/>
        <v>139.5</v>
      </c>
      <c r="I187" s="29" t="s">
        <v>15</v>
      </c>
      <c r="J187" s="29" t="s">
        <v>16</v>
      </c>
      <c r="K187" s="19" t="s">
        <v>34</v>
      </c>
    </row>
    <row r="188" spans="2:11" ht="19.899999999999999" customHeight="1">
      <c r="B188" s="20">
        <v>2500185</v>
      </c>
      <c r="C188" s="20" t="s">
        <v>40</v>
      </c>
      <c r="D188" s="40">
        <v>43653</v>
      </c>
      <c r="E188" s="29" t="s">
        <v>27</v>
      </c>
      <c r="F188" s="25">
        <v>8</v>
      </c>
      <c r="G188" s="21">
        <v>15.5</v>
      </c>
      <c r="H188" s="21">
        <f t="shared" si="2"/>
        <v>124</v>
      </c>
      <c r="I188" s="29" t="s">
        <v>15</v>
      </c>
      <c r="J188" s="29" t="s">
        <v>16</v>
      </c>
      <c r="K188" s="19" t="s">
        <v>34</v>
      </c>
    </row>
    <row r="189" spans="2:11" ht="19.899999999999999" customHeight="1">
      <c r="B189" s="20">
        <v>2500186</v>
      </c>
      <c r="C189" s="20" t="s">
        <v>42</v>
      </c>
      <c r="D189" s="40">
        <v>43654</v>
      </c>
      <c r="E189" s="29" t="s">
        <v>24</v>
      </c>
      <c r="F189" s="25">
        <v>2</v>
      </c>
      <c r="G189" s="21">
        <v>25.5</v>
      </c>
      <c r="H189" s="21">
        <f t="shared" si="2"/>
        <v>51</v>
      </c>
      <c r="I189" s="29" t="s">
        <v>10</v>
      </c>
      <c r="J189" s="29" t="s">
        <v>11</v>
      </c>
      <c r="K189" s="19" t="s">
        <v>32</v>
      </c>
    </row>
    <row r="190" spans="2:11" ht="19.899999999999999" customHeight="1">
      <c r="B190" s="20">
        <v>2500187</v>
      </c>
      <c r="C190" s="20" t="s">
        <v>42</v>
      </c>
      <c r="D190" s="40">
        <v>43655</v>
      </c>
      <c r="E190" s="29" t="s">
        <v>27</v>
      </c>
      <c r="F190" s="25">
        <v>2</v>
      </c>
      <c r="G190" s="21">
        <v>15.5</v>
      </c>
      <c r="H190" s="21">
        <f t="shared" si="2"/>
        <v>31</v>
      </c>
      <c r="I190" s="29" t="s">
        <v>26</v>
      </c>
      <c r="J190" s="29" t="s">
        <v>29</v>
      </c>
      <c r="K190" s="19" t="s">
        <v>38</v>
      </c>
    </row>
    <row r="191" spans="2:11" ht="19.899999999999999" customHeight="1">
      <c r="B191" s="20">
        <v>2500188</v>
      </c>
      <c r="C191" s="20" t="s">
        <v>49</v>
      </c>
      <c r="D191" s="40">
        <v>43656</v>
      </c>
      <c r="E191" s="29" t="s">
        <v>9</v>
      </c>
      <c r="F191" s="25">
        <v>8</v>
      </c>
      <c r="G191" s="21">
        <v>18.5</v>
      </c>
      <c r="H191" s="21">
        <f t="shared" si="2"/>
        <v>148</v>
      </c>
      <c r="I191" s="29" t="s">
        <v>22</v>
      </c>
      <c r="J191" s="29" t="s">
        <v>19</v>
      </c>
      <c r="K191" s="19" t="s">
        <v>36</v>
      </c>
    </row>
    <row r="192" spans="2:11" ht="19.899999999999999" customHeight="1">
      <c r="B192" s="20">
        <v>2500189</v>
      </c>
      <c r="C192" s="20" t="s">
        <v>42</v>
      </c>
      <c r="D192" s="40">
        <v>43657</v>
      </c>
      <c r="E192" s="29" t="s">
        <v>20</v>
      </c>
      <c r="F192" s="25">
        <v>10</v>
      </c>
      <c r="G192" s="21">
        <v>36</v>
      </c>
      <c r="H192" s="21">
        <f t="shared" si="2"/>
        <v>360</v>
      </c>
      <c r="I192" s="29" t="s">
        <v>26</v>
      </c>
      <c r="J192" s="29" t="s">
        <v>29</v>
      </c>
      <c r="K192" s="19" t="s">
        <v>38</v>
      </c>
    </row>
    <row r="193" spans="2:11" ht="19.899999999999999" customHeight="1">
      <c r="B193" s="20">
        <v>2500250</v>
      </c>
      <c r="C193" s="20" t="s">
        <v>49</v>
      </c>
      <c r="D193" s="40">
        <v>43658</v>
      </c>
      <c r="E193" s="29" t="s">
        <v>12</v>
      </c>
      <c r="F193" s="25">
        <v>3</v>
      </c>
      <c r="G193" s="21">
        <v>32</v>
      </c>
      <c r="H193" s="21">
        <f t="shared" si="2"/>
        <v>96</v>
      </c>
      <c r="I193" s="29" t="s">
        <v>28</v>
      </c>
      <c r="J193" s="29" t="s">
        <v>30</v>
      </c>
      <c r="K193" s="19" t="s">
        <v>33</v>
      </c>
    </row>
    <row r="194" spans="2:11" ht="19.899999999999999" customHeight="1">
      <c r="B194" s="20">
        <v>2500251</v>
      </c>
      <c r="C194" s="20" t="s">
        <v>40</v>
      </c>
      <c r="D194" s="40">
        <v>43659</v>
      </c>
      <c r="E194" s="29" t="s">
        <v>9</v>
      </c>
      <c r="F194" s="25">
        <v>5</v>
      </c>
      <c r="G194" s="21">
        <v>18.5</v>
      </c>
      <c r="H194" s="21">
        <f t="shared" si="2"/>
        <v>92.5</v>
      </c>
      <c r="I194" s="29" t="s">
        <v>22</v>
      </c>
      <c r="J194" s="29" t="s">
        <v>19</v>
      </c>
      <c r="K194" s="19" t="s">
        <v>36</v>
      </c>
    </row>
    <row r="195" spans="2:11" ht="19.899999999999999" customHeight="1">
      <c r="B195" s="20">
        <v>2500252</v>
      </c>
      <c r="C195" s="20" t="s">
        <v>41</v>
      </c>
      <c r="D195" s="40">
        <v>43660</v>
      </c>
      <c r="E195" s="29" t="s">
        <v>27</v>
      </c>
      <c r="F195" s="25">
        <v>5</v>
      </c>
      <c r="G195" s="21">
        <v>15.5</v>
      </c>
      <c r="H195" s="21">
        <f t="shared" si="2"/>
        <v>77.5</v>
      </c>
      <c r="I195" s="29" t="s">
        <v>22</v>
      </c>
      <c r="J195" s="29" t="s">
        <v>19</v>
      </c>
      <c r="K195" s="19" t="s">
        <v>36</v>
      </c>
    </row>
    <row r="196" spans="2:11" ht="19.899999999999999" customHeight="1">
      <c r="B196" s="20">
        <v>2500253</v>
      </c>
      <c r="C196" s="20" t="s">
        <v>46</v>
      </c>
      <c r="D196" s="40">
        <v>43661</v>
      </c>
      <c r="E196" s="29" t="s">
        <v>21</v>
      </c>
      <c r="F196" s="25">
        <v>8</v>
      </c>
      <c r="G196" s="21">
        <v>48</v>
      </c>
      <c r="H196" s="21">
        <f t="shared" si="2"/>
        <v>384</v>
      </c>
      <c r="I196" s="29" t="s">
        <v>22</v>
      </c>
      <c r="J196" s="29" t="s">
        <v>19</v>
      </c>
      <c r="K196" s="19" t="s">
        <v>36</v>
      </c>
    </row>
    <row r="197" spans="2:11" ht="19.899999999999999" customHeight="1">
      <c r="B197" s="20">
        <v>2500254</v>
      </c>
      <c r="C197" s="20" t="s">
        <v>45</v>
      </c>
      <c r="D197" s="40">
        <v>43662</v>
      </c>
      <c r="E197" s="29" t="s">
        <v>21</v>
      </c>
      <c r="F197" s="25">
        <v>10</v>
      </c>
      <c r="G197" s="21">
        <v>48</v>
      </c>
      <c r="H197" s="21">
        <f t="shared" si="2"/>
        <v>480</v>
      </c>
      <c r="I197" s="29" t="s">
        <v>15</v>
      </c>
      <c r="J197" s="29" t="s">
        <v>16</v>
      </c>
      <c r="K197" s="19" t="s">
        <v>34</v>
      </c>
    </row>
    <row r="198" spans="2:11" ht="19.899999999999999" customHeight="1">
      <c r="B198" s="20">
        <v>2500255</v>
      </c>
      <c r="C198" s="20" t="s">
        <v>42</v>
      </c>
      <c r="D198" s="40">
        <v>43663</v>
      </c>
      <c r="E198" s="29" t="s">
        <v>9</v>
      </c>
      <c r="F198" s="25">
        <v>5</v>
      </c>
      <c r="G198" s="21">
        <v>18.5</v>
      </c>
      <c r="H198" s="21">
        <f t="shared" ref="H198:H261" si="3">+G198*F198</f>
        <v>92.5</v>
      </c>
      <c r="I198" s="29" t="s">
        <v>26</v>
      </c>
      <c r="J198" s="29" t="s">
        <v>29</v>
      </c>
      <c r="K198" s="19" t="s">
        <v>38</v>
      </c>
    </row>
    <row r="199" spans="2:11" ht="19.899999999999999" customHeight="1">
      <c r="B199" s="20">
        <v>2500256</v>
      </c>
      <c r="C199" s="20" t="s">
        <v>49</v>
      </c>
      <c r="D199" s="40">
        <v>43664</v>
      </c>
      <c r="E199" s="29" t="s">
        <v>9</v>
      </c>
      <c r="F199" s="25">
        <v>6</v>
      </c>
      <c r="G199" s="21">
        <v>18.5</v>
      </c>
      <c r="H199" s="21">
        <f t="shared" si="3"/>
        <v>111</v>
      </c>
      <c r="I199" s="29" t="s">
        <v>10</v>
      </c>
      <c r="J199" s="29" t="s">
        <v>11</v>
      </c>
      <c r="K199" s="19" t="s">
        <v>32</v>
      </c>
    </row>
    <row r="200" spans="2:11" ht="19.899999999999999" customHeight="1">
      <c r="B200" s="20">
        <v>2500257</v>
      </c>
      <c r="C200" s="20" t="s">
        <v>45</v>
      </c>
      <c r="D200" s="40">
        <v>43665</v>
      </c>
      <c r="E200" s="29" t="s">
        <v>24</v>
      </c>
      <c r="F200" s="25">
        <v>6</v>
      </c>
      <c r="G200" s="21">
        <v>25.5</v>
      </c>
      <c r="H200" s="21">
        <f t="shared" si="3"/>
        <v>153</v>
      </c>
      <c r="I200" s="29" t="s">
        <v>22</v>
      </c>
      <c r="J200" s="29" t="s">
        <v>19</v>
      </c>
      <c r="K200" s="19" t="s">
        <v>36</v>
      </c>
    </row>
    <row r="201" spans="2:11" ht="19.899999999999999" customHeight="1">
      <c r="B201" s="20">
        <v>2500258</v>
      </c>
      <c r="C201" s="20" t="s">
        <v>42</v>
      </c>
      <c r="D201" s="40">
        <v>43666</v>
      </c>
      <c r="E201" s="29" t="s">
        <v>12</v>
      </c>
      <c r="F201" s="25">
        <v>5</v>
      </c>
      <c r="G201" s="21">
        <v>32</v>
      </c>
      <c r="H201" s="21">
        <f t="shared" si="3"/>
        <v>160</v>
      </c>
      <c r="I201" s="29" t="s">
        <v>15</v>
      </c>
      <c r="J201" s="29" t="s">
        <v>16</v>
      </c>
      <c r="K201" s="19" t="s">
        <v>34</v>
      </c>
    </row>
    <row r="202" spans="2:11" ht="19.899999999999999" customHeight="1">
      <c r="B202" s="20">
        <v>2500259</v>
      </c>
      <c r="C202" s="20" t="s">
        <v>49</v>
      </c>
      <c r="D202" s="40">
        <v>43667</v>
      </c>
      <c r="E202" s="29" t="s">
        <v>24</v>
      </c>
      <c r="F202" s="25">
        <v>5</v>
      </c>
      <c r="G202" s="21">
        <v>25.5</v>
      </c>
      <c r="H202" s="21">
        <f t="shared" si="3"/>
        <v>127.5</v>
      </c>
      <c r="I202" s="29" t="s">
        <v>10</v>
      </c>
      <c r="J202" s="29" t="s">
        <v>11</v>
      </c>
      <c r="K202" s="19" t="s">
        <v>32</v>
      </c>
    </row>
    <row r="203" spans="2:11" ht="19.899999999999999" customHeight="1">
      <c r="B203" s="20">
        <v>2500200</v>
      </c>
      <c r="C203" s="20" t="s">
        <v>46</v>
      </c>
      <c r="D203" s="40">
        <v>43668</v>
      </c>
      <c r="E203" s="29" t="s">
        <v>9</v>
      </c>
      <c r="F203" s="25">
        <v>1</v>
      </c>
      <c r="G203" s="21">
        <v>18.5</v>
      </c>
      <c r="H203" s="21">
        <f t="shared" si="3"/>
        <v>18.5</v>
      </c>
      <c r="I203" s="29" t="s">
        <v>13</v>
      </c>
      <c r="J203" s="29" t="s">
        <v>14</v>
      </c>
      <c r="K203" s="19" t="s">
        <v>33</v>
      </c>
    </row>
    <row r="204" spans="2:11" ht="19.899999999999999" customHeight="1">
      <c r="B204" s="20">
        <v>2500201</v>
      </c>
      <c r="C204" s="20" t="s">
        <v>44</v>
      </c>
      <c r="D204" s="40">
        <v>43669</v>
      </c>
      <c r="E204" s="29" t="s">
        <v>9</v>
      </c>
      <c r="F204" s="25">
        <v>2</v>
      </c>
      <c r="G204" s="21">
        <v>18.5</v>
      </c>
      <c r="H204" s="21">
        <f t="shared" si="3"/>
        <v>37</v>
      </c>
      <c r="I204" s="29" t="s">
        <v>15</v>
      </c>
      <c r="J204" s="29" t="s">
        <v>16</v>
      </c>
      <c r="K204" s="19" t="s">
        <v>34</v>
      </c>
    </row>
    <row r="205" spans="2:11" ht="19.899999999999999" customHeight="1">
      <c r="B205" s="20">
        <v>2500202</v>
      </c>
      <c r="C205" s="20" t="s">
        <v>41</v>
      </c>
      <c r="D205" s="40">
        <v>43670</v>
      </c>
      <c r="E205" s="29" t="s">
        <v>24</v>
      </c>
      <c r="F205" s="25">
        <v>10</v>
      </c>
      <c r="G205" s="21">
        <v>25.5</v>
      </c>
      <c r="H205" s="21">
        <f t="shared" si="3"/>
        <v>255</v>
      </c>
      <c r="I205" s="29" t="s">
        <v>25</v>
      </c>
      <c r="J205" s="29" t="s">
        <v>23</v>
      </c>
      <c r="K205" s="19" t="s">
        <v>37</v>
      </c>
    </row>
    <row r="206" spans="2:11" ht="19.899999999999999" customHeight="1">
      <c r="B206" s="20">
        <v>2500203</v>
      </c>
      <c r="C206" s="20" t="s">
        <v>46</v>
      </c>
      <c r="D206" s="40">
        <v>43671</v>
      </c>
      <c r="E206" s="29" t="s">
        <v>21</v>
      </c>
      <c r="F206" s="25">
        <v>7</v>
      </c>
      <c r="G206" s="21">
        <v>48</v>
      </c>
      <c r="H206" s="21">
        <f t="shared" si="3"/>
        <v>336</v>
      </c>
      <c r="I206" s="29" t="s">
        <v>25</v>
      </c>
      <c r="J206" s="29" t="s">
        <v>23</v>
      </c>
      <c r="K206" s="19" t="s">
        <v>37</v>
      </c>
    </row>
    <row r="207" spans="2:11" ht="19.899999999999999" customHeight="1">
      <c r="B207" s="20">
        <v>2500204</v>
      </c>
      <c r="C207" s="20" t="s">
        <v>41</v>
      </c>
      <c r="D207" s="40">
        <v>43672</v>
      </c>
      <c r="E207" s="29" t="s">
        <v>20</v>
      </c>
      <c r="F207" s="25">
        <v>6</v>
      </c>
      <c r="G207" s="21">
        <v>36</v>
      </c>
      <c r="H207" s="21">
        <f t="shared" si="3"/>
        <v>216</v>
      </c>
      <c r="I207" s="29" t="s">
        <v>28</v>
      </c>
      <c r="J207" s="29" t="s">
        <v>30</v>
      </c>
      <c r="K207" s="19" t="s">
        <v>33</v>
      </c>
    </row>
    <row r="208" spans="2:11" ht="19.899999999999999" customHeight="1">
      <c r="B208" s="20">
        <v>2500205</v>
      </c>
      <c r="C208" s="20" t="s">
        <v>41</v>
      </c>
      <c r="D208" s="40">
        <v>43673</v>
      </c>
      <c r="E208" s="29" t="s">
        <v>20</v>
      </c>
      <c r="F208" s="25">
        <v>1</v>
      </c>
      <c r="G208" s="21">
        <v>36</v>
      </c>
      <c r="H208" s="21">
        <f t="shared" si="3"/>
        <v>36</v>
      </c>
      <c r="I208" s="29" t="s">
        <v>13</v>
      </c>
      <c r="J208" s="29" t="s">
        <v>14</v>
      </c>
      <c r="K208" s="19" t="s">
        <v>33</v>
      </c>
    </row>
    <row r="209" spans="2:11" ht="19.899999999999999" customHeight="1">
      <c r="B209" s="20">
        <v>2500206</v>
      </c>
      <c r="C209" s="20" t="s">
        <v>48</v>
      </c>
      <c r="D209" s="40">
        <v>43674</v>
      </c>
      <c r="E209" s="29" t="s">
        <v>12</v>
      </c>
      <c r="F209" s="25">
        <v>5</v>
      </c>
      <c r="G209" s="21">
        <v>32</v>
      </c>
      <c r="H209" s="21">
        <f t="shared" si="3"/>
        <v>160</v>
      </c>
      <c r="I209" s="29" t="s">
        <v>28</v>
      </c>
      <c r="J209" s="29" t="s">
        <v>30</v>
      </c>
      <c r="K209" s="19" t="s">
        <v>33</v>
      </c>
    </row>
    <row r="210" spans="2:11" ht="19.899999999999999" customHeight="1">
      <c r="B210" s="20">
        <v>2500207</v>
      </c>
      <c r="C210" s="20" t="s">
        <v>46</v>
      </c>
      <c r="D210" s="40">
        <v>43675</v>
      </c>
      <c r="E210" s="29" t="s">
        <v>27</v>
      </c>
      <c r="F210" s="25">
        <v>6</v>
      </c>
      <c r="G210" s="21">
        <v>15.5</v>
      </c>
      <c r="H210" s="21">
        <f t="shared" si="3"/>
        <v>93</v>
      </c>
      <c r="I210" s="29" t="s">
        <v>13</v>
      </c>
      <c r="J210" s="29" t="s">
        <v>14</v>
      </c>
      <c r="K210" s="19" t="s">
        <v>33</v>
      </c>
    </row>
    <row r="211" spans="2:11" ht="19.899999999999999" customHeight="1">
      <c r="B211" s="20">
        <v>2500208</v>
      </c>
      <c r="C211" s="20" t="s">
        <v>44</v>
      </c>
      <c r="D211" s="40">
        <v>43676</v>
      </c>
      <c r="E211" s="29" t="s">
        <v>9</v>
      </c>
      <c r="F211" s="25">
        <v>8</v>
      </c>
      <c r="G211" s="21">
        <v>18.5</v>
      </c>
      <c r="H211" s="21">
        <f t="shared" si="3"/>
        <v>148</v>
      </c>
      <c r="I211" s="29" t="s">
        <v>15</v>
      </c>
      <c r="J211" s="29" t="s">
        <v>16</v>
      </c>
      <c r="K211" s="19" t="s">
        <v>34</v>
      </c>
    </row>
    <row r="212" spans="2:11" ht="19.899999999999999" customHeight="1">
      <c r="B212" s="20">
        <v>2500209</v>
      </c>
      <c r="C212" s="20" t="s">
        <v>46</v>
      </c>
      <c r="D212" s="40">
        <v>43677</v>
      </c>
      <c r="E212" s="29" t="s">
        <v>20</v>
      </c>
      <c r="F212" s="25">
        <v>8</v>
      </c>
      <c r="G212" s="21">
        <v>36</v>
      </c>
      <c r="H212" s="21">
        <f t="shared" si="3"/>
        <v>288</v>
      </c>
      <c r="I212" s="29" t="s">
        <v>17</v>
      </c>
      <c r="J212" s="29" t="s">
        <v>18</v>
      </c>
      <c r="K212" s="19" t="s">
        <v>35</v>
      </c>
    </row>
    <row r="213" spans="2:11" ht="19.899999999999999" customHeight="1">
      <c r="B213" s="20">
        <v>2500210</v>
      </c>
      <c r="C213" s="20" t="s">
        <v>49</v>
      </c>
      <c r="D213" s="40">
        <v>43678</v>
      </c>
      <c r="E213" s="29" t="s">
        <v>9</v>
      </c>
      <c r="F213" s="25">
        <v>1</v>
      </c>
      <c r="G213" s="21">
        <v>18.5</v>
      </c>
      <c r="H213" s="21">
        <f t="shared" si="3"/>
        <v>18.5</v>
      </c>
      <c r="I213" s="29" t="s">
        <v>25</v>
      </c>
      <c r="J213" s="29" t="s">
        <v>23</v>
      </c>
      <c r="K213" s="19" t="s">
        <v>37</v>
      </c>
    </row>
    <row r="214" spans="2:11" ht="19.899999999999999" customHeight="1">
      <c r="B214" s="20">
        <v>2500211</v>
      </c>
      <c r="C214" s="20" t="s">
        <v>42</v>
      </c>
      <c r="D214" s="40">
        <v>43679</v>
      </c>
      <c r="E214" s="29" t="s">
        <v>9</v>
      </c>
      <c r="F214" s="25">
        <v>10</v>
      </c>
      <c r="G214" s="21">
        <v>18.5</v>
      </c>
      <c r="H214" s="21">
        <f t="shared" si="3"/>
        <v>185</v>
      </c>
      <c r="I214" s="29" t="s">
        <v>13</v>
      </c>
      <c r="J214" s="29" t="s">
        <v>14</v>
      </c>
      <c r="K214" s="19" t="s">
        <v>33</v>
      </c>
    </row>
    <row r="215" spans="2:11" ht="19.899999999999999" customHeight="1">
      <c r="B215" s="20">
        <v>2500212</v>
      </c>
      <c r="C215" s="20" t="s">
        <v>42</v>
      </c>
      <c r="D215" s="40">
        <v>43680</v>
      </c>
      <c r="E215" s="29" t="s">
        <v>20</v>
      </c>
      <c r="F215" s="25">
        <v>9</v>
      </c>
      <c r="G215" s="21">
        <v>36</v>
      </c>
      <c r="H215" s="21">
        <f t="shared" si="3"/>
        <v>324</v>
      </c>
      <c r="I215" s="29" t="s">
        <v>15</v>
      </c>
      <c r="J215" s="29" t="s">
        <v>16</v>
      </c>
      <c r="K215" s="19" t="s">
        <v>34</v>
      </c>
    </row>
    <row r="216" spans="2:11" ht="19.899999999999999" customHeight="1">
      <c r="B216" s="20">
        <v>2500213</v>
      </c>
      <c r="C216" s="20" t="s">
        <v>45</v>
      </c>
      <c r="D216" s="40">
        <v>43681</v>
      </c>
      <c r="E216" s="29" t="s">
        <v>9</v>
      </c>
      <c r="F216" s="25">
        <v>7</v>
      </c>
      <c r="G216" s="21">
        <v>18.5</v>
      </c>
      <c r="H216" s="21">
        <f t="shared" si="3"/>
        <v>129.5</v>
      </c>
      <c r="I216" s="29" t="s">
        <v>26</v>
      </c>
      <c r="J216" s="29" t="s">
        <v>29</v>
      </c>
      <c r="K216" s="19" t="s">
        <v>38</v>
      </c>
    </row>
    <row r="217" spans="2:11" ht="19.899999999999999" customHeight="1">
      <c r="B217" s="20">
        <v>2500214</v>
      </c>
      <c r="C217" s="20" t="s">
        <v>47</v>
      </c>
      <c r="D217" s="40">
        <v>43682</v>
      </c>
      <c r="E217" s="29" t="s">
        <v>12</v>
      </c>
      <c r="F217" s="25">
        <v>8</v>
      </c>
      <c r="G217" s="21">
        <v>32</v>
      </c>
      <c r="H217" s="21">
        <f t="shared" si="3"/>
        <v>256</v>
      </c>
      <c r="I217" s="29" t="s">
        <v>22</v>
      </c>
      <c r="J217" s="29" t="s">
        <v>19</v>
      </c>
      <c r="K217" s="19" t="s">
        <v>36</v>
      </c>
    </row>
    <row r="218" spans="2:11" ht="19.899999999999999" customHeight="1">
      <c r="B218" s="20">
        <v>2500215</v>
      </c>
      <c r="C218" s="20" t="s">
        <v>40</v>
      </c>
      <c r="D218" s="40">
        <v>43683</v>
      </c>
      <c r="E218" s="29" t="s">
        <v>9</v>
      </c>
      <c r="F218" s="25">
        <v>9</v>
      </c>
      <c r="G218" s="21">
        <v>18.5</v>
      </c>
      <c r="H218" s="21">
        <f t="shared" si="3"/>
        <v>166.5</v>
      </c>
      <c r="I218" s="29" t="s">
        <v>15</v>
      </c>
      <c r="J218" s="29" t="s">
        <v>16</v>
      </c>
      <c r="K218" s="19" t="s">
        <v>34</v>
      </c>
    </row>
    <row r="219" spans="2:11" ht="19.899999999999999" customHeight="1">
      <c r="B219" s="20">
        <v>2500216</v>
      </c>
      <c r="C219" s="20" t="s">
        <v>45</v>
      </c>
      <c r="D219" s="40">
        <v>43684</v>
      </c>
      <c r="E219" s="29" t="s">
        <v>9</v>
      </c>
      <c r="F219" s="25">
        <v>4</v>
      </c>
      <c r="G219" s="21">
        <v>18.5</v>
      </c>
      <c r="H219" s="21">
        <f t="shared" si="3"/>
        <v>74</v>
      </c>
      <c r="I219" s="29" t="s">
        <v>13</v>
      </c>
      <c r="J219" s="29" t="s">
        <v>14</v>
      </c>
      <c r="K219" s="19" t="s">
        <v>33</v>
      </c>
    </row>
    <row r="220" spans="2:11" ht="19.899999999999999" customHeight="1">
      <c r="B220" s="20">
        <v>2500217</v>
      </c>
      <c r="C220" s="20" t="s">
        <v>48</v>
      </c>
      <c r="D220" s="40">
        <v>43685</v>
      </c>
      <c r="E220" s="29" t="s">
        <v>12</v>
      </c>
      <c r="F220" s="25">
        <v>10</v>
      </c>
      <c r="G220" s="21">
        <v>32</v>
      </c>
      <c r="H220" s="21">
        <f t="shared" si="3"/>
        <v>320</v>
      </c>
      <c r="I220" s="29" t="s">
        <v>15</v>
      </c>
      <c r="J220" s="29" t="s">
        <v>16</v>
      </c>
      <c r="K220" s="19" t="s">
        <v>34</v>
      </c>
    </row>
    <row r="221" spans="2:11" ht="19.899999999999999" customHeight="1">
      <c r="B221" s="20">
        <v>2500218</v>
      </c>
      <c r="C221" s="20" t="s">
        <v>47</v>
      </c>
      <c r="D221" s="40">
        <v>43686</v>
      </c>
      <c r="E221" s="29" t="s">
        <v>20</v>
      </c>
      <c r="F221" s="25">
        <v>8</v>
      </c>
      <c r="G221" s="21">
        <v>36</v>
      </c>
      <c r="H221" s="21">
        <f t="shared" si="3"/>
        <v>288</v>
      </c>
      <c r="I221" s="29" t="s">
        <v>17</v>
      </c>
      <c r="J221" s="29" t="s">
        <v>18</v>
      </c>
      <c r="K221" s="19" t="s">
        <v>35</v>
      </c>
    </row>
    <row r="222" spans="2:11" ht="19.899999999999999" customHeight="1">
      <c r="B222" s="20">
        <v>2500225</v>
      </c>
      <c r="C222" s="20" t="s">
        <v>41</v>
      </c>
      <c r="D222" s="40">
        <v>43687</v>
      </c>
      <c r="E222" s="29" t="s">
        <v>9</v>
      </c>
      <c r="F222" s="25">
        <v>6</v>
      </c>
      <c r="G222" s="21">
        <v>18.5</v>
      </c>
      <c r="H222" s="21">
        <f t="shared" si="3"/>
        <v>111</v>
      </c>
      <c r="I222" s="29" t="s">
        <v>26</v>
      </c>
      <c r="J222" s="29" t="s">
        <v>29</v>
      </c>
      <c r="K222" s="19" t="s">
        <v>38</v>
      </c>
    </row>
    <row r="223" spans="2:11" ht="19.899999999999999" customHeight="1">
      <c r="B223" s="20">
        <v>2500220</v>
      </c>
      <c r="C223" s="20" t="s">
        <v>49</v>
      </c>
      <c r="D223" s="40">
        <v>43688</v>
      </c>
      <c r="E223" s="29" t="s">
        <v>20</v>
      </c>
      <c r="F223" s="25">
        <v>1</v>
      </c>
      <c r="G223" s="21">
        <v>36</v>
      </c>
      <c r="H223" s="21">
        <f t="shared" si="3"/>
        <v>36</v>
      </c>
      <c r="I223" s="29" t="s">
        <v>28</v>
      </c>
      <c r="J223" s="29" t="s">
        <v>30</v>
      </c>
      <c r="K223" s="19" t="s">
        <v>33</v>
      </c>
    </row>
    <row r="224" spans="2:11" ht="19.899999999999999" customHeight="1">
      <c r="B224" s="20">
        <v>2500221</v>
      </c>
      <c r="C224" s="20" t="s">
        <v>49</v>
      </c>
      <c r="D224" s="40">
        <v>43689</v>
      </c>
      <c r="E224" s="29" t="s">
        <v>21</v>
      </c>
      <c r="F224" s="25">
        <v>3</v>
      </c>
      <c r="G224" s="21">
        <v>48</v>
      </c>
      <c r="H224" s="21">
        <f t="shared" si="3"/>
        <v>144</v>
      </c>
      <c r="I224" s="29" t="s">
        <v>26</v>
      </c>
      <c r="J224" s="29" t="s">
        <v>29</v>
      </c>
      <c r="K224" s="19" t="s">
        <v>38</v>
      </c>
    </row>
    <row r="225" spans="2:11" ht="19.899999999999999" customHeight="1">
      <c r="B225" s="20">
        <v>2500222</v>
      </c>
      <c r="C225" s="20" t="s">
        <v>49</v>
      </c>
      <c r="D225" s="40">
        <v>43690</v>
      </c>
      <c r="E225" s="29" t="s">
        <v>9</v>
      </c>
      <c r="F225" s="25">
        <v>7</v>
      </c>
      <c r="G225" s="21">
        <v>18.5</v>
      </c>
      <c r="H225" s="21">
        <f t="shared" si="3"/>
        <v>129.5</v>
      </c>
      <c r="I225" s="29" t="s">
        <v>22</v>
      </c>
      <c r="J225" s="29" t="s">
        <v>19</v>
      </c>
      <c r="K225" s="19" t="s">
        <v>36</v>
      </c>
    </row>
    <row r="226" spans="2:11" ht="19.899999999999999" customHeight="1">
      <c r="B226" s="20">
        <v>2500223</v>
      </c>
      <c r="C226" s="20" t="s">
        <v>44</v>
      </c>
      <c r="D226" s="40">
        <v>43691</v>
      </c>
      <c r="E226" s="29" t="s">
        <v>24</v>
      </c>
      <c r="F226" s="25">
        <v>8</v>
      </c>
      <c r="G226" s="21">
        <v>25.5</v>
      </c>
      <c r="H226" s="21">
        <f t="shared" si="3"/>
        <v>204</v>
      </c>
      <c r="I226" s="29" t="s">
        <v>13</v>
      </c>
      <c r="J226" s="29" t="s">
        <v>14</v>
      </c>
      <c r="K226" s="19" t="s">
        <v>33</v>
      </c>
    </row>
    <row r="227" spans="2:11" ht="19.899999999999999" customHeight="1">
      <c r="B227" s="20">
        <v>2500224</v>
      </c>
      <c r="C227" s="20" t="s">
        <v>40</v>
      </c>
      <c r="D227" s="40">
        <v>43692</v>
      </c>
      <c r="E227" s="29" t="s">
        <v>20</v>
      </c>
      <c r="F227" s="25">
        <v>10</v>
      </c>
      <c r="G227" s="21">
        <v>36</v>
      </c>
      <c r="H227" s="21">
        <f t="shared" si="3"/>
        <v>360</v>
      </c>
      <c r="I227" s="29" t="s">
        <v>28</v>
      </c>
      <c r="J227" s="29" t="s">
        <v>30</v>
      </c>
      <c r="K227" s="19" t="s">
        <v>33</v>
      </c>
    </row>
    <row r="228" spans="2:11" ht="19.899999999999999" customHeight="1">
      <c r="B228" s="20">
        <v>2500225</v>
      </c>
      <c r="C228" s="20" t="s">
        <v>48</v>
      </c>
      <c r="D228" s="40">
        <v>43693</v>
      </c>
      <c r="E228" s="29" t="s">
        <v>24</v>
      </c>
      <c r="F228" s="25">
        <v>1</v>
      </c>
      <c r="G228" s="21">
        <v>25.5</v>
      </c>
      <c r="H228" s="21">
        <f t="shared" si="3"/>
        <v>25.5</v>
      </c>
      <c r="I228" s="29" t="s">
        <v>26</v>
      </c>
      <c r="J228" s="29" t="s">
        <v>29</v>
      </c>
      <c r="K228" s="19" t="s">
        <v>38</v>
      </c>
    </row>
    <row r="229" spans="2:11" ht="19.899999999999999" customHeight="1">
      <c r="B229" s="20">
        <v>2500226</v>
      </c>
      <c r="C229" s="20" t="s">
        <v>45</v>
      </c>
      <c r="D229" s="40">
        <v>43694</v>
      </c>
      <c r="E229" s="29" t="s">
        <v>21</v>
      </c>
      <c r="F229" s="25">
        <v>1</v>
      </c>
      <c r="G229" s="21">
        <v>48</v>
      </c>
      <c r="H229" s="21">
        <f t="shared" si="3"/>
        <v>48</v>
      </c>
      <c r="I229" s="29" t="s">
        <v>25</v>
      </c>
      <c r="J229" s="29" t="s">
        <v>23</v>
      </c>
      <c r="K229" s="19" t="s">
        <v>37</v>
      </c>
    </row>
    <row r="230" spans="2:11" ht="19.899999999999999" customHeight="1">
      <c r="B230" s="20">
        <v>2500227</v>
      </c>
      <c r="C230" s="20" t="s">
        <v>41</v>
      </c>
      <c r="D230" s="40">
        <v>43695</v>
      </c>
      <c r="E230" s="29" t="s">
        <v>12</v>
      </c>
      <c r="F230" s="25">
        <v>8</v>
      </c>
      <c r="G230" s="21">
        <v>32</v>
      </c>
      <c r="H230" s="21">
        <f t="shared" si="3"/>
        <v>256</v>
      </c>
      <c r="I230" s="29" t="s">
        <v>28</v>
      </c>
      <c r="J230" s="29" t="s">
        <v>30</v>
      </c>
      <c r="K230" s="19" t="s">
        <v>33</v>
      </c>
    </row>
    <row r="231" spans="2:11" ht="19.899999999999999" customHeight="1">
      <c r="B231" s="20">
        <v>2500228</v>
      </c>
      <c r="C231" s="20" t="s">
        <v>40</v>
      </c>
      <c r="D231" s="40">
        <v>43696</v>
      </c>
      <c r="E231" s="29" t="s">
        <v>20</v>
      </c>
      <c r="F231" s="25">
        <v>3</v>
      </c>
      <c r="G231" s="21">
        <v>36</v>
      </c>
      <c r="H231" s="21">
        <f t="shared" si="3"/>
        <v>108</v>
      </c>
      <c r="I231" s="29" t="s">
        <v>17</v>
      </c>
      <c r="J231" s="29" t="s">
        <v>18</v>
      </c>
      <c r="K231" s="19" t="s">
        <v>35</v>
      </c>
    </row>
    <row r="232" spans="2:11" ht="19.899999999999999" customHeight="1">
      <c r="B232" s="20">
        <v>2500229</v>
      </c>
      <c r="C232" s="20" t="s">
        <v>49</v>
      </c>
      <c r="D232" s="40">
        <v>43697</v>
      </c>
      <c r="E232" s="29" t="s">
        <v>21</v>
      </c>
      <c r="F232" s="25">
        <v>1</v>
      </c>
      <c r="G232" s="21">
        <v>48</v>
      </c>
      <c r="H232" s="21">
        <f t="shared" si="3"/>
        <v>48</v>
      </c>
      <c r="I232" s="29" t="s">
        <v>25</v>
      </c>
      <c r="J232" s="29" t="s">
        <v>23</v>
      </c>
      <c r="K232" s="19" t="s">
        <v>37</v>
      </c>
    </row>
    <row r="233" spans="2:11" ht="19.899999999999999" customHeight="1">
      <c r="B233" s="20">
        <v>2500230</v>
      </c>
      <c r="C233" s="20" t="s">
        <v>43</v>
      </c>
      <c r="D233" s="40">
        <v>43698</v>
      </c>
      <c r="E233" s="29" t="s">
        <v>21</v>
      </c>
      <c r="F233" s="25">
        <v>10</v>
      </c>
      <c r="G233" s="21">
        <v>48</v>
      </c>
      <c r="H233" s="21">
        <f t="shared" si="3"/>
        <v>480</v>
      </c>
      <c r="I233" s="29" t="s">
        <v>15</v>
      </c>
      <c r="J233" s="29" t="s">
        <v>16</v>
      </c>
      <c r="K233" s="19" t="s">
        <v>34</v>
      </c>
    </row>
    <row r="234" spans="2:11" ht="19.899999999999999" customHeight="1">
      <c r="B234" s="20">
        <v>2500231</v>
      </c>
      <c r="C234" s="20" t="s">
        <v>45</v>
      </c>
      <c r="D234" s="40">
        <v>43699</v>
      </c>
      <c r="E234" s="29" t="s">
        <v>9</v>
      </c>
      <c r="F234" s="25">
        <v>9</v>
      </c>
      <c r="G234" s="21">
        <v>18.5</v>
      </c>
      <c r="H234" s="21">
        <f t="shared" si="3"/>
        <v>166.5</v>
      </c>
      <c r="I234" s="29" t="s">
        <v>28</v>
      </c>
      <c r="J234" s="29" t="s">
        <v>30</v>
      </c>
      <c r="K234" s="19" t="s">
        <v>33</v>
      </c>
    </row>
    <row r="235" spans="2:11" ht="19.899999999999999" customHeight="1">
      <c r="B235" s="20">
        <v>2500232</v>
      </c>
      <c r="C235" s="20" t="s">
        <v>43</v>
      </c>
      <c r="D235" s="40">
        <v>43700</v>
      </c>
      <c r="E235" s="29" t="s">
        <v>9</v>
      </c>
      <c r="F235" s="25">
        <v>10</v>
      </c>
      <c r="G235" s="21">
        <v>18.5</v>
      </c>
      <c r="H235" s="21">
        <f t="shared" si="3"/>
        <v>185</v>
      </c>
      <c r="I235" s="29" t="s">
        <v>17</v>
      </c>
      <c r="J235" s="29" t="s">
        <v>18</v>
      </c>
      <c r="K235" s="19" t="s">
        <v>35</v>
      </c>
    </row>
    <row r="236" spans="2:11" ht="19.899999999999999" customHeight="1">
      <c r="B236" s="20">
        <v>2500233</v>
      </c>
      <c r="C236" s="20" t="s">
        <v>40</v>
      </c>
      <c r="D236" s="40">
        <v>43701</v>
      </c>
      <c r="E236" s="29" t="s">
        <v>20</v>
      </c>
      <c r="F236" s="25">
        <v>4</v>
      </c>
      <c r="G236" s="21">
        <v>36</v>
      </c>
      <c r="H236" s="21">
        <f t="shared" si="3"/>
        <v>144</v>
      </c>
      <c r="I236" s="29" t="s">
        <v>25</v>
      </c>
      <c r="J236" s="29" t="s">
        <v>23</v>
      </c>
      <c r="K236" s="19" t="s">
        <v>37</v>
      </c>
    </row>
    <row r="237" spans="2:11" ht="19.899999999999999" customHeight="1">
      <c r="B237" s="20">
        <v>2500234</v>
      </c>
      <c r="C237" s="20" t="s">
        <v>43</v>
      </c>
      <c r="D237" s="40">
        <v>43702</v>
      </c>
      <c r="E237" s="29" t="s">
        <v>12</v>
      </c>
      <c r="F237" s="25">
        <v>10</v>
      </c>
      <c r="G237" s="21">
        <v>32</v>
      </c>
      <c r="H237" s="21">
        <f t="shared" si="3"/>
        <v>320</v>
      </c>
      <c r="I237" s="29" t="s">
        <v>15</v>
      </c>
      <c r="J237" s="29" t="s">
        <v>16</v>
      </c>
      <c r="K237" s="19" t="s">
        <v>34</v>
      </c>
    </row>
    <row r="238" spans="2:11" ht="19.899999999999999" customHeight="1">
      <c r="B238" s="20">
        <v>2500235</v>
      </c>
      <c r="C238" s="20" t="s">
        <v>46</v>
      </c>
      <c r="D238" s="40">
        <v>43703</v>
      </c>
      <c r="E238" s="29" t="s">
        <v>27</v>
      </c>
      <c r="F238" s="25">
        <v>10</v>
      </c>
      <c r="G238" s="21">
        <v>15.5</v>
      </c>
      <c r="H238" s="21">
        <f t="shared" si="3"/>
        <v>155</v>
      </c>
      <c r="I238" s="29" t="s">
        <v>22</v>
      </c>
      <c r="J238" s="29" t="s">
        <v>19</v>
      </c>
      <c r="K238" s="19" t="s">
        <v>36</v>
      </c>
    </row>
    <row r="239" spans="2:11" ht="19.899999999999999" customHeight="1">
      <c r="B239" s="20">
        <v>2500236</v>
      </c>
      <c r="C239" s="20" t="s">
        <v>41</v>
      </c>
      <c r="D239" s="40">
        <v>43704</v>
      </c>
      <c r="E239" s="29" t="s">
        <v>21</v>
      </c>
      <c r="F239" s="25">
        <v>10</v>
      </c>
      <c r="G239" s="21">
        <v>48</v>
      </c>
      <c r="H239" s="21">
        <f t="shared" si="3"/>
        <v>480</v>
      </c>
      <c r="I239" s="29" t="s">
        <v>25</v>
      </c>
      <c r="J239" s="29" t="s">
        <v>23</v>
      </c>
      <c r="K239" s="19" t="s">
        <v>37</v>
      </c>
    </row>
    <row r="240" spans="2:11" ht="19.899999999999999" customHeight="1">
      <c r="B240" s="20">
        <v>2500237</v>
      </c>
      <c r="C240" s="20" t="s">
        <v>41</v>
      </c>
      <c r="D240" s="40">
        <v>43705</v>
      </c>
      <c r="E240" s="29" t="s">
        <v>21</v>
      </c>
      <c r="F240" s="25">
        <v>10</v>
      </c>
      <c r="G240" s="21">
        <v>48</v>
      </c>
      <c r="H240" s="21">
        <f t="shared" si="3"/>
        <v>480</v>
      </c>
      <c r="I240" s="29" t="s">
        <v>13</v>
      </c>
      <c r="J240" s="29" t="s">
        <v>14</v>
      </c>
      <c r="K240" s="19" t="s">
        <v>33</v>
      </c>
    </row>
    <row r="241" spans="2:11" ht="19.899999999999999" customHeight="1">
      <c r="B241" s="20">
        <v>2500238</v>
      </c>
      <c r="C241" s="20" t="s">
        <v>49</v>
      </c>
      <c r="D241" s="40">
        <v>43706</v>
      </c>
      <c r="E241" s="29" t="s">
        <v>12</v>
      </c>
      <c r="F241" s="25">
        <v>8</v>
      </c>
      <c r="G241" s="21">
        <v>32</v>
      </c>
      <c r="H241" s="21">
        <f t="shared" si="3"/>
        <v>256</v>
      </c>
      <c r="I241" s="29" t="s">
        <v>28</v>
      </c>
      <c r="J241" s="29" t="s">
        <v>30</v>
      </c>
      <c r="K241" s="19" t="s">
        <v>33</v>
      </c>
    </row>
    <row r="242" spans="2:11" ht="19.899999999999999" customHeight="1">
      <c r="B242" s="20">
        <v>2500239</v>
      </c>
      <c r="C242" s="20" t="s">
        <v>46</v>
      </c>
      <c r="D242" s="40">
        <v>43707</v>
      </c>
      <c r="E242" s="29" t="s">
        <v>21</v>
      </c>
      <c r="F242" s="25">
        <v>2</v>
      </c>
      <c r="G242" s="21">
        <v>48</v>
      </c>
      <c r="H242" s="21">
        <f t="shared" si="3"/>
        <v>96</v>
      </c>
      <c r="I242" s="29" t="s">
        <v>26</v>
      </c>
      <c r="J242" s="29" t="s">
        <v>29</v>
      </c>
      <c r="K242" s="19" t="s">
        <v>38</v>
      </c>
    </row>
    <row r="243" spans="2:11" ht="19.899999999999999" customHeight="1">
      <c r="B243" s="20">
        <v>2500240</v>
      </c>
      <c r="C243" s="20" t="s">
        <v>42</v>
      </c>
      <c r="D243" s="40">
        <v>43708</v>
      </c>
      <c r="E243" s="29" t="s">
        <v>24</v>
      </c>
      <c r="F243" s="25">
        <v>10</v>
      </c>
      <c r="G243" s="21">
        <v>25.5</v>
      </c>
      <c r="H243" s="21">
        <f t="shared" si="3"/>
        <v>255</v>
      </c>
      <c r="I243" s="29" t="s">
        <v>10</v>
      </c>
      <c r="J243" s="29" t="s">
        <v>11</v>
      </c>
      <c r="K243" s="19" t="s">
        <v>32</v>
      </c>
    </row>
    <row r="244" spans="2:11" ht="19.899999999999999" customHeight="1">
      <c r="B244" s="20">
        <v>2500241</v>
      </c>
      <c r="C244" s="20" t="s">
        <v>44</v>
      </c>
      <c r="D244" s="40">
        <v>43709</v>
      </c>
      <c r="E244" s="29" t="s">
        <v>20</v>
      </c>
      <c r="F244" s="25">
        <v>3</v>
      </c>
      <c r="G244" s="21">
        <v>36</v>
      </c>
      <c r="H244" s="21">
        <f t="shared" si="3"/>
        <v>108</v>
      </c>
      <c r="I244" s="29" t="s">
        <v>13</v>
      </c>
      <c r="J244" s="29" t="s">
        <v>14</v>
      </c>
      <c r="K244" s="19" t="s">
        <v>33</v>
      </c>
    </row>
    <row r="245" spans="2:11" ht="19.899999999999999" customHeight="1">
      <c r="B245" s="20">
        <v>2500242</v>
      </c>
      <c r="C245" s="20" t="s">
        <v>47</v>
      </c>
      <c r="D245" s="40">
        <v>43710</v>
      </c>
      <c r="E245" s="29" t="s">
        <v>9</v>
      </c>
      <c r="F245" s="25">
        <v>6</v>
      </c>
      <c r="G245" s="21">
        <v>18.5</v>
      </c>
      <c r="H245" s="21">
        <f t="shared" si="3"/>
        <v>111</v>
      </c>
      <c r="I245" s="29" t="s">
        <v>25</v>
      </c>
      <c r="J245" s="29" t="s">
        <v>23</v>
      </c>
      <c r="K245" s="19" t="s">
        <v>37</v>
      </c>
    </row>
    <row r="246" spans="2:11" ht="19.899999999999999" customHeight="1">
      <c r="B246" s="20">
        <v>2500243</v>
      </c>
      <c r="C246" s="20" t="s">
        <v>40</v>
      </c>
      <c r="D246" s="40">
        <v>43711</v>
      </c>
      <c r="E246" s="29" t="s">
        <v>24</v>
      </c>
      <c r="F246" s="25">
        <v>5</v>
      </c>
      <c r="G246" s="21">
        <v>25.5</v>
      </c>
      <c r="H246" s="21">
        <f t="shared" si="3"/>
        <v>127.5</v>
      </c>
      <c r="I246" s="29" t="s">
        <v>28</v>
      </c>
      <c r="J246" s="29" t="s">
        <v>30</v>
      </c>
      <c r="K246" s="19" t="s">
        <v>33</v>
      </c>
    </row>
    <row r="247" spans="2:11" ht="19.899999999999999" customHeight="1">
      <c r="B247" s="20">
        <v>2500244</v>
      </c>
      <c r="C247" s="20" t="s">
        <v>42</v>
      </c>
      <c r="D247" s="40">
        <v>43712</v>
      </c>
      <c r="E247" s="29" t="s">
        <v>21</v>
      </c>
      <c r="F247" s="25">
        <v>4</v>
      </c>
      <c r="G247" s="21">
        <v>48</v>
      </c>
      <c r="H247" s="21">
        <f t="shared" si="3"/>
        <v>192</v>
      </c>
      <c r="I247" s="29" t="s">
        <v>17</v>
      </c>
      <c r="J247" s="29" t="s">
        <v>18</v>
      </c>
      <c r="K247" s="19" t="s">
        <v>35</v>
      </c>
    </row>
    <row r="248" spans="2:11" ht="19.899999999999999" customHeight="1">
      <c r="B248" s="20">
        <v>2500245</v>
      </c>
      <c r="C248" s="20" t="s">
        <v>45</v>
      </c>
      <c r="D248" s="40">
        <v>43713</v>
      </c>
      <c r="E248" s="29" t="s">
        <v>27</v>
      </c>
      <c r="F248" s="25">
        <v>7</v>
      </c>
      <c r="G248" s="21">
        <v>15.5</v>
      </c>
      <c r="H248" s="21">
        <f t="shared" si="3"/>
        <v>108.5</v>
      </c>
      <c r="I248" s="29" t="s">
        <v>22</v>
      </c>
      <c r="J248" s="29" t="s">
        <v>19</v>
      </c>
      <c r="K248" s="19" t="s">
        <v>36</v>
      </c>
    </row>
    <row r="249" spans="2:11" ht="19.899999999999999" customHeight="1">
      <c r="B249" s="20">
        <v>2500246</v>
      </c>
      <c r="C249" s="20" t="s">
        <v>48</v>
      </c>
      <c r="D249" s="40">
        <v>43714</v>
      </c>
      <c r="E249" s="29" t="s">
        <v>9</v>
      </c>
      <c r="F249" s="25">
        <v>7</v>
      </c>
      <c r="G249" s="21">
        <v>18.5</v>
      </c>
      <c r="H249" s="21">
        <f t="shared" si="3"/>
        <v>129.5</v>
      </c>
      <c r="I249" s="29" t="s">
        <v>10</v>
      </c>
      <c r="J249" s="29" t="s">
        <v>11</v>
      </c>
      <c r="K249" s="19" t="s">
        <v>32</v>
      </c>
    </row>
    <row r="250" spans="2:11" ht="19.899999999999999" customHeight="1">
      <c r="B250" s="20">
        <v>2500247</v>
      </c>
      <c r="C250" s="20" t="s">
        <v>46</v>
      </c>
      <c r="D250" s="40">
        <v>43715</v>
      </c>
      <c r="E250" s="29" t="s">
        <v>20</v>
      </c>
      <c r="F250" s="25">
        <v>4</v>
      </c>
      <c r="G250" s="21">
        <v>36</v>
      </c>
      <c r="H250" s="21">
        <f t="shared" si="3"/>
        <v>144</v>
      </c>
      <c r="I250" s="29" t="s">
        <v>17</v>
      </c>
      <c r="J250" s="29" t="s">
        <v>18</v>
      </c>
      <c r="K250" s="19" t="s">
        <v>35</v>
      </c>
    </row>
    <row r="251" spans="2:11" ht="19.899999999999999" customHeight="1">
      <c r="B251" s="20">
        <v>2500248</v>
      </c>
      <c r="C251" s="20" t="s">
        <v>44</v>
      </c>
      <c r="D251" s="40">
        <v>43716</v>
      </c>
      <c r="E251" s="29" t="s">
        <v>12</v>
      </c>
      <c r="F251" s="25">
        <v>2</v>
      </c>
      <c r="G251" s="21">
        <v>32</v>
      </c>
      <c r="H251" s="21">
        <f t="shared" si="3"/>
        <v>64</v>
      </c>
      <c r="I251" s="29" t="s">
        <v>13</v>
      </c>
      <c r="J251" s="29" t="s">
        <v>14</v>
      </c>
      <c r="K251" s="19" t="s">
        <v>33</v>
      </c>
    </row>
    <row r="252" spans="2:11" ht="19.899999999999999" customHeight="1">
      <c r="B252" s="20">
        <v>2500249</v>
      </c>
      <c r="C252" s="20" t="s">
        <v>44</v>
      </c>
      <c r="D252" s="40">
        <v>43717</v>
      </c>
      <c r="E252" s="29" t="s">
        <v>24</v>
      </c>
      <c r="F252" s="25">
        <v>7</v>
      </c>
      <c r="G252" s="21">
        <v>25.5</v>
      </c>
      <c r="H252" s="21">
        <f t="shared" si="3"/>
        <v>178.5</v>
      </c>
      <c r="I252" s="29" t="s">
        <v>22</v>
      </c>
      <c r="J252" s="29" t="s">
        <v>19</v>
      </c>
      <c r="K252" s="19" t="s">
        <v>36</v>
      </c>
    </row>
    <row r="253" spans="2:11" ht="19.899999999999999" customHeight="1">
      <c r="B253" s="20">
        <v>2500250</v>
      </c>
      <c r="C253" s="20" t="s">
        <v>41</v>
      </c>
      <c r="D253" s="40">
        <v>43718</v>
      </c>
      <c r="E253" s="29" t="s">
        <v>12</v>
      </c>
      <c r="F253" s="25">
        <v>9</v>
      </c>
      <c r="G253" s="21">
        <v>32</v>
      </c>
      <c r="H253" s="21">
        <f t="shared" si="3"/>
        <v>288</v>
      </c>
      <c r="I253" s="29" t="s">
        <v>10</v>
      </c>
      <c r="J253" s="29" t="s">
        <v>11</v>
      </c>
      <c r="K253" s="19" t="s">
        <v>32</v>
      </c>
    </row>
    <row r="254" spans="2:11" ht="19.899999999999999" customHeight="1">
      <c r="B254" s="20">
        <v>2500251</v>
      </c>
      <c r="C254" s="20" t="s">
        <v>48</v>
      </c>
      <c r="D254" s="40">
        <v>43719</v>
      </c>
      <c r="E254" s="29" t="s">
        <v>21</v>
      </c>
      <c r="F254" s="25">
        <v>6</v>
      </c>
      <c r="G254" s="21">
        <v>48</v>
      </c>
      <c r="H254" s="21">
        <f t="shared" si="3"/>
        <v>288</v>
      </c>
      <c r="I254" s="29" t="s">
        <v>13</v>
      </c>
      <c r="J254" s="29" t="s">
        <v>14</v>
      </c>
      <c r="K254" s="19" t="s">
        <v>33</v>
      </c>
    </row>
    <row r="255" spans="2:11" ht="19.899999999999999" customHeight="1">
      <c r="B255" s="20">
        <v>2500252</v>
      </c>
      <c r="C255" s="20" t="s">
        <v>42</v>
      </c>
      <c r="D255" s="40">
        <v>43720</v>
      </c>
      <c r="E255" s="29" t="s">
        <v>21</v>
      </c>
      <c r="F255" s="25">
        <v>5</v>
      </c>
      <c r="G255" s="21">
        <v>48</v>
      </c>
      <c r="H255" s="21">
        <f t="shared" si="3"/>
        <v>240</v>
      </c>
      <c r="I255" s="29" t="s">
        <v>25</v>
      </c>
      <c r="J255" s="29" t="s">
        <v>23</v>
      </c>
      <c r="K255" s="19" t="s">
        <v>37</v>
      </c>
    </row>
    <row r="256" spans="2:11" ht="19.899999999999999" customHeight="1">
      <c r="B256" s="20">
        <v>2500253</v>
      </c>
      <c r="C256" s="20" t="s">
        <v>44</v>
      </c>
      <c r="D256" s="40">
        <v>43721</v>
      </c>
      <c r="E256" s="29" t="s">
        <v>9</v>
      </c>
      <c r="F256" s="25">
        <v>10</v>
      </c>
      <c r="G256" s="21">
        <v>18.5</v>
      </c>
      <c r="H256" s="21">
        <f t="shared" si="3"/>
        <v>185</v>
      </c>
      <c r="I256" s="29" t="s">
        <v>26</v>
      </c>
      <c r="J256" s="29" t="s">
        <v>29</v>
      </c>
      <c r="K256" s="19" t="s">
        <v>38</v>
      </c>
    </row>
    <row r="257" spans="2:11" ht="19.899999999999999" customHeight="1">
      <c r="B257" s="20">
        <v>2500254</v>
      </c>
      <c r="C257" s="20" t="s">
        <v>45</v>
      </c>
      <c r="D257" s="40">
        <v>43722</v>
      </c>
      <c r="E257" s="29" t="s">
        <v>21</v>
      </c>
      <c r="F257" s="25">
        <v>1</v>
      </c>
      <c r="G257" s="21">
        <v>48</v>
      </c>
      <c r="H257" s="21">
        <f t="shared" si="3"/>
        <v>48</v>
      </c>
      <c r="I257" s="29" t="s">
        <v>10</v>
      </c>
      <c r="J257" s="29" t="s">
        <v>11</v>
      </c>
      <c r="K257" s="19" t="s">
        <v>32</v>
      </c>
    </row>
    <row r="258" spans="2:11" ht="19.899999999999999" customHeight="1">
      <c r="B258" s="20">
        <v>2500255</v>
      </c>
      <c r="C258" s="20" t="s">
        <v>42</v>
      </c>
      <c r="D258" s="40">
        <v>43723</v>
      </c>
      <c r="E258" s="29" t="s">
        <v>24</v>
      </c>
      <c r="F258" s="25">
        <v>1</v>
      </c>
      <c r="G258" s="21">
        <v>25.5</v>
      </c>
      <c r="H258" s="21">
        <f t="shared" si="3"/>
        <v>25.5</v>
      </c>
      <c r="I258" s="29" t="s">
        <v>22</v>
      </c>
      <c r="J258" s="29" t="s">
        <v>19</v>
      </c>
      <c r="K258" s="19" t="s">
        <v>36</v>
      </c>
    </row>
    <row r="259" spans="2:11" ht="19.899999999999999" customHeight="1">
      <c r="B259" s="20">
        <v>2500256</v>
      </c>
      <c r="C259" s="20" t="s">
        <v>45</v>
      </c>
      <c r="D259" s="40">
        <v>43724</v>
      </c>
      <c r="E259" s="29" t="s">
        <v>12</v>
      </c>
      <c r="F259" s="25">
        <v>9</v>
      </c>
      <c r="G259" s="21">
        <v>32</v>
      </c>
      <c r="H259" s="21">
        <f t="shared" si="3"/>
        <v>288</v>
      </c>
      <c r="I259" s="29" t="s">
        <v>13</v>
      </c>
      <c r="J259" s="29" t="s">
        <v>14</v>
      </c>
      <c r="K259" s="19" t="s">
        <v>33</v>
      </c>
    </row>
    <row r="260" spans="2:11" ht="19.899999999999999" customHeight="1">
      <c r="B260" s="29">
        <v>2500257</v>
      </c>
      <c r="C260" s="20" t="s">
        <v>41</v>
      </c>
      <c r="D260" s="40">
        <v>43725</v>
      </c>
      <c r="E260" s="29" t="s">
        <v>20</v>
      </c>
      <c r="F260" s="25">
        <v>6</v>
      </c>
      <c r="G260" s="21">
        <v>36</v>
      </c>
      <c r="H260" s="21">
        <f t="shared" si="3"/>
        <v>216</v>
      </c>
      <c r="I260" s="29" t="s">
        <v>22</v>
      </c>
      <c r="J260" s="29" t="s">
        <v>19</v>
      </c>
      <c r="K260" s="19" t="s">
        <v>36</v>
      </c>
    </row>
    <row r="261" spans="2:11" ht="19.899999999999999" customHeight="1">
      <c r="B261" s="29">
        <v>2500258</v>
      </c>
      <c r="C261" s="20" t="s">
        <v>40</v>
      </c>
      <c r="D261" s="40">
        <v>43726</v>
      </c>
      <c r="E261" s="29" t="s">
        <v>20</v>
      </c>
      <c r="F261" s="25">
        <v>3</v>
      </c>
      <c r="G261" s="21">
        <v>36</v>
      </c>
      <c r="H261" s="21">
        <f t="shared" si="3"/>
        <v>108</v>
      </c>
      <c r="I261" s="29" t="s">
        <v>13</v>
      </c>
      <c r="J261" s="29" t="s">
        <v>14</v>
      </c>
      <c r="K261" s="19" t="s">
        <v>33</v>
      </c>
    </row>
    <row r="262" spans="2:11" ht="19.899999999999999" customHeight="1">
      <c r="B262" s="29">
        <v>2500259</v>
      </c>
      <c r="C262" s="20" t="s">
        <v>42</v>
      </c>
      <c r="D262" s="40">
        <v>43727</v>
      </c>
      <c r="E262" s="29" t="s">
        <v>20</v>
      </c>
      <c r="F262" s="25">
        <v>1</v>
      </c>
      <c r="G262" s="21">
        <v>36</v>
      </c>
      <c r="H262" s="21">
        <f t="shared" ref="H262:H325" si="4">+G262*F262</f>
        <v>36</v>
      </c>
      <c r="I262" s="29" t="s">
        <v>17</v>
      </c>
      <c r="J262" s="29" t="s">
        <v>18</v>
      </c>
      <c r="K262" s="19" t="s">
        <v>35</v>
      </c>
    </row>
    <row r="263" spans="2:11" ht="19.899999999999999" customHeight="1">
      <c r="B263" s="29">
        <v>2500260</v>
      </c>
      <c r="C263" s="20" t="s">
        <v>43</v>
      </c>
      <c r="D263" s="40">
        <v>43728</v>
      </c>
      <c r="E263" s="29" t="s">
        <v>24</v>
      </c>
      <c r="F263" s="25">
        <v>3</v>
      </c>
      <c r="G263" s="21">
        <v>25.5</v>
      </c>
      <c r="H263" s="21">
        <f t="shared" si="4"/>
        <v>76.5</v>
      </c>
      <c r="I263" s="29" t="s">
        <v>13</v>
      </c>
      <c r="J263" s="29" t="s">
        <v>14</v>
      </c>
      <c r="K263" s="19" t="s">
        <v>33</v>
      </c>
    </row>
    <row r="264" spans="2:11" ht="19.899999999999999" customHeight="1">
      <c r="B264" s="29">
        <v>2500261</v>
      </c>
      <c r="C264" s="20" t="s">
        <v>40</v>
      </c>
      <c r="D264" s="40">
        <v>43729</v>
      </c>
      <c r="E264" s="29" t="s">
        <v>27</v>
      </c>
      <c r="F264" s="25">
        <v>4</v>
      </c>
      <c r="G264" s="21">
        <v>15.5</v>
      </c>
      <c r="H264" s="21">
        <f t="shared" si="4"/>
        <v>62</v>
      </c>
      <c r="I264" s="29" t="s">
        <v>26</v>
      </c>
      <c r="J264" s="29" t="s">
        <v>29</v>
      </c>
      <c r="K264" s="19" t="s">
        <v>38</v>
      </c>
    </row>
    <row r="265" spans="2:11" ht="19.899999999999999" customHeight="1">
      <c r="B265" s="29">
        <v>2500262</v>
      </c>
      <c r="C265" s="20" t="s">
        <v>41</v>
      </c>
      <c r="D265" s="40">
        <v>43730</v>
      </c>
      <c r="E265" s="29" t="s">
        <v>20</v>
      </c>
      <c r="F265" s="25">
        <v>9</v>
      </c>
      <c r="G265" s="21">
        <v>36</v>
      </c>
      <c r="H265" s="21">
        <f t="shared" si="4"/>
        <v>324</v>
      </c>
      <c r="I265" s="29" t="s">
        <v>15</v>
      </c>
      <c r="J265" s="29" t="s">
        <v>16</v>
      </c>
      <c r="K265" s="19" t="s">
        <v>34</v>
      </c>
    </row>
    <row r="266" spans="2:11" ht="19.899999999999999" customHeight="1">
      <c r="B266" s="29">
        <v>2500263</v>
      </c>
      <c r="C266" s="20" t="s">
        <v>46</v>
      </c>
      <c r="D266" s="40">
        <v>43731</v>
      </c>
      <c r="E266" s="29" t="s">
        <v>21</v>
      </c>
      <c r="F266" s="25">
        <v>6</v>
      </c>
      <c r="G266" s="21">
        <v>48</v>
      </c>
      <c r="H266" s="21">
        <f t="shared" si="4"/>
        <v>288</v>
      </c>
      <c r="I266" s="29" t="s">
        <v>15</v>
      </c>
      <c r="J266" s="29" t="s">
        <v>16</v>
      </c>
      <c r="K266" s="19" t="s">
        <v>34</v>
      </c>
    </row>
    <row r="267" spans="2:11" ht="19.899999999999999" customHeight="1">
      <c r="B267" s="29">
        <v>2500264</v>
      </c>
      <c r="C267" s="20" t="s">
        <v>46</v>
      </c>
      <c r="D267" s="40">
        <v>43732</v>
      </c>
      <c r="E267" s="29" t="s">
        <v>20</v>
      </c>
      <c r="F267" s="25">
        <v>1</v>
      </c>
      <c r="G267" s="21">
        <v>36</v>
      </c>
      <c r="H267" s="21">
        <f t="shared" si="4"/>
        <v>36</v>
      </c>
      <c r="I267" s="29" t="s">
        <v>10</v>
      </c>
      <c r="J267" s="29" t="s">
        <v>11</v>
      </c>
      <c r="K267" s="19" t="s">
        <v>32</v>
      </c>
    </row>
    <row r="268" spans="2:11" ht="19.899999999999999" customHeight="1">
      <c r="B268" s="29">
        <v>2500265</v>
      </c>
      <c r="C268" s="20" t="s">
        <v>43</v>
      </c>
      <c r="D268" s="40">
        <v>43733</v>
      </c>
      <c r="E268" s="29" t="s">
        <v>27</v>
      </c>
      <c r="F268" s="25">
        <v>3</v>
      </c>
      <c r="G268" s="21">
        <v>15.5</v>
      </c>
      <c r="H268" s="21">
        <f t="shared" si="4"/>
        <v>46.5</v>
      </c>
      <c r="I268" s="29" t="s">
        <v>22</v>
      </c>
      <c r="J268" s="29" t="s">
        <v>19</v>
      </c>
      <c r="K268" s="19" t="s">
        <v>36</v>
      </c>
    </row>
    <row r="269" spans="2:11" ht="19.899999999999999" customHeight="1">
      <c r="B269" s="29">
        <v>2500266</v>
      </c>
      <c r="C269" s="20" t="s">
        <v>40</v>
      </c>
      <c r="D269" s="40">
        <v>43734</v>
      </c>
      <c r="E269" s="29" t="s">
        <v>27</v>
      </c>
      <c r="F269" s="25">
        <v>3</v>
      </c>
      <c r="G269" s="21">
        <v>15.5</v>
      </c>
      <c r="H269" s="21">
        <f t="shared" si="4"/>
        <v>46.5</v>
      </c>
      <c r="I269" s="29" t="s">
        <v>25</v>
      </c>
      <c r="J269" s="29" t="s">
        <v>23</v>
      </c>
      <c r="K269" s="19" t="s">
        <v>37</v>
      </c>
    </row>
    <row r="270" spans="2:11" ht="19.899999999999999" customHeight="1">
      <c r="B270" s="29">
        <v>2500267</v>
      </c>
      <c r="C270" s="20" t="s">
        <v>49</v>
      </c>
      <c r="D270" s="40">
        <v>43735</v>
      </c>
      <c r="E270" s="29" t="s">
        <v>20</v>
      </c>
      <c r="F270" s="25">
        <v>6</v>
      </c>
      <c r="G270" s="21">
        <v>36</v>
      </c>
      <c r="H270" s="21">
        <f t="shared" si="4"/>
        <v>216</v>
      </c>
      <c r="I270" s="29" t="s">
        <v>17</v>
      </c>
      <c r="J270" s="29" t="s">
        <v>18</v>
      </c>
      <c r="K270" s="19" t="s">
        <v>35</v>
      </c>
    </row>
    <row r="271" spans="2:11" ht="19.899999999999999" customHeight="1">
      <c r="B271" s="29">
        <v>2500268</v>
      </c>
      <c r="C271" s="20" t="s">
        <v>40</v>
      </c>
      <c r="D271" s="40">
        <v>43736</v>
      </c>
      <c r="E271" s="29" t="s">
        <v>12</v>
      </c>
      <c r="F271" s="25">
        <v>3</v>
      </c>
      <c r="G271" s="21">
        <v>32</v>
      </c>
      <c r="H271" s="21">
        <f t="shared" si="4"/>
        <v>96</v>
      </c>
      <c r="I271" s="29" t="s">
        <v>22</v>
      </c>
      <c r="J271" s="29" t="s">
        <v>19</v>
      </c>
      <c r="K271" s="19" t="s">
        <v>36</v>
      </c>
    </row>
    <row r="272" spans="2:11" ht="19.899999999999999" customHeight="1">
      <c r="B272" s="29">
        <v>2500269</v>
      </c>
      <c r="C272" s="20" t="s">
        <v>41</v>
      </c>
      <c r="D272" s="40">
        <v>43737</v>
      </c>
      <c r="E272" s="29" t="s">
        <v>9</v>
      </c>
      <c r="F272" s="25">
        <v>1</v>
      </c>
      <c r="G272" s="21">
        <v>18.5</v>
      </c>
      <c r="H272" s="21">
        <f t="shared" si="4"/>
        <v>18.5</v>
      </c>
      <c r="I272" s="29" t="s">
        <v>10</v>
      </c>
      <c r="J272" s="29" t="s">
        <v>11</v>
      </c>
      <c r="K272" s="19" t="s">
        <v>32</v>
      </c>
    </row>
    <row r="273" spans="2:11" ht="19.899999999999999" customHeight="1">
      <c r="B273" s="29">
        <v>2500270</v>
      </c>
      <c r="C273" s="20" t="s">
        <v>43</v>
      </c>
      <c r="D273" s="40">
        <v>43738</v>
      </c>
      <c r="E273" s="29" t="s">
        <v>20</v>
      </c>
      <c r="F273" s="25">
        <v>2</v>
      </c>
      <c r="G273" s="21">
        <v>36</v>
      </c>
      <c r="H273" s="21">
        <f t="shared" si="4"/>
        <v>72</v>
      </c>
      <c r="I273" s="29" t="s">
        <v>28</v>
      </c>
      <c r="J273" s="29" t="s">
        <v>30</v>
      </c>
      <c r="K273" s="19" t="s">
        <v>33</v>
      </c>
    </row>
    <row r="274" spans="2:11" ht="19.899999999999999" customHeight="1">
      <c r="B274" s="29">
        <v>2500271</v>
      </c>
      <c r="C274" s="20" t="s">
        <v>48</v>
      </c>
      <c r="D274" s="40">
        <v>43739</v>
      </c>
      <c r="E274" s="29" t="s">
        <v>24</v>
      </c>
      <c r="F274" s="25">
        <v>10</v>
      </c>
      <c r="G274" s="21">
        <v>25.5</v>
      </c>
      <c r="H274" s="21">
        <f t="shared" si="4"/>
        <v>255</v>
      </c>
      <c r="I274" s="29" t="s">
        <v>25</v>
      </c>
      <c r="J274" s="29" t="s">
        <v>23</v>
      </c>
      <c r="K274" s="19" t="s">
        <v>37</v>
      </c>
    </row>
    <row r="275" spans="2:11" ht="19.899999999999999" customHeight="1">
      <c r="B275" s="29">
        <v>2500272</v>
      </c>
      <c r="C275" s="20" t="s">
        <v>47</v>
      </c>
      <c r="D275" s="40">
        <v>43740</v>
      </c>
      <c r="E275" s="29" t="s">
        <v>12</v>
      </c>
      <c r="F275" s="25">
        <v>6</v>
      </c>
      <c r="G275" s="21">
        <v>32</v>
      </c>
      <c r="H275" s="21">
        <f t="shared" si="4"/>
        <v>192</v>
      </c>
      <c r="I275" s="29" t="s">
        <v>13</v>
      </c>
      <c r="J275" s="29" t="s">
        <v>14</v>
      </c>
      <c r="K275" s="19" t="s">
        <v>33</v>
      </c>
    </row>
    <row r="276" spans="2:11" ht="19.899999999999999" customHeight="1">
      <c r="B276" s="29">
        <v>2500273</v>
      </c>
      <c r="C276" s="20" t="s">
        <v>42</v>
      </c>
      <c r="D276" s="40">
        <v>43741</v>
      </c>
      <c r="E276" s="29" t="s">
        <v>24</v>
      </c>
      <c r="F276" s="25">
        <v>6</v>
      </c>
      <c r="G276" s="21">
        <v>25.5</v>
      </c>
      <c r="H276" s="21">
        <f t="shared" si="4"/>
        <v>153</v>
      </c>
      <c r="I276" s="29" t="s">
        <v>13</v>
      </c>
      <c r="J276" s="29" t="s">
        <v>14</v>
      </c>
      <c r="K276" s="19" t="s">
        <v>33</v>
      </c>
    </row>
    <row r="277" spans="2:11" ht="19.899999999999999" customHeight="1">
      <c r="B277" s="29">
        <v>2500274</v>
      </c>
      <c r="C277" s="20" t="s">
        <v>47</v>
      </c>
      <c r="D277" s="40">
        <v>43742</v>
      </c>
      <c r="E277" s="29" t="s">
        <v>24</v>
      </c>
      <c r="F277" s="25">
        <v>9</v>
      </c>
      <c r="G277" s="21">
        <v>25.5</v>
      </c>
      <c r="H277" s="21">
        <f t="shared" si="4"/>
        <v>229.5</v>
      </c>
      <c r="I277" s="29" t="s">
        <v>25</v>
      </c>
      <c r="J277" s="29" t="s">
        <v>23</v>
      </c>
      <c r="K277" s="19" t="s">
        <v>37</v>
      </c>
    </row>
    <row r="278" spans="2:11" ht="19.899999999999999" customHeight="1">
      <c r="B278" s="29">
        <v>2500275</v>
      </c>
      <c r="C278" s="20" t="s">
        <v>49</v>
      </c>
      <c r="D278" s="40">
        <v>43743</v>
      </c>
      <c r="E278" s="29" t="s">
        <v>20</v>
      </c>
      <c r="F278" s="25">
        <v>7</v>
      </c>
      <c r="G278" s="21">
        <v>36</v>
      </c>
      <c r="H278" s="21">
        <f t="shared" si="4"/>
        <v>252</v>
      </c>
      <c r="I278" s="29" t="s">
        <v>25</v>
      </c>
      <c r="J278" s="29" t="s">
        <v>23</v>
      </c>
      <c r="K278" s="19" t="s">
        <v>37</v>
      </c>
    </row>
    <row r="279" spans="2:11" ht="19.899999999999999" customHeight="1">
      <c r="B279" s="29">
        <v>2500276</v>
      </c>
      <c r="C279" s="20" t="s">
        <v>44</v>
      </c>
      <c r="D279" s="40">
        <v>43744</v>
      </c>
      <c r="E279" s="29" t="s">
        <v>24</v>
      </c>
      <c r="F279" s="25">
        <v>5</v>
      </c>
      <c r="G279" s="21">
        <v>25.5</v>
      </c>
      <c r="H279" s="21">
        <f t="shared" si="4"/>
        <v>127.5</v>
      </c>
      <c r="I279" s="29" t="s">
        <v>25</v>
      </c>
      <c r="J279" s="29" t="s">
        <v>23</v>
      </c>
      <c r="K279" s="19" t="s">
        <v>37</v>
      </c>
    </row>
    <row r="280" spans="2:11" ht="19.899999999999999" customHeight="1">
      <c r="B280" s="29">
        <v>2500277</v>
      </c>
      <c r="C280" s="20" t="s">
        <v>40</v>
      </c>
      <c r="D280" s="40">
        <v>43745</v>
      </c>
      <c r="E280" s="29" t="s">
        <v>20</v>
      </c>
      <c r="F280" s="25">
        <v>7</v>
      </c>
      <c r="G280" s="21">
        <v>36</v>
      </c>
      <c r="H280" s="21">
        <f t="shared" si="4"/>
        <v>252</v>
      </c>
      <c r="I280" s="29" t="s">
        <v>13</v>
      </c>
      <c r="J280" s="29" t="s">
        <v>14</v>
      </c>
      <c r="K280" s="19" t="s">
        <v>33</v>
      </c>
    </row>
    <row r="281" spans="2:11" ht="19.899999999999999" customHeight="1">
      <c r="B281" s="29">
        <v>2500278</v>
      </c>
      <c r="C281" s="20" t="s">
        <v>41</v>
      </c>
      <c r="D281" s="40">
        <v>43746</v>
      </c>
      <c r="E281" s="29" t="s">
        <v>12</v>
      </c>
      <c r="F281" s="25">
        <v>9</v>
      </c>
      <c r="G281" s="21">
        <v>32</v>
      </c>
      <c r="H281" s="21">
        <f t="shared" si="4"/>
        <v>288</v>
      </c>
      <c r="I281" s="29" t="s">
        <v>25</v>
      </c>
      <c r="J281" s="29" t="s">
        <v>23</v>
      </c>
      <c r="K281" s="19" t="s">
        <v>37</v>
      </c>
    </row>
    <row r="282" spans="2:11" ht="19.899999999999999" customHeight="1">
      <c r="B282" s="29">
        <v>2500279</v>
      </c>
      <c r="C282" s="20" t="s">
        <v>48</v>
      </c>
      <c r="D282" s="40">
        <v>43747</v>
      </c>
      <c r="E282" s="29" t="s">
        <v>9</v>
      </c>
      <c r="F282" s="25">
        <v>8</v>
      </c>
      <c r="G282" s="21">
        <v>18.5</v>
      </c>
      <c r="H282" s="21">
        <f t="shared" si="4"/>
        <v>148</v>
      </c>
      <c r="I282" s="29" t="s">
        <v>15</v>
      </c>
      <c r="J282" s="29" t="s">
        <v>16</v>
      </c>
      <c r="K282" s="19" t="s">
        <v>34</v>
      </c>
    </row>
    <row r="283" spans="2:11" ht="19.899999999999999" customHeight="1">
      <c r="B283" s="29">
        <v>2500280</v>
      </c>
      <c r="C283" s="20" t="s">
        <v>45</v>
      </c>
      <c r="D283" s="40">
        <v>43748</v>
      </c>
      <c r="E283" s="29" t="s">
        <v>24</v>
      </c>
      <c r="F283" s="25">
        <v>10</v>
      </c>
      <c r="G283" s="21">
        <v>25.5</v>
      </c>
      <c r="H283" s="21">
        <f t="shared" si="4"/>
        <v>255</v>
      </c>
      <c r="I283" s="29" t="s">
        <v>15</v>
      </c>
      <c r="J283" s="29" t="s">
        <v>16</v>
      </c>
      <c r="K283" s="19" t="s">
        <v>34</v>
      </c>
    </row>
    <row r="284" spans="2:11" ht="19.899999999999999" customHeight="1">
      <c r="B284" s="29">
        <v>2500281</v>
      </c>
      <c r="C284" s="20" t="s">
        <v>46</v>
      </c>
      <c r="D284" s="40">
        <v>43749</v>
      </c>
      <c r="E284" s="29" t="s">
        <v>20</v>
      </c>
      <c r="F284" s="25">
        <v>4</v>
      </c>
      <c r="G284" s="21">
        <v>36</v>
      </c>
      <c r="H284" s="21">
        <f t="shared" si="4"/>
        <v>144</v>
      </c>
      <c r="I284" s="29" t="s">
        <v>25</v>
      </c>
      <c r="J284" s="29" t="s">
        <v>23</v>
      </c>
      <c r="K284" s="19" t="s">
        <v>37</v>
      </c>
    </row>
    <row r="285" spans="2:11" ht="19.899999999999999" customHeight="1">
      <c r="B285" s="29">
        <v>2500282</v>
      </c>
      <c r="C285" s="20" t="s">
        <v>46</v>
      </c>
      <c r="D285" s="40">
        <v>43750</v>
      </c>
      <c r="E285" s="29" t="s">
        <v>24</v>
      </c>
      <c r="F285" s="25">
        <v>9</v>
      </c>
      <c r="G285" s="21">
        <v>25.5</v>
      </c>
      <c r="H285" s="21">
        <f t="shared" si="4"/>
        <v>229.5</v>
      </c>
      <c r="I285" s="29" t="s">
        <v>28</v>
      </c>
      <c r="J285" s="29" t="s">
        <v>30</v>
      </c>
      <c r="K285" s="19" t="s">
        <v>33</v>
      </c>
    </row>
    <row r="286" spans="2:11" ht="19.899999999999999" customHeight="1">
      <c r="B286" s="29">
        <v>2500283</v>
      </c>
      <c r="C286" s="20" t="s">
        <v>40</v>
      </c>
      <c r="D286" s="40">
        <v>43751</v>
      </c>
      <c r="E286" s="29" t="s">
        <v>9</v>
      </c>
      <c r="F286" s="25">
        <v>4</v>
      </c>
      <c r="G286" s="21">
        <v>18.5</v>
      </c>
      <c r="H286" s="21">
        <f t="shared" si="4"/>
        <v>74</v>
      </c>
      <c r="I286" s="29" t="s">
        <v>26</v>
      </c>
      <c r="J286" s="29" t="s">
        <v>29</v>
      </c>
      <c r="K286" s="19" t="s">
        <v>38</v>
      </c>
    </row>
    <row r="287" spans="2:11" ht="19.899999999999999" customHeight="1">
      <c r="B287" s="29">
        <v>2500284</v>
      </c>
      <c r="C287" s="20" t="s">
        <v>40</v>
      </c>
      <c r="D287" s="40">
        <v>43752</v>
      </c>
      <c r="E287" s="29" t="s">
        <v>21</v>
      </c>
      <c r="F287" s="25">
        <v>6</v>
      </c>
      <c r="G287" s="21">
        <v>48</v>
      </c>
      <c r="H287" s="21">
        <f t="shared" si="4"/>
        <v>288</v>
      </c>
      <c r="I287" s="29" t="s">
        <v>17</v>
      </c>
      <c r="J287" s="29" t="s">
        <v>18</v>
      </c>
      <c r="K287" s="19" t="s">
        <v>35</v>
      </c>
    </row>
    <row r="288" spans="2:11" ht="19.899999999999999" customHeight="1">
      <c r="B288" s="29">
        <v>2500285</v>
      </c>
      <c r="C288" s="20" t="s">
        <v>45</v>
      </c>
      <c r="D288" s="40">
        <v>43753</v>
      </c>
      <c r="E288" s="29" t="s">
        <v>24</v>
      </c>
      <c r="F288" s="25">
        <v>6</v>
      </c>
      <c r="G288" s="21">
        <v>25.5</v>
      </c>
      <c r="H288" s="21">
        <f t="shared" si="4"/>
        <v>153</v>
      </c>
      <c r="I288" s="29" t="s">
        <v>15</v>
      </c>
      <c r="J288" s="29" t="s">
        <v>16</v>
      </c>
      <c r="K288" s="19" t="s">
        <v>34</v>
      </c>
    </row>
    <row r="289" spans="2:11" ht="19.899999999999999" customHeight="1">
      <c r="B289" s="29">
        <v>2500286</v>
      </c>
      <c r="C289" s="20" t="s">
        <v>47</v>
      </c>
      <c r="D289" s="40">
        <v>43754</v>
      </c>
      <c r="E289" s="29" t="s">
        <v>20</v>
      </c>
      <c r="F289" s="25">
        <v>7</v>
      </c>
      <c r="G289" s="21">
        <v>36</v>
      </c>
      <c r="H289" s="21">
        <f t="shared" si="4"/>
        <v>252</v>
      </c>
      <c r="I289" s="29" t="s">
        <v>15</v>
      </c>
      <c r="J289" s="29" t="s">
        <v>16</v>
      </c>
      <c r="K289" s="19" t="s">
        <v>34</v>
      </c>
    </row>
    <row r="290" spans="2:11" ht="19.899999999999999" customHeight="1">
      <c r="B290" s="29">
        <v>2500287</v>
      </c>
      <c r="C290" s="20" t="s">
        <v>44</v>
      </c>
      <c r="D290" s="40">
        <v>43755</v>
      </c>
      <c r="E290" s="29" t="s">
        <v>9</v>
      </c>
      <c r="F290" s="25">
        <v>5</v>
      </c>
      <c r="G290" s="21">
        <v>18.5</v>
      </c>
      <c r="H290" s="21">
        <f t="shared" si="4"/>
        <v>92.5</v>
      </c>
      <c r="I290" s="29" t="s">
        <v>17</v>
      </c>
      <c r="J290" s="29" t="s">
        <v>18</v>
      </c>
      <c r="K290" s="19" t="s">
        <v>35</v>
      </c>
    </row>
    <row r="291" spans="2:11" ht="19.899999999999999" customHeight="1">
      <c r="B291" s="29">
        <v>2500288</v>
      </c>
      <c r="C291" s="20" t="s">
        <v>42</v>
      </c>
      <c r="D291" s="40">
        <v>43756</v>
      </c>
      <c r="E291" s="29" t="s">
        <v>27</v>
      </c>
      <c r="F291" s="25">
        <v>1</v>
      </c>
      <c r="G291" s="21">
        <v>15.5</v>
      </c>
      <c r="H291" s="21">
        <f t="shared" si="4"/>
        <v>15.5</v>
      </c>
      <c r="I291" s="29" t="s">
        <v>25</v>
      </c>
      <c r="J291" s="29" t="s">
        <v>23</v>
      </c>
      <c r="K291" s="19" t="s">
        <v>37</v>
      </c>
    </row>
    <row r="292" spans="2:11" ht="19.899999999999999" customHeight="1">
      <c r="B292" s="29">
        <v>2500289</v>
      </c>
      <c r="C292" s="20" t="s">
        <v>47</v>
      </c>
      <c r="D292" s="40">
        <v>43757</v>
      </c>
      <c r="E292" s="29" t="s">
        <v>21</v>
      </c>
      <c r="F292" s="25">
        <v>8</v>
      </c>
      <c r="G292" s="21">
        <v>48</v>
      </c>
      <c r="H292" s="21">
        <f t="shared" si="4"/>
        <v>384</v>
      </c>
      <c r="I292" s="29" t="s">
        <v>13</v>
      </c>
      <c r="J292" s="29" t="s">
        <v>14</v>
      </c>
      <c r="K292" s="19" t="s">
        <v>33</v>
      </c>
    </row>
    <row r="293" spans="2:11" ht="19.899999999999999" customHeight="1">
      <c r="B293" s="29">
        <v>2500290</v>
      </c>
      <c r="C293" s="20" t="s">
        <v>49</v>
      </c>
      <c r="D293" s="40">
        <v>43758</v>
      </c>
      <c r="E293" s="29" t="s">
        <v>9</v>
      </c>
      <c r="F293" s="25">
        <v>7</v>
      </c>
      <c r="G293" s="21">
        <v>18.5</v>
      </c>
      <c r="H293" s="21">
        <f t="shared" si="4"/>
        <v>129.5</v>
      </c>
      <c r="I293" s="29" t="s">
        <v>22</v>
      </c>
      <c r="J293" s="29" t="s">
        <v>19</v>
      </c>
      <c r="K293" s="19" t="s">
        <v>36</v>
      </c>
    </row>
    <row r="294" spans="2:11" ht="19.899999999999999" customHeight="1">
      <c r="B294" s="29">
        <v>2500291</v>
      </c>
      <c r="C294" s="20" t="s">
        <v>49</v>
      </c>
      <c r="D294" s="40">
        <v>43759</v>
      </c>
      <c r="E294" s="29" t="s">
        <v>21</v>
      </c>
      <c r="F294" s="25">
        <v>8</v>
      </c>
      <c r="G294" s="21">
        <v>48</v>
      </c>
      <c r="H294" s="21">
        <f t="shared" si="4"/>
        <v>384</v>
      </c>
      <c r="I294" s="29" t="s">
        <v>25</v>
      </c>
      <c r="J294" s="29" t="s">
        <v>23</v>
      </c>
      <c r="K294" s="19" t="s">
        <v>37</v>
      </c>
    </row>
    <row r="295" spans="2:11" ht="19.899999999999999" customHeight="1">
      <c r="B295" s="29">
        <v>2500292</v>
      </c>
      <c r="C295" s="20" t="s">
        <v>43</v>
      </c>
      <c r="D295" s="40">
        <v>43760</v>
      </c>
      <c r="E295" s="29" t="s">
        <v>24</v>
      </c>
      <c r="F295" s="25">
        <v>9</v>
      </c>
      <c r="G295" s="21">
        <v>25.5</v>
      </c>
      <c r="H295" s="21">
        <f t="shared" si="4"/>
        <v>229.5</v>
      </c>
      <c r="I295" s="29" t="s">
        <v>17</v>
      </c>
      <c r="J295" s="29" t="s">
        <v>18</v>
      </c>
      <c r="K295" s="19" t="s">
        <v>35</v>
      </c>
    </row>
    <row r="296" spans="2:11" ht="19.899999999999999" customHeight="1">
      <c r="B296" s="29">
        <v>2500293</v>
      </c>
      <c r="C296" s="20" t="s">
        <v>48</v>
      </c>
      <c r="D296" s="40">
        <v>43761</v>
      </c>
      <c r="E296" s="29" t="s">
        <v>9</v>
      </c>
      <c r="F296" s="25">
        <v>2</v>
      </c>
      <c r="G296" s="21">
        <v>18.5</v>
      </c>
      <c r="H296" s="21">
        <f t="shared" si="4"/>
        <v>37</v>
      </c>
      <c r="I296" s="29" t="s">
        <v>17</v>
      </c>
      <c r="J296" s="29" t="s">
        <v>18</v>
      </c>
      <c r="K296" s="19" t="s">
        <v>35</v>
      </c>
    </row>
    <row r="297" spans="2:11" ht="19.899999999999999" customHeight="1">
      <c r="B297" s="29">
        <v>2500294</v>
      </c>
      <c r="C297" s="20" t="s">
        <v>42</v>
      </c>
      <c r="D297" s="40">
        <v>43762</v>
      </c>
      <c r="E297" s="29" t="s">
        <v>27</v>
      </c>
      <c r="F297" s="25">
        <v>1</v>
      </c>
      <c r="G297" s="21">
        <v>15.5</v>
      </c>
      <c r="H297" s="21">
        <f t="shared" si="4"/>
        <v>15.5</v>
      </c>
      <c r="I297" s="29" t="s">
        <v>26</v>
      </c>
      <c r="J297" s="29" t="s">
        <v>29</v>
      </c>
      <c r="K297" s="19" t="s">
        <v>38</v>
      </c>
    </row>
    <row r="298" spans="2:11" ht="19.899999999999999" customHeight="1">
      <c r="B298" s="29">
        <v>2500295</v>
      </c>
      <c r="C298" s="20" t="s">
        <v>45</v>
      </c>
      <c r="D298" s="40">
        <v>43763</v>
      </c>
      <c r="E298" s="29" t="s">
        <v>21</v>
      </c>
      <c r="F298" s="25">
        <v>3</v>
      </c>
      <c r="G298" s="21">
        <v>48</v>
      </c>
      <c r="H298" s="21">
        <f t="shared" si="4"/>
        <v>144</v>
      </c>
      <c r="I298" s="29" t="s">
        <v>13</v>
      </c>
      <c r="J298" s="29" t="s">
        <v>14</v>
      </c>
      <c r="K298" s="19" t="s">
        <v>33</v>
      </c>
    </row>
    <row r="299" spans="2:11" ht="19.899999999999999" customHeight="1">
      <c r="B299" s="29">
        <v>2500296</v>
      </c>
      <c r="C299" s="20" t="s">
        <v>44</v>
      </c>
      <c r="D299" s="40">
        <v>43764</v>
      </c>
      <c r="E299" s="29" t="s">
        <v>27</v>
      </c>
      <c r="F299" s="25">
        <v>6</v>
      </c>
      <c r="G299" s="21">
        <v>15.5</v>
      </c>
      <c r="H299" s="21">
        <f t="shared" si="4"/>
        <v>93</v>
      </c>
      <c r="I299" s="29" t="s">
        <v>17</v>
      </c>
      <c r="J299" s="29" t="s">
        <v>18</v>
      </c>
      <c r="K299" s="19" t="s">
        <v>35</v>
      </c>
    </row>
    <row r="300" spans="2:11" ht="19.899999999999999" customHeight="1">
      <c r="B300" s="29">
        <v>2500297</v>
      </c>
      <c r="C300" s="20" t="s">
        <v>46</v>
      </c>
      <c r="D300" s="40">
        <v>43765</v>
      </c>
      <c r="E300" s="29" t="s">
        <v>12</v>
      </c>
      <c r="F300" s="25">
        <v>9</v>
      </c>
      <c r="G300" s="21">
        <v>32</v>
      </c>
      <c r="H300" s="21">
        <f t="shared" si="4"/>
        <v>288</v>
      </c>
      <c r="I300" s="29" t="s">
        <v>13</v>
      </c>
      <c r="J300" s="29" t="s">
        <v>14</v>
      </c>
      <c r="K300" s="19" t="s">
        <v>33</v>
      </c>
    </row>
    <row r="301" spans="2:11" ht="19.899999999999999" customHeight="1">
      <c r="B301" s="29">
        <v>2500298</v>
      </c>
      <c r="C301" s="20" t="s">
        <v>46</v>
      </c>
      <c r="D301" s="40">
        <v>43766</v>
      </c>
      <c r="E301" s="29" t="s">
        <v>21</v>
      </c>
      <c r="F301" s="25">
        <v>1</v>
      </c>
      <c r="G301" s="21">
        <v>48</v>
      </c>
      <c r="H301" s="21">
        <f t="shared" si="4"/>
        <v>48</v>
      </c>
      <c r="I301" s="29" t="s">
        <v>26</v>
      </c>
      <c r="J301" s="29" t="s">
        <v>29</v>
      </c>
      <c r="K301" s="19" t="s">
        <v>38</v>
      </c>
    </row>
    <row r="302" spans="2:11" ht="19.899999999999999" customHeight="1">
      <c r="B302" s="29">
        <v>2500299</v>
      </c>
      <c r="C302" s="20" t="s">
        <v>43</v>
      </c>
      <c r="D302" s="40">
        <v>43767</v>
      </c>
      <c r="E302" s="29" t="s">
        <v>27</v>
      </c>
      <c r="F302" s="25">
        <v>8</v>
      </c>
      <c r="G302" s="21">
        <v>15.5</v>
      </c>
      <c r="H302" s="21">
        <f t="shared" si="4"/>
        <v>124</v>
      </c>
      <c r="I302" s="29" t="s">
        <v>26</v>
      </c>
      <c r="J302" s="29" t="s">
        <v>29</v>
      </c>
      <c r="K302" s="19" t="s">
        <v>38</v>
      </c>
    </row>
    <row r="303" spans="2:11" ht="19.899999999999999" customHeight="1">
      <c r="B303" s="29">
        <v>2500300</v>
      </c>
      <c r="C303" s="20" t="s">
        <v>43</v>
      </c>
      <c r="D303" s="40">
        <v>43768</v>
      </c>
      <c r="E303" s="29" t="s">
        <v>27</v>
      </c>
      <c r="F303" s="25">
        <v>9</v>
      </c>
      <c r="G303" s="21">
        <v>15.5</v>
      </c>
      <c r="H303" s="21">
        <f t="shared" si="4"/>
        <v>139.5</v>
      </c>
      <c r="I303" s="29" t="s">
        <v>10</v>
      </c>
      <c r="J303" s="29" t="s">
        <v>11</v>
      </c>
      <c r="K303" s="19" t="s">
        <v>32</v>
      </c>
    </row>
    <row r="304" spans="2:11" ht="19.899999999999999" customHeight="1">
      <c r="B304" s="29">
        <v>2500301</v>
      </c>
      <c r="C304" s="20" t="s">
        <v>44</v>
      </c>
      <c r="D304" s="40">
        <v>43769</v>
      </c>
      <c r="E304" s="29" t="s">
        <v>24</v>
      </c>
      <c r="F304" s="25">
        <v>10</v>
      </c>
      <c r="G304" s="21">
        <v>25.5</v>
      </c>
      <c r="H304" s="21">
        <f t="shared" si="4"/>
        <v>255</v>
      </c>
      <c r="I304" s="29" t="s">
        <v>22</v>
      </c>
      <c r="J304" s="29" t="s">
        <v>19</v>
      </c>
      <c r="K304" s="19" t="s">
        <v>36</v>
      </c>
    </row>
    <row r="305" spans="2:11" ht="19.899999999999999" customHeight="1">
      <c r="B305" s="29">
        <v>2500302</v>
      </c>
      <c r="C305" s="20" t="s">
        <v>47</v>
      </c>
      <c r="D305" s="40">
        <v>43770</v>
      </c>
      <c r="E305" s="29" t="s">
        <v>27</v>
      </c>
      <c r="F305" s="25">
        <v>8</v>
      </c>
      <c r="G305" s="21">
        <v>15.5</v>
      </c>
      <c r="H305" s="21">
        <f t="shared" si="4"/>
        <v>124</v>
      </c>
      <c r="I305" s="29" t="s">
        <v>28</v>
      </c>
      <c r="J305" s="29" t="s">
        <v>30</v>
      </c>
      <c r="K305" s="19" t="s">
        <v>33</v>
      </c>
    </row>
    <row r="306" spans="2:11" ht="19.899999999999999" customHeight="1">
      <c r="B306" s="29">
        <v>2500303</v>
      </c>
      <c r="C306" s="20" t="s">
        <v>42</v>
      </c>
      <c r="D306" s="40">
        <v>43771</v>
      </c>
      <c r="E306" s="29" t="s">
        <v>20</v>
      </c>
      <c r="F306" s="25">
        <v>5</v>
      </c>
      <c r="G306" s="21">
        <v>36</v>
      </c>
      <c r="H306" s="21">
        <f t="shared" si="4"/>
        <v>180</v>
      </c>
      <c r="I306" s="29" t="s">
        <v>26</v>
      </c>
      <c r="J306" s="29" t="s">
        <v>29</v>
      </c>
      <c r="K306" s="19" t="s">
        <v>38</v>
      </c>
    </row>
    <row r="307" spans="2:11" ht="19.899999999999999" customHeight="1">
      <c r="B307" s="29">
        <v>2500304</v>
      </c>
      <c r="C307" s="20" t="s">
        <v>47</v>
      </c>
      <c r="D307" s="40">
        <v>43772</v>
      </c>
      <c r="E307" s="29" t="s">
        <v>9</v>
      </c>
      <c r="F307" s="25">
        <v>9</v>
      </c>
      <c r="G307" s="21">
        <v>18.5</v>
      </c>
      <c r="H307" s="21">
        <f t="shared" si="4"/>
        <v>166.5</v>
      </c>
      <c r="I307" s="29" t="s">
        <v>22</v>
      </c>
      <c r="J307" s="29" t="s">
        <v>19</v>
      </c>
      <c r="K307" s="19" t="s">
        <v>36</v>
      </c>
    </row>
    <row r="308" spans="2:11" ht="19.899999999999999" customHeight="1">
      <c r="B308" s="29">
        <v>2500305</v>
      </c>
      <c r="C308" s="20" t="s">
        <v>44</v>
      </c>
      <c r="D308" s="40">
        <v>43773</v>
      </c>
      <c r="E308" s="29" t="s">
        <v>27</v>
      </c>
      <c r="F308" s="25">
        <v>9</v>
      </c>
      <c r="G308" s="21">
        <v>15.5</v>
      </c>
      <c r="H308" s="21">
        <f t="shared" si="4"/>
        <v>139.5</v>
      </c>
      <c r="I308" s="29" t="s">
        <v>15</v>
      </c>
      <c r="J308" s="29" t="s">
        <v>16</v>
      </c>
      <c r="K308" s="19" t="s">
        <v>34</v>
      </c>
    </row>
    <row r="309" spans="2:11" ht="19.899999999999999" customHeight="1">
      <c r="B309" s="29">
        <v>2500306</v>
      </c>
      <c r="C309" s="20" t="s">
        <v>48</v>
      </c>
      <c r="D309" s="40">
        <v>43774</v>
      </c>
      <c r="E309" s="29" t="s">
        <v>9</v>
      </c>
      <c r="F309" s="25">
        <v>1</v>
      </c>
      <c r="G309" s="21">
        <v>18.5</v>
      </c>
      <c r="H309" s="21">
        <f t="shared" si="4"/>
        <v>18.5</v>
      </c>
      <c r="I309" s="29" t="s">
        <v>28</v>
      </c>
      <c r="J309" s="29" t="s">
        <v>30</v>
      </c>
      <c r="K309" s="19" t="s">
        <v>33</v>
      </c>
    </row>
    <row r="310" spans="2:11" ht="19.899999999999999" customHeight="1">
      <c r="B310" s="29">
        <v>2500307</v>
      </c>
      <c r="C310" s="20" t="s">
        <v>43</v>
      </c>
      <c r="D310" s="40">
        <v>43775</v>
      </c>
      <c r="E310" s="29" t="s">
        <v>24</v>
      </c>
      <c r="F310" s="25">
        <v>2</v>
      </c>
      <c r="G310" s="21">
        <v>25.5</v>
      </c>
      <c r="H310" s="21">
        <f t="shared" si="4"/>
        <v>51</v>
      </c>
      <c r="I310" s="29" t="s">
        <v>25</v>
      </c>
      <c r="J310" s="29" t="s">
        <v>23</v>
      </c>
      <c r="K310" s="19" t="s">
        <v>37</v>
      </c>
    </row>
    <row r="311" spans="2:11" ht="19.899999999999999" customHeight="1">
      <c r="B311" s="29">
        <v>2500308</v>
      </c>
      <c r="C311" s="20" t="s">
        <v>46</v>
      </c>
      <c r="D311" s="40">
        <v>43776</v>
      </c>
      <c r="E311" s="29" t="s">
        <v>20</v>
      </c>
      <c r="F311" s="25">
        <v>3</v>
      </c>
      <c r="G311" s="21">
        <v>36</v>
      </c>
      <c r="H311" s="21">
        <f t="shared" si="4"/>
        <v>108</v>
      </c>
      <c r="I311" s="29" t="s">
        <v>17</v>
      </c>
      <c r="J311" s="29" t="s">
        <v>18</v>
      </c>
      <c r="K311" s="19" t="s">
        <v>35</v>
      </c>
    </row>
    <row r="312" spans="2:11" ht="19.899999999999999" customHeight="1">
      <c r="B312" s="29">
        <v>2500309</v>
      </c>
      <c r="C312" s="20" t="s">
        <v>45</v>
      </c>
      <c r="D312" s="40">
        <v>43777</v>
      </c>
      <c r="E312" s="29" t="s">
        <v>27</v>
      </c>
      <c r="F312" s="25">
        <v>5</v>
      </c>
      <c r="G312" s="21">
        <v>15.5</v>
      </c>
      <c r="H312" s="21">
        <f t="shared" si="4"/>
        <v>77.5</v>
      </c>
      <c r="I312" s="29" t="s">
        <v>17</v>
      </c>
      <c r="J312" s="29" t="s">
        <v>18</v>
      </c>
      <c r="K312" s="19" t="s">
        <v>35</v>
      </c>
    </row>
    <row r="313" spans="2:11" ht="19.899999999999999" customHeight="1">
      <c r="B313" s="29">
        <v>2500310</v>
      </c>
      <c r="C313" s="20" t="s">
        <v>44</v>
      </c>
      <c r="D313" s="40">
        <v>43778</v>
      </c>
      <c r="E313" s="29" t="s">
        <v>21</v>
      </c>
      <c r="F313" s="25">
        <v>8</v>
      </c>
      <c r="G313" s="21">
        <v>48</v>
      </c>
      <c r="H313" s="21">
        <f t="shared" si="4"/>
        <v>384</v>
      </c>
      <c r="I313" s="29" t="s">
        <v>26</v>
      </c>
      <c r="J313" s="29" t="s">
        <v>29</v>
      </c>
      <c r="K313" s="19" t="s">
        <v>38</v>
      </c>
    </row>
    <row r="314" spans="2:11" ht="19.899999999999999" customHeight="1">
      <c r="B314" s="29">
        <v>2500311</v>
      </c>
      <c r="C314" s="20" t="s">
        <v>47</v>
      </c>
      <c r="D314" s="40">
        <v>43779</v>
      </c>
      <c r="E314" s="29" t="s">
        <v>24</v>
      </c>
      <c r="F314" s="25">
        <v>9</v>
      </c>
      <c r="G314" s="21">
        <v>25.5</v>
      </c>
      <c r="H314" s="21">
        <f t="shared" si="4"/>
        <v>229.5</v>
      </c>
      <c r="I314" s="29" t="s">
        <v>25</v>
      </c>
      <c r="J314" s="29" t="s">
        <v>23</v>
      </c>
      <c r="K314" s="19" t="s">
        <v>37</v>
      </c>
    </row>
    <row r="315" spans="2:11" ht="19.899999999999999" customHeight="1">
      <c r="B315" s="29">
        <v>2500312</v>
      </c>
      <c r="C315" s="20" t="s">
        <v>46</v>
      </c>
      <c r="D315" s="40">
        <v>43780</v>
      </c>
      <c r="E315" s="29" t="s">
        <v>24</v>
      </c>
      <c r="F315" s="25">
        <v>10</v>
      </c>
      <c r="G315" s="21">
        <v>25.5</v>
      </c>
      <c r="H315" s="21">
        <f t="shared" si="4"/>
        <v>255</v>
      </c>
      <c r="I315" s="29" t="s">
        <v>25</v>
      </c>
      <c r="J315" s="29" t="s">
        <v>23</v>
      </c>
      <c r="K315" s="19" t="s">
        <v>37</v>
      </c>
    </row>
    <row r="316" spans="2:11" ht="19.899999999999999" customHeight="1">
      <c r="B316" s="29">
        <v>2500313</v>
      </c>
      <c r="C316" s="20" t="s">
        <v>43</v>
      </c>
      <c r="D316" s="40">
        <v>43781</v>
      </c>
      <c r="E316" s="29" t="s">
        <v>20</v>
      </c>
      <c r="F316" s="25">
        <v>5</v>
      </c>
      <c r="G316" s="21">
        <v>36</v>
      </c>
      <c r="H316" s="21">
        <f t="shared" si="4"/>
        <v>180</v>
      </c>
      <c r="I316" s="29" t="s">
        <v>10</v>
      </c>
      <c r="J316" s="29" t="s">
        <v>11</v>
      </c>
      <c r="K316" s="19" t="s">
        <v>32</v>
      </c>
    </row>
    <row r="317" spans="2:11" ht="19.899999999999999" customHeight="1">
      <c r="B317" s="29">
        <v>2500314</v>
      </c>
      <c r="C317" s="20" t="s">
        <v>40</v>
      </c>
      <c r="D317" s="40">
        <v>43782</v>
      </c>
      <c r="E317" s="29" t="s">
        <v>20</v>
      </c>
      <c r="F317" s="25">
        <v>6</v>
      </c>
      <c r="G317" s="21">
        <v>36</v>
      </c>
      <c r="H317" s="21">
        <f t="shared" si="4"/>
        <v>216</v>
      </c>
      <c r="I317" s="29" t="s">
        <v>28</v>
      </c>
      <c r="J317" s="29" t="s">
        <v>30</v>
      </c>
      <c r="K317" s="19" t="s">
        <v>33</v>
      </c>
    </row>
    <row r="318" spans="2:11" ht="19.899999999999999" customHeight="1">
      <c r="B318" s="29">
        <v>2500315</v>
      </c>
      <c r="C318" s="20" t="s">
        <v>45</v>
      </c>
      <c r="D318" s="40">
        <v>43783</v>
      </c>
      <c r="E318" s="29" t="s">
        <v>20</v>
      </c>
      <c r="F318" s="25">
        <v>6</v>
      </c>
      <c r="G318" s="21">
        <v>36</v>
      </c>
      <c r="H318" s="21">
        <f t="shared" si="4"/>
        <v>216</v>
      </c>
      <c r="I318" s="29" t="s">
        <v>17</v>
      </c>
      <c r="J318" s="29" t="s">
        <v>18</v>
      </c>
      <c r="K318" s="19" t="s">
        <v>35</v>
      </c>
    </row>
    <row r="319" spans="2:11" ht="19.899999999999999" customHeight="1">
      <c r="B319" s="29">
        <v>2500316</v>
      </c>
      <c r="C319" s="20" t="s">
        <v>48</v>
      </c>
      <c r="D319" s="40">
        <v>43784</v>
      </c>
      <c r="E319" s="29" t="s">
        <v>20</v>
      </c>
      <c r="F319" s="25">
        <v>10</v>
      </c>
      <c r="G319" s="21">
        <v>36</v>
      </c>
      <c r="H319" s="21">
        <f t="shared" si="4"/>
        <v>360</v>
      </c>
      <c r="I319" s="29" t="s">
        <v>10</v>
      </c>
      <c r="J319" s="29" t="s">
        <v>11</v>
      </c>
      <c r="K319" s="19" t="s">
        <v>32</v>
      </c>
    </row>
    <row r="320" spans="2:11" ht="19.899999999999999" customHeight="1">
      <c r="B320" s="29">
        <v>2500317</v>
      </c>
      <c r="C320" s="20" t="s">
        <v>49</v>
      </c>
      <c r="D320" s="40">
        <v>43785</v>
      </c>
      <c r="E320" s="29" t="s">
        <v>20</v>
      </c>
      <c r="F320" s="25">
        <v>3</v>
      </c>
      <c r="G320" s="21">
        <v>36</v>
      </c>
      <c r="H320" s="21">
        <f t="shared" si="4"/>
        <v>108</v>
      </c>
      <c r="I320" s="29" t="s">
        <v>28</v>
      </c>
      <c r="J320" s="29" t="s">
        <v>30</v>
      </c>
      <c r="K320" s="19" t="s">
        <v>33</v>
      </c>
    </row>
    <row r="321" spans="2:11" ht="19.899999999999999" customHeight="1">
      <c r="B321" s="29">
        <v>2500318</v>
      </c>
      <c r="C321" s="20" t="s">
        <v>41</v>
      </c>
      <c r="D321" s="40">
        <v>43786</v>
      </c>
      <c r="E321" s="29" t="s">
        <v>20</v>
      </c>
      <c r="F321" s="25">
        <v>9</v>
      </c>
      <c r="G321" s="21">
        <v>36</v>
      </c>
      <c r="H321" s="21">
        <f t="shared" si="4"/>
        <v>324</v>
      </c>
      <c r="I321" s="29" t="s">
        <v>28</v>
      </c>
      <c r="J321" s="29" t="s">
        <v>30</v>
      </c>
      <c r="K321" s="19" t="s">
        <v>33</v>
      </c>
    </row>
    <row r="322" spans="2:11" ht="19.899999999999999" customHeight="1">
      <c r="B322" s="29">
        <v>2500319</v>
      </c>
      <c r="C322" s="20" t="s">
        <v>41</v>
      </c>
      <c r="D322" s="40">
        <v>43787</v>
      </c>
      <c r="E322" s="29" t="s">
        <v>21</v>
      </c>
      <c r="F322" s="25">
        <v>7</v>
      </c>
      <c r="G322" s="21">
        <v>48</v>
      </c>
      <c r="H322" s="21">
        <f t="shared" si="4"/>
        <v>336</v>
      </c>
      <c r="I322" s="29" t="s">
        <v>28</v>
      </c>
      <c r="J322" s="29" t="s">
        <v>30</v>
      </c>
      <c r="K322" s="19" t="s">
        <v>33</v>
      </c>
    </row>
    <row r="323" spans="2:11" ht="19.899999999999999" customHeight="1">
      <c r="B323" s="29">
        <v>2500320</v>
      </c>
      <c r="C323" s="20" t="s">
        <v>42</v>
      </c>
      <c r="D323" s="40">
        <v>43788</v>
      </c>
      <c r="E323" s="29" t="s">
        <v>21</v>
      </c>
      <c r="F323" s="25">
        <v>9</v>
      </c>
      <c r="G323" s="21">
        <v>48</v>
      </c>
      <c r="H323" s="21">
        <f t="shared" si="4"/>
        <v>432</v>
      </c>
      <c r="I323" s="29" t="s">
        <v>17</v>
      </c>
      <c r="J323" s="29" t="s">
        <v>18</v>
      </c>
      <c r="K323" s="19" t="s">
        <v>35</v>
      </c>
    </row>
    <row r="324" spans="2:11" ht="19.899999999999999" customHeight="1">
      <c r="B324" s="29">
        <v>2500321</v>
      </c>
      <c r="C324" s="20" t="s">
        <v>44</v>
      </c>
      <c r="D324" s="40">
        <v>43789</v>
      </c>
      <c r="E324" s="29" t="s">
        <v>20</v>
      </c>
      <c r="F324" s="25">
        <v>10</v>
      </c>
      <c r="G324" s="21">
        <v>36</v>
      </c>
      <c r="H324" s="21">
        <f t="shared" si="4"/>
        <v>360</v>
      </c>
      <c r="I324" s="29" t="s">
        <v>17</v>
      </c>
      <c r="J324" s="29" t="s">
        <v>18</v>
      </c>
      <c r="K324" s="19" t="s">
        <v>35</v>
      </c>
    </row>
    <row r="325" spans="2:11" ht="19.899999999999999" customHeight="1">
      <c r="B325" s="29">
        <v>2500322</v>
      </c>
      <c r="C325" s="20" t="s">
        <v>47</v>
      </c>
      <c r="D325" s="40">
        <v>43790</v>
      </c>
      <c r="E325" s="29" t="s">
        <v>24</v>
      </c>
      <c r="F325" s="25">
        <v>8</v>
      </c>
      <c r="G325" s="21">
        <v>25.5</v>
      </c>
      <c r="H325" s="21">
        <f t="shared" si="4"/>
        <v>204</v>
      </c>
      <c r="I325" s="29" t="s">
        <v>28</v>
      </c>
      <c r="J325" s="29" t="s">
        <v>30</v>
      </c>
      <c r="K325" s="19" t="s">
        <v>33</v>
      </c>
    </row>
    <row r="326" spans="2:11" ht="19.899999999999999" customHeight="1">
      <c r="B326" s="29">
        <v>2500323</v>
      </c>
      <c r="C326" s="20" t="s">
        <v>41</v>
      </c>
      <c r="D326" s="40">
        <v>43791</v>
      </c>
      <c r="E326" s="29" t="s">
        <v>20</v>
      </c>
      <c r="F326" s="25">
        <v>4</v>
      </c>
      <c r="G326" s="21">
        <v>36</v>
      </c>
      <c r="H326" s="21">
        <f t="shared" ref="H326:H389" si="5">+G326*F326</f>
        <v>144</v>
      </c>
      <c r="I326" s="29" t="s">
        <v>13</v>
      </c>
      <c r="J326" s="29" t="s">
        <v>14</v>
      </c>
      <c r="K326" s="19" t="s">
        <v>33</v>
      </c>
    </row>
    <row r="327" spans="2:11" ht="19.899999999999999" customHeight="1">
      <c r="B327" s="29">
        <v>2500324</v>
      </c>
      <c r="C327" s="20" t="s">
        <v>46</v>
      </c>
      <c r="D327" s="40">
        <v>43792</v>
      </c>
      <c r="E327" s="29" t="s">
        <v>21</v>
      </c>
      <c r="F327" s="25">
        <v>3</v>
      </c>
      <c r="G327" s="21">
        <v>48</v>
      </c>
      <c r="H327" s="21">
        <f t="shared" si="5"/>
        <v>144</v>
      </c>
      <c r="I327" s="29" t="s">
        <v>17</v>
      </c>
      <c r="J327" s="29" t="s">
        <v>18</v>
      </c>
      <c r="K327" s="19" t="s">
        <v>35</v>
      </c>
    </row>
    <row r="328" spans="2:11" ht="19.899999999999999" customHeight="1">
      <c r="B328" s="29">
        <v>2500325</v>
      </c>
      <c r="C328" s="20" t="s">
        <v>44</v>
      </c>
      <c r="D328" s="40">
        <v>43793</v>
      </c>
      <c r="E328" s="29" t="s">
        <v>9</v>
      </c>
      <c r="F328" s="25">
        <v>2</v>
      </c>
      <c r="G328" s="21">
        <v>18.5</v>
      </c>
      <c r="H328" s="21">
        <f t="shared" si="5"/>
        <v>37</v>
      </c>
      <c r="I328" s="29" t="s">
        <v>22</v>
      </c>
      <c r="J328" s="29" t="s">
        <v>19</v>
      </c>
      <c r="K328" s="19" t="s">
        <v>36</v>
      </c>
    </row>
    <row r="329" spans="2:11" ht="19.899999999999999" customHeight="1">
      <c r="B329" s="29">
        <v>2500326</v>
      </c>
      <c r="C329" s="20" t="s">
        <v>47</v>
      </c>
      <c r="D329" s="40">
        <v>43794</v>
      </c>
      <c r="E329" s="29" t="s">
        <v>24</v>
      </c>
      <c r="F329" s="25">
        <v>6</v>
      </c>
      <c r="G329" s="21">
        <v>25.5</v>
      </c>
      <c r="H329" s="21">
        <f t="shared" si="5"/>
        <v>153</v>
      </c>
      <c r="I329" s="29" t="s">
        <v>28</v>
      </c>
      <c r="J329" s="29" t="s">
        <v>30</v>
      </c>
      <c r="K329" s="19" t="s">
        <v>33</v>
      </c>
    </row>
    <row r="330" spans="2:11" ht="19.899999999999999" customHeight="1">
      <c r="B330" s="29">
        <v>2500327</v>
      </c>
      <c r="C330" s="20" t="s">
        <v>44</v>
      </c>
      <c r="D330" s="40">
        <v>43795</v>
      </c>
      <c r="E330" s="29" t="s">
        <v>27</v>
      </c>
      <c r="F330" s="25">
        <v>3</v>
      </c>
      <c r="G330" s="21">
        <v>15.5</v>
      </c>
      <c r="H330" s="21">
        <f t="shared" si="5"/>
        <v>46.5</v>
      </c>
      <c r="I330" s="29" t="s">
        <v>26</v>
      </c>
      <c r="J330" s="29" t="s">
        <v>29</v>
      </c>
      <c r="K330" s="19" t="s">
        <v>38</v>
      </c>
    </row>
    <row r="331" spans="2:11" ht="19.899999999999999" customHeight="1">
      <c r="B331" s="29">
        <v>2500328</v>
      </c>
      <c r="C331" s="20" t="s">
        <v>48</v>
      </c>
      <c r="D331" s="40">
        <v>43796</v>
      </c>
      <c r="E331" s="29" t="s">
        <v>21</v>
      </c>
      <c r="F331" s="25">
        <v>1</v>
      </c>
      <c r="G331" s="21">
        <v>48</v>
      </c>
      <c r="H331" s="21">
        <f t="shared" si="5"/>
        <v>48</v>
      </c>
      <c r="I331" s="29" t="s">
        <v>17</v>
      </c>
      <c r="J331" s="29" t="s">
        <v>18</v>
      </c>
      <c r="K331" s="19" t="s">
        <v>35</v>
      </c>
    </row>
    <row r="332" spans="2:11" ht="19.899999999999999" customHeight="1">
      <c r="B332" s="29">
        <v>2500329</v>
      </c>
      <c r="C332" s="20" t="s">
        <v>47</v>
      </c>
      <c r="D332" s="40">
        <v>43797</v>
      </c>
      <c r="E332" s="29" t="s">
        <v>12</v>
      </c>
      <c r="F332" s="25">
        <v>10</v>
      </c>
      <c r="G332" s="21">
        <v>32</v>
      </c>
      <c r="H332" s="21">
        <f t="shared" si="5"/>
        <v>320</v>
      </c>
      <c r="I332" s="29" t="s">
        <v>13</v>
      </c>
      <c r="J332" s="29" t="s">
        <v>14</v>
      </c>
      <c r="K332" s="19" t="s">
        <v>33</v>
      </c>
    </row>
    <row r="333" spans="2:11" ht="19.899999999999999" customHeight="1">
      <c r="B333" s="29">
        <v>2500330</v>
      </c>
      <c r="C333" s="20" t="s">
        <v>43</v>
      </c>
      <c r="D333" s="40">
        <v>43798</v>
      </c>
      <c r="E333" s="29" t="s">
        <v>24</v>
      </c>
      <c r="F333" s="25">
        <v>9</v>
      </c>
      <c r="G333" s="21">
        <v>25.5</v>
      </c>
      <c r="H333" s="21">
        <f t="shared" si="5"/>
        <v>229.5</v>
      </c>
      <c r="I333" s="29" t="s">
        <v>13</v>
      </c>
      <c r="J333" s="29" t="s">
        <v>14</v>
      </c>
      <c r="K333" s="19" t="s">
        <v>33</v>
      </c>
    </row>
    <row r="334" spans="2:11" ht="19.899999999999999" customHeight="1">
      <c r="B334" s="29">
        <v>2500331</v>
      </c>
      <c r="C334" s="20" t="s">
        <v>48</v>
      </c>
      <c r="D334" s="40">
        <v>43799</v>
      </c>
      <c r="E334" s="29" t="s">
        <v>12</v>
      </c>
      <c r="F334" s="25">
        <v>5</v>
      </c>
      <c r="G334" s="21">
        <v>32</v>
      </c>
      <c r="H334" s="21">
        <f t="shared" si="5"/>
        <v>160</v>
      </c>
      <c r="I334" s="29" t="s">
        <v>26</v>
      </c>
      <c r="J334" s="29" t="s">
        <v>29</v>
      </c>
      <c r="K334" s="19" t="s">
        <v>38</v>
      </c>
    </row>
    <row r="335" spans="2:11" ht="19.899999999999999" customHeight="1">
      <c r="B335" s="29">
        <v>2500332</v>
      </c>
      <c r="C335" s="20" t="s">
        <v>44</v>
      </c>
      <c r="D335" s="40">
        <v>43800</v>
      </c>
      <c r="E335" s="29" t="s">
        <v>27</v>
      </c>
      <c r="F335" s="25">
        <v>8</v>
      </c>
      <c r="G335" s="21">
        <v>15.5</v>
      </c>
      <c r="H335" s="21">
        <f t="shared" si="5"/>
        <v>124</v>
      </c>
      <c r="I335" s="29" t="s">
        <v>13</v>
      </c>
      <c r="J335" s="29" t="s">
        <v>14</v>
      </c>
      <c r="K335" s="19" t="s">
        <v>33</v>
      </c>
    </row>
    <row r="336" spans="2:11" ht="19.899999999999999" customHeight="1">
      <c r="B336" s="29">
        <v>2500333</v>
      </c>
      <c r="C336" s="20" t="s">
        <v>46</v>
      </c>
      <c r="D336" s="40">
        <v>43801</v>
      </c>
      <c r="E336" s="29" t="s">
        <v>9</v>
      </c>
      <c r="F336" s="25">
        <v>4</v>
      </c>
      <c r="G336" s="21">
        <v>18.5</v>
      </c>
      <c r="H336" s="21">
        <f t="shared" si="5"/>
        <v>74</v>
      </c>
      <c r="I336" s="29" t="s">
        <v>22</v>
      </c>
      <c r="J336" s="29" t="s">
        <v>19</v>
      </c>
      <c r="K336" s="19" t="s">
        <v>36</v>
      </c>
    </row>
    <row r="337" spans="2:11" ht="19.899999999999999" customHeight="1">
      <c r="B337" s="29">
        <v>2500334</v>
      </c>
      <c r="C337" s="20" t="s">
        <v>40</v>
      </c>
      <c r="D337" s="40">
        <v>43802</v>
      </c>
      <c r="E337" s="29" t="s">
        <v>12</v>
      </c>
      <c r="F337" s="25">
        <v>4</v>
      </c>
      <c r="G337" s="21">
        <v>32</v>
      </c>
      <c r="H337" s="21">
        <f t="shared" si="5"/>
        <v>128</v>
      </c>
      <c r="I337" s="29" t="s">
        <v>17</v>
      </c>
      <c r="J337" s="29" t="s">
        <v>18</v>
      </c>
      <c r="K337" s="19" t="s">
        <v>35</v>
      </c>
    </row>
    <row r="338" spans="2:11" ht="19.899999999999999" customHeight="1">
      <c r="B338" s="29">
        <v>2500335</v>
      </c>
      <c r="C338" s="20" t="s">
        <v>42</v>
      </c>
      <c r="D338" s="40">
        <v>43803</v>
      </c>
      <c r="E338" s="29" t="s">
        <v>12</v>
      </c>
      <c r="F338" s="25">
        <v>1</v>
      </c>
      <c r="G338" s="21">
        <v>32</v>
      </c>
      <c r="H338" s="21">
        <f t="shared" si="5"/>
        <v>32</v>
      </c>
      <c r="I338" s="29" t="s">
        <v>28</v>
      </c>
      <c r="J338" s="29" t="s">
        <v>30</v>
      </c>
      <c r="K338" s="19" t="s">
        <v>33</v>
      </c>
    </row>
    <row r="339" spans="2:11" ht="19.899999999999999" customHeight="1">
      <c r="B339" s="29">
        <v>2500336</v>
      </c>
      <c r="C339" s="20" t="s">
        <v>44</v>
      </c>
      <c r="D339" s="40">
        <v>43804</v>
      </c>
      <c r="E339" s="29" t="s">
        <v>21</v>
      </c>
      <c r="F339" s="25">
        <v>9</v>
      </c>
      <c r="G339" s="21">
        <v>48</v>
      </c>
      <c r="H339" s="21">
        <f t="shared" si="5"/>
        <v>432</v>
      </c>
      <c r="I339" s="29" t="s">
        <v>28</v>
      </c>
      <c r="J339" s="29" t="s">
        <v>30</v>
      </c>
      <c r="K339" s="19" t="s">
        <v>33</v>
      </c>
    </row>
    <row r="340" spans="2:11" ht="19.899999999999999" customHeight="1">
      <c r="B340" s="29">
        <v>2500337</v>
      </c>
      <c r="C340" s="20" t="s">
        <v>41</v>
      </c>
      <c r="D340" s="40">
        <v>43805</v>
      </c>
      <c r="E340" s="29" t="s">
        <v>27</v>
      </c>
      <c r="F340" s="25">
        <v>1</v>
      </c>
      <c r="G340" s="21">
        <v>15.5</v>
      </c>
      <c r="H340" s="21">
        <f t="shared" si="5"/>
        <v>15.5</v>
      </c>
      <c r="I340" s="29" t="s">
        <v>13</v>
      </c>
      <c r="J340" s="29" t="s">
        <v>14</v>
      </c>
      <c r="K340" s="19" t="s">
        <v>33</v>
      </c>
    </row>
    <row r="341" spans="2:11" ht="19.899999999999999" customHeight="1">
      <c r="B341" s="29">
        <v>2500338</v>
      </c>
      <c r="C341" s="20" t="s">
        <v>41</v>
      </c>
      <c r="D341" s="40">
        <v>43806</v>
      </c>
      <c r="E341" s="29" t="s">
        <v>9</v>
      </c>
      <c r="F341" s="25">
        <v>5</v>
      </c>
      <c r="G341" s="21">
        <v>18.5</v>
      </c>
      <c r="H341" s="21">
        <f t="shared" si="5"/>
        <v>92.5</v>
      </c>
      <c r="I341" s="29" t="s">
        <v>17</v>
      </c>
      <c r="J341" s="29" t="s">
        <v>18</v>
      </c>
      <c r="K341" s="19" t="s">
        <v>35</v>
      </c>
    </row>
    <row r="342" spans="2:11" ht="19.899999999999999" customHeight="1">
      <c r="B342" s="29">
        <v>2500339</v>
      </c>
      <c r="C342" s="20" t="s">
        <v>40</v>
      </c>
      <c r="D342" s="40">
        <v>43807</v>
      </c>
      <c r="E342" s="29" t="s">
        <v>12</v>
      </c>
      <c r="F342" s="25">
        <v>10</v>
      </c>
      <c r="G342" s="21">
        <v>32</v>
      </c>
      <c r="H342" s="21">
        <f t="shared" si="5"/>
        <v>320</v>
      </c>
      <c r="I342" s="29" t="s">
        <v>15</v>
      </c>
      <c r="J342" s="29" t="s">
        <v>16</v>
      </c>
      <c r="K342" s="19" t="s">
        <v>34</v>
      </c>
    </row>
    <row r="343" spans="2:11" ht="19.899999999999999" customHeight="1">
      <c r="B343" s="29">
        <v>2500340</v>
      </c>
      <c r="C343" s="20" t="s">
        <v>49</v>
      </c>
      <c r="D343" s="40">
        <v>43808</v>
      </c>
      <c r="E343" s="29" t="s">
        <v>20</v>
      </c>
      <c r="F343" s="25">
        <v>7</v>
      </c>
      <c r="G343" s="21">
        <v>36</v>
      </c>
      <c r="H343" s="21">
        <f t="shared" si="5"/>
        <v>252</v>
      </c>
      <c r="I343" s="29" t="s">
        <v>17</v>
      </c>
      <c r="J343" s="29" t="s">
        <v>18</v>
      </c>
      <c r="K343" s="19" t="s">
        <v>35</v>
      </c>
    </row>
    <row r="344" spans="2:11" ht="19.899999999999999" customHeight="1">
      <c r="B344" s="29">
        <v>2500341</v>
      </c>
      <c r="C344" s="20" t="s">
        <v>46</v>
      </c>
      <c r="D344" s="40">
        <v>43809</v>
      </c>
      <c r="E344" s="29" t="s">
        <v>20</v>
      </c>
      <c r="F344" s="25">
        <v>9</v>
      </c>
      <c r="G344" s="21">
        <v>36</v>
      </c>
      <c r="H344" s="21">
        <f t="shared" si="5"/>
        <v>324</v>
      </c>
      <c r="I344" s="29" t="s">
        <v>26</v>
      </c>
      <c r="J344" s="29" t="s">
        <v>29</v>
      </c>
      <c r="K344" s="19" t="s">
        <v>38</v>
      </c>
    </row>
    <row r="345" spans="2:11" ht="19.899999999999999" customHeight="1">
      <c r="B345" s="29">
        <v>2500342</v>
      </c>
      <c r="C345" s="20" t="s">
        <v>40</v>
      </c>
      <c r="D345" s="40">
        <v>43810</v>
      </c>
      <c r="E345" s="29" t="s">
        <v>12</v>
      </c>
      <c r="F345" s="25">
        <v>5</v>
      </c>
      <c r="G345" s="21">
        <v>32</v>
      </c>
      <c r="H345" s="21">
        <f t="shared" si="5"/>
        <v>160</v>
      </c>
      <c r="I345" s="29" t="s">
        <v>28</v>
      </c>
      <c r="J345" s="29" t="s">
        <v>30</v>
      </c>
      <c r="K345" s="19" t="s">
        <v>33</v>
      </c>
    </row>
    <row r="346" spans="2:11" ht="19.899999999999999" customHeight="1">
      <c r="B346" s="29">
        <v>2500343</v>
      </c>
      <c r="C346" s="20" t="s">
        <v>44</v>
      </c>
      <c r="D346" s="40">
        <v>43811</v>
      </c>
      <c r="E346" s="29" t="s">
        <v>9</v>
      </c>
      <c r="F346" s="25">
        <v>1</v>
      </c>
      <c r="G346" s="21">
        <v>18.5</v>
      </c>
      <c r="H346" s="21">
        <f t="shared" si="5"/>
        <v>18.5</v>
      </c>
      <c r="I346" s="29" t="s">
        <v>25</v>
      </c>
      <c r="J346" s="29" t="s">
        <v>23</v>
      </c>
      <c r="K346" s="19" t="s">
        <v>37</v>
      </c>
    </row>
    <row r="347" spans="2:11" ht="19.899999999999999" customHeight="1">
      <c r="B347" s="29">
        <v>2500344</v>
      </c>
      <c r="C347" s="20" t="s">
        <v>48</v>
      </c>
      <c r="D347" s="40">
        <v>43812</v>
      </c>
      <c r="E347" s="29" t="s">
        <v>21</v>
      </c>
      <c r="F347" s="25">
        <v>7</v>
      </c>
      <c r="G347" s="21">
        <v>48</v>
      </c>
      <c r="H347" s="21">
        <f t="shared" si="5"/>
        <v>336</v>
      </c>
      <c r="I347" s="29" t="s">
        <v>22</v>
      </c>
      <c r="J347" s="29" t="s">
        <v>19</v>
      </c>
      <c r="K347" s="19" t="s">
        <v>36</v>
      </c>
    </row>
    <row r="348" spans="2:11" ht="19.899999999999999" customHeight="1">
      <c r="B348" s="29">
        <v>2500345</v>
      </c>
      <c r="C348" s="20" t="s">
        <v>46</v>
      </c>
      <c r="D348" s="40">
        <v>43813</v>
      </c>
      <c r="E348" s="29" t="s">
        <v>12</v>
      </c>
      <c r="F348" s="25">
        <v>10</v>
      </c>
      <c r="G348" s="21">
        <v>32</v>
      </c>
      <c r="H348" s="21">
        <f t="shared" si="5"/>
        <v>320</v>
      </c>
      <c r="I348" s="29" t="s">
        <v>17</v>
      </c>
      <c r="J348" s="29" t="s">
        <v>18</v>
      </c>
      <c r="K348" s="19" t="s">
        <v>35</v>
      </c>
    </row>
    <row r="349" spans="2:11" ht="19.899999999999999" customHeight="1">
      <c r="B349" s="29">
        <v>2500346</v>
      </c>
      <c r="C349" s="20" t="s">
        <v>41</v>
      </c>
      <c r="D349" s="40">
        <v>43814</v>
      </c>
      <c r="E349" s="29" t="s">
        <v>24</v>
      </c>
      <c r="F349" s="25">
        <v>1</v>
      </c>
      <c r="G349" s="21">
        <v>25.5</v>
      </c>
      <c r="H349" s="21">
        <f t="shared" si="5"/>
        <v>25.5</v>
      </c>
      <c r="I349" s="29" t="s">
        <v>28</v>
      </c>
      <c r="J349" s="29" t="s">
        <v>30</v>
      </c>
      <c r="K349" s="19" t="s">
        <v>33</v>
      </c>
    </row>
    <row r="350" spans="2:11" ht="19.899999999999999" customHeight="1">
      <c r="B350" s="29">
        <v>2500347</v>
      </c>
      <c r="C350" s="20" t="s">
        <v>41</v>
      </c>
      <c r="D350" s="40">
        <v>43815</v>
      </c>
      <c r="E350" s="29" t="s">
        <v>21</v>
      </c>
      <c r="F350" s="25">
        <v>2</v>
      </c>
      <c r="G350" s="21">
        <v>48</v>
      </c>
      <c r="H350" s="21">
        <f t="shared" si="5"/>
        <v>96</v>
      </c>
      <c r="I350" s="29" t="s">
        <v>25</v>
      </c>
      <c r="J350" s="29" t="s">
        <v>23</v>
      </c>
      <c r="K350" s="19" t="s">
        <v>37</v>
      </c>
    </row>
    <row r="351" spans="2:11" ht="19.899999999999999" customHeight="1">
      <c r="B351" s="29">
        <v>2500348</v>
      </c>
      <c r="C351" s="20" t="s">
        <v>48</v>
      </c>
      <c r="D351" s="40">
        <v>43816</v>
      </c>
      <c r="E351" s="29" t="s">
        <v>24</v>
      </c>
      <c r="F351" s="25">
        <v>2</v>
      </c>
      <c r="G351" s="21">
        <v>25.5</v>
      </c>
      <c r="H351" s="21">
        <f t="shared" si="5"/>
        <v>51</v>
      </c>
      <c r="I351" s="29" t="s">
        <v>10</v>
      </c>
      <c r="J351" s="29" t="s">
        <v>11</v>
      </c>
      <c r="K351" s="19" t="s">
        <v>32</v>
      </c>
    </row>
    <row r="352" spans="2:11" ht="19.899999999999999" customHeight="1">
      <c r="B352" s="29">
        <v>2500349</v>
      </c>
      <c r="C352" s="20" t="s">
        <v>43</v>
      </c>
      <c r="D352" s="40">
        <v>43817</v>
      </c>
      <c r="E352" s="29" t="s">
        <v>9</v>
      </c>
      <c r="F352" s="25">
        <v>2</v>
      </c>
      <c r="G352" s="21">
        <v>18.5</v>
      </c>
      <c r="H352" s="21">
        <f t="shared" si="5"/>
        <v>37</v>
      </c>
      <c r="I352" s="29" t="s">
        <v>15</v>
      </c>
      <c r="J352" s="29" t="s">
        <v>16</v>
      </c>
      <c r="K352" s="19" t="s">
        <v>34</v>
      </c>
    </row>
    <row r="353" spans="2:11" ht="19.899999999999999" customHeight="1">
      <c r="B353" s="29">
        <v>2500350</v>
      </c>
      <c r="C353" s="20" t="s">
        <v>42</v>
      </c>
      <c r="D353" s="40">
        <v>43818</v>
      </c>
      <c r="E353" s="29" t="s">
        <v>9</v>
      </c>
      <c r="F353" s="25">
        <v>1</v>
      </c>
      <c r="G353" s="21">
        <v>18.5</v>
      </c>
      <c r="H353" s="21">
        <f t="shared" si="5"/>
        <v>18.5</v>
      </c>
      <c r="I353" s="29" t="s">
        <v>10</v>
      </c>
      <c r="J353" s="29" t="s">
        <v>11</v>
      </c>
      <c r="K353" s="19" t="s">
        <v>32</v>
      </c>
    </row>
    <row r="354" spans="2:11" ht="19.899999999999999" customHeight="1">
      <c r="B354" s="29">
        <v>2500351</v>
      </c>
      <c r="C354" s="20" t="s">
        <v>46</v>
      </c>
      <c r="D354" s="40">
        <v>43819</v>
      </c>
      <c r="E354" s="29" t="s">
        <v>12</v>
      </c>
      <c r="F354" s="25">
        <v>9</v>
      </c>
      <c r="G354" s="21">
        <v>32</v>
      </c>
      <c r="H354" s="21">
        <f t="shared" si="5"/>
        <v>288</v>
      </c>
      <c r="I354" s="29" t="s">
        <v>15</v>
      </c>
      <c r="J354" s="29" t="s">
        <v>16</v>
      </c>
      <c r="K354" s="19" t="s">
        <v>34</v>
      </c>
    </row>
    <row r="355" spans="2:11" ht="19.899999999999999" customHeight="1">
      <c r="B355" s="29">
        <v>2500352</v>
      </c>
      <c r="C355" s="20" t="s">
        <v>43</v>
      </c>
      <c r="D355" s="40">
        <v>43820</v>
      </c>
      <c r="E355" s="29" t="s">
        <v>20</v>
      </c>
      <c r="F355" s="25">
        <v>1</v>
      </c>
      <c r="G355" s="21">
        <v>36</v>
      </c>
      <c r="H355" s="21">
        <f t="shared" si="5"/>
        <v>36</v>
      </c>
      <c r="I355" s="29" t="s">
        <v>22</v>
      </c>
      <c r="J355" s="29" t="s">
        <v>19</v>
      </c>
      <c r="K355" s="19" t="s">
        <v>36</v>
      </c>
    </row>
    <row r="356" spans="2:11" ht="19.899999999999999" customHeight="1">
      <c r="B356" s="29">
        <v>2500353</v>
      </c>
      <c r="C356" s="20" t="s">
        <v>47</v>
      </c>
      <c r="D356" s="40">
        <v>43821</v>
      </c>
      <c r="E356" s="29" t="s">
        <v>24</v>
      </c>
      <c r="F356" s="25">
        <v>10</v>
      </c>
      <c r="G356" s="21">
        <v>25.5</v>
      </c>
      <c r="H356" s="21">
        <f t="shared" si="5"/>
        <v>255</v>
      </c>
      <c r="I356" s="29" t="s">
        <v>10</v>
      </c>
      <c r="J356" s="29" t="s">
        <v>11</v>
      </c>
      <c r="K356" s="19" t="s">
        <v>32</v>
      </c>
    </row>
    <row r="357" spans="2:11" ht="19.899999999999999" customHeight="1">
      <c r="B357" s="29">
        <v>2500354</v>
      </c>
      <c r="C357" s="20" t="s">
        <v>44</v>
      </c>
      <c r="D357" s="40">
        <v>43822</v>
      </c>
      <c r="E357" s="29" t="s">
        <v>27</v>
      </c>
      <c r="F357" s="25">
        <v>4</v>
      </c>
      <c r="G357" s="21">
        <v>15.5</v>
      </c>
      <c r="H357" s="21">
        <f t="shared" si="5"/>
        <v>62</v>
      </c>
      <c r="I357" s="29" t="s">
        <v>26</v>
      </c>
      <c r="J357" s="29" t="s">
        <v>29</v>
      </c>
      <c r="K357" s="19" t="s">
        <v>38</v>
      </c>
    </row>
    <row r="358" spans="2:11" ht="19.899999999999999" customHeight="1">
      <c r="B358" s="29">
        <v>2500355</v>
      </c>
      <c r="C358" s="20" t="s">
        <v>48</v>
      </c>
      <c r="D358" s="40">
        <v>43823</v>
      </c>
      <c r="E358" s="29" t="s">
        <v>24</v>
      </c>
      <c r="F358" s="25">
        <v>6</v>
      </c>
      <c r="G358" s="21">
        <v>25.5</v>
      </c>
      <c r="H358" s="21">
        <f t="shared" si="5"/>
        <v>153</v>
      </c>
      <c r="I358" s="29" t="s">
        <v>22</v>
      </c>
      <c r="J358" s="29" t="s">
        <v>19</v>
      </c>
      <c r="K358" s="19" t="s">
        <v>36</v>
      </c>
    </row>
    <row r="359" spans="2:11" ht="19.899999999999999" customHeight="1">
      <c r="B359" s="29">
        <v>2500356</v>
      </c>
      <c r="C359" s="20" t="s">
        <v>43</v>
      </c>
      <c r="D359" s="40">
        <v>43824</v>
      </c>
      <c r="E359" s="29" t="s">
        <v>21</v>
      </c>
      <c r="F359" s="25">
        <v>1</v>
      </c>
      <c r="G359" s="21">
        <v>48</v>
      </c>
      <c r="H359" s="21">
        <f t="shared" si="5"/>
        <v>48</v>
      </c>
      <c r="I359" s="29" t="s">
        <v>28</v>
      </c>
      <c r="J359" s="29" t="s">
        <v>30</v>
      </c>
      <c r="K359" s="19" t="s">
        <v>33</v>
      </c>
    </row>
    <row r="360" spans="2:11" ht="19.899999999999999" customHeight="1">
      <c r="B360" s="29">
        <v>2500357</v>
      </c>
      <c r="C360" s="20" t="s">
        <v>49</v>
      </c>
      <c r="D360" s="40">
        <v>43825</v>
      </c>
      <c r="E360" s="29" t="s">
        <v>21</v>
      </c>
      <c r="F360" s="25">
        <v>1</v>
      </c>
      <c r="G360" s="21">
        <v>48</v>
      </c>
      <c r="H360" s="21">
        <f t="shared" si="5"/>
        <v>48</v>
      </c>
      <c r="I360" s="29" t="s">
        <v>10</v>
      </c>
      <c r="J360" s="29" t="s">
        <v>11</v>
      </c>
      <c r="K360" s="19" t="s">
        <v>32</v>
      </c>
    </row>
    <row r="361" spans="2:11" ht="19.899999999999999" customHeight="1">
      <c r="B361" s="29">
        <v>2500358</v>
      </c>
      <c r="C361" s="20" t="s">
        <v>41</v>
      </c>
      <c r="D361" s="40">
        <v>43826</v>
      </c>
      <c r="E361" s="29" t="s">
        <v>24</v>
      </c>
      <c r="F361" s="25">
        <v>1</v>
      </c>
      <c r="G361" s="21">
        <v>25.5</v>
      </c>
      <c r="H361" s="21">
        <f t="shared" si="5"/>
        <v>25.5</v>
      </c>
      <c r="I361" s="29" t="s">
        <v>22</v>
      </c>
      <c r="J361" s="29" t="s">
        <v>19</v>
      </c>
      <c r="K361" s="19" t="s">
        <v>36</v>
      </c>
    </row>
    <row r="362" spans="2:11" ht="19.899999999999999" customHeight="1">
      <c r="B362" s="29">
        <v>2500359</v>
      </c>
      <c r="C362" s="20" t="s">
        <v>49</v>
      </c>
      <c r="D362" s="40">
        <v>43827</v>
      </c>
      <c r="E362" s="29" t="s">
        <v>27</v>
      </c>
      <c r="F362" s="25">
        <v>2</v>
      </c>
      <c r="G362" s="21">
        <v>15.5</v>
      </c>
      <c r="H362" s="21">
        <f t="shared" si="5"/>
        <v>31</v>
      </c>
      <c r="I362" s="29" t="s">
        <v>10</v>
      </c>
      <c r="J362" s="29" t="s">
        <v>11</v>
      </c>
      <c r="K362" s="19" t="s">
        <v>32</v>
      </c>
    </row>
    <row r="363" spans="2:11" ht="19.899999999999999" customHeight="1">
      <c r="B363" s="29">
        <v>2500360</v>
      </c>
      <c r="C363" s="20" t="s">
        <v>49</v>
      </c>
      <c r="D363" s="40">
        <v>43828</v>
      </c>
      <c r="E363" s="29" t="s">
        <v>20</v>
      </c>
      <c r="F363" s="25">
        <v>8</v>
      </c>
      <c r="G363" s="21">
        <v>36</v>
      </c>
      <c r="H363" s="21">
        <f t="shared" si="5"/>
        <v>288</v>
      </c>
      <c r="I363" s="29" t="s">
        <v>28</v>
      </c>
      <c r="J363" s="29" t="s">
        <v>30</v>
      </c>
      <c r="K363" s="19" t="s">
        <v>33</v>
      </c>
    </row>
    <row r="364" spans="2:11" ht="19.899999999999999" customHeight="1">
      <c r="B364" s="29">
        <v>2500361</v>
      </c>
      <c r="C364" s="20" t="s">
        <v>44</v>
      </c>
      <c r="D364" s="40">
        <v>43829</v>
      </c>
      <c r="E364" s="29" t="s">
        <v>27</v>
      </c>
      <c r="F364" s="25">
        <v>5</v>
      </c>
      <c r="G364" s="21">
        <v>15.5</v>
      </c>
      <c r="H364" s="21">
        <f t="shared" si="5"/>
        <v>77.5</v>
      </c>
      <c r="I364" s="29" t="s">
        <v>17</v>
      </c>
      <c r="J364" s="29" t="s">
        <v>18</v>
      </c>
      <c r="K364" s="19" t="s">
        <v>35</v>
      </c>
    </row>
    <row r="365" spans="2:11" ht="19.899999999999999" customHeight="1">
      <c r="B365" s="29">
        <v>2500362</v>
      </c>
      <c r="C365" s="20" t="s">
        <v>47</v>
      </c>
      <c r="D365" s="40">
        <v>43830</v>
      </c>
      <c r="E365" s="29" t="s">
        <v>9</v>
      </c>
      <c r="F365" s="25">
        <v>6</v>
      </c>
      <c r="G365" s="21">
        <v>18.5</v>
      </c>
      <c r="H365" s="21">
        <f t="shared" si="5"/>
        <v>111</v>
      </c>
      <c r="I365" s="29" t="s">
        <v>22</v>
      </c>
      <c r="J365" s="29" t="s">
        <v>19</v>
      </c>
      <c r="K365" s="19" t="s">
        <v>36</v>
      </c>
    </row>
    <row r="366" spans="2:11" ht="19.899999999999999" customHeight="1">
      <c r="B366" s="29">
        <v>2500363</v>
      </c>
      <c r="C366" s="20" t="s">
        <v>49</v>
      </c>
      <c r="D366" s="40">
        <v>43831</v>
      </c>
      <c r="E366" s="29" t="s">
        <v>12</v>
      </c>
      <c r="F366" s="25">
        <v>6</v>
      </c>
      <c r="G366" s="21">
        <v>32</v>
      </c>
      <c r="H366" s="21">
        <f t="shared" si="5"/>
        <v>192</v>
      </c>
      <c r="I366" s="29" t="s">
        <v>25</v>
      </c>
      <c r="J366" s="29" t="s">
        <v>23</v>
      </c>
      <c r="K366" s="19" t="s">
        <v>37</v>
      </c>
    </row>
    <row r="367" spans="2:11" ht="19.899999999999999" customHeight="1">
      <c r="B367" s="29">
        <v>2500364</v>
      </c>
      <c r="C367" s="20" t="s">
        <v>41</v>
      </c>
      <c r="D367" s="40">
        <v>43832</v>
      </c>
      <c r="E367" s="29" t="s">
        <v>27</v>
      </c>
      <c r="F367" s="25">
        <v>9</v>
      </c>
      <c r="G367" s="21">
        <v>15.5</v>
      </c>
      <c r="H367" s="21">
        <f t="shared" si="5"/>
        <v>139.5</v>
      </c>
      <c r="I367" s="29" t="s">
        <v>26</v>
      </c>
      <c r="J367" s="29" t="s">
        <v>29</v>
      </c>
      <c r="K367" s="19" t="s">
        <v>38</v>
      </c>
    </row>
    <row r="368" spans="2:11" ht="19.899999999999999" customHeight="1">
      <c r="B368" s="29">
        <v>2500365</v>
      </c>
      <c r="C368" s="20" t="s">
        <v>41</v>
      </c>
      <c r="D368" s="40">
        <v>43833</v>
      </c>
      <c r="E368" s="29" t="s">
        <v>21</v>
      </c>
      <c r="F368" s="25">
        <v>10</v>
      </c>
      <c r="G368" s="21">
        <v>48</v>
      </c>
      <c r="H368" s="21">
        <f t="shared" si="5"/>
        <v>480</v>
      </c>
      <c r="I368" s="29" t="s">
        <v>13</v>
      </c>
      <c r="J368" s="29" t="s">
        <v>14</v>
      </c>
      <c r="K368" s="19" t="s">
        <v>33</v>
      </c>
    </row>
    <row r="369" spans="2:11" ht="19.899999999999999" customHeight="1">
      <c r="B369" s="29">
        <v>2500366</v>
      </c>
      <c r="C369" s="20" t="s">
        <v>46</v>
      </c>
      <c r="D369" s="40">
        <v>43834</v>
      </c>
      <c r="E369" s="29" t="s">
        <v>24</v>
      </c>
      <c r="F369" s="25">
        <v>6</v>
      </c>
      <c r="G369" s="21">
        <v>25.5</v>
      </c>
      <c r="H369" s="21">
        <f t="shared" si="5"/>
        <v>153</v>
      </c>
      <c r="I369" s="29" t="s">
        <v>17</v>
      </c>
      <c r="J369" s="29" t="s">
        <v>18</v>
      </c>
      <c r="K369" s="19" t="s">
        <v>35</v>
      </c>
    </row>
    <row r="370" spans="2:11" ht="19.899999999999999" customHeight="1">
      <c r="B370" s="29">
        <v>2500367</v>
      </c>
      <c r="C370" s="20" t="s">
        <v>46</v>
      </c>
      <c r="D370" s="40">
        <v>43835</v>
      </c>
      <c r="E370" s="29" t="s">
        <v>9</v>
      </c>
      <c r="F370" s="25">
        <v>7</v>
      </c>
      <c r="G370" s="21">
        <v>18.5</v>
      </c>
      <c r="H370" s="21">
        <f t="shared" si="5"/>
        <v>129.5</v>
      </c>
      <c r="I370" s="29" t="s">
        <v>17</v>
      </c>
      <c r="J370" s="29" t="s">
        <v>18</v>
      </c>
      <c r="K370" s="19" t="s">
        <v>35</v>
      </c>
    </row>
    <row r="371" spans="2:11" ht="19.899999999999999" customHeight="1">
      <c r="B371" s="29">
        <v>2500368</v>
      </c>
      <c r="C371" s="20" t="s">
        <v>40</v>
      </c>
      <c r="D371" s="40">
        <v>43836</v>
      </c>
      <c r="E371" s="29" t="s">
        <v>27</v>
      </c>
      <c r="F371" s="25">
        <v>3</v>
      </c>
      <c r="G371" s="21">
        <v>15.5</v>
      </c>
      <c r="H371" s="21">
        <f t="shared" si="5"/>
        <v>46.5</v>
      </c>
      <c r="I371" s="29" t="s">
        <v>22</v>
      </c>
      <c r="J371" s="29" t="s">
        <v>19</v>
      </c>
      <c r="K371" s="19" t="s">
        <v>36</v>
      </c>
    </row>
    <row r="372" spans="2:11" ht="19.899999999999999" customHeight="1">
      <c r="B372" s="29">
        <v>2500369</v>
      </c>
      <c r="C372" s="20" t="s">
        <v>45</v>
      </c>
      <c r="D372" s="40">
        <v>43837</v>
      </c>
      <c r="E372" s="29" t="s">
        <v>27</v>
      </c>
      <c r="F372" s="25">
        <v>1</v>
      </c>
      <c r="G372" s="21">
        <v>15.5</v>
      </c>
      <c r="H372" s="21">
        <f t="shared" si="5"/>
        <v>15.5</v>
      </c>
      <c r="I372" s="29" t="s">
        <v>17</v>
      </c>
      <c r="J372" s="29" t="s">
        <v>18</v>
      </c>
      <c r="K372" s="19" t="s">
        <v>35</v>
      </c>
    </row>
    <row r="373" spans="2:11" ht="19.899999999999999" customHeight="1">
      <c r="B373" s="29">
        <v>2500370</v>
      </c>
      <c r="C373" s="20" t="s">
        <v>45</v>
      </c>
      <c r="D373" s="40">
        <v>43838</v>
      </c>
      <c r="E373" s="29" t="s">
        <v>27</v>
      </c>
      <c r="F373" s="25">
        <v>2</v>
      </c>
      <c r="G373" s="21">
        <v>15.5</v>
      </c>
      <c r="H373" s="21">
        <f t="shared" si="5"/>
        <v>31</v>
      </c>
      <c r="I373" s="29" t="s">
        <v>17</v>
      </c>
      <c r="J373" s="29" t="s">
        <v>18</v>
      </c>
      <c r="K373" s="19" t="s">
        <v>35</v>
      </c>
    </row>
    <row r="374" spans="2:11" ht="19.899999999999999" customHeight="1">
      <c r="B374" s="29">
        <v>2500371</v>
      </c>
      <c r="C374" s="20" t="s">
        <v>45</v>
      </c>
      <c r="D374" s="40">
        <v>43839</v>
      </c>
      <c r="E374" s="29" t="s">
        <v>27</v>
      </c>
      <c r="F374" s="25">
        <v>1</v>
      </c>
      <c r="G374" s="21">
        <v>15.5</v>
      </c>
      <c r="H374" s="21">
        <f t="shared" si="5"/>
        <v>15.5</v>
      </c>
      <c r="I374" s="29" t="s">
        <v>25</v>
      </c>
      <c r="J374" s="29" t="s">
        <v>23</v>
      </c>
      <c r="K374" s="19" t="s">
        <v>37</v>
      </c>
    </row>
    <row r="375" spans="2:11" ht="19.899999999999999" customHeight="1">
      <c r="B375" s="29">
        <v>2500372</v>
      </c>
      <c r="C375" s="20" t="s">
        <v>41</v>
      </c>
      <c r="D375" s="40">
        <v>43840</v>
      </c>
      <c r="E375" s="29" t="s">
        <v>12</v>
      </c>
      <c r="F375" s="25">
        <v>9</v>
      </c>
      <c r="G375" s="21">
        <v>32</v>
      </c>
      <c r="H375" s="21">
        <f t="shared" si="5"/>
        <v>288</v>
      </c>
      <c r="I375" s="29" t="s">
        <v>17</v>
      </c>
      <c r="J375" s="29" t="s">
        <v>18</v>
      </c>
      <c r="K375" s="19" t="s">
        <v>35</v>
      </c>
    </row>
    <row r="376" spans="2:11" ht="19.899999999999999" customHeight="1">
      <c r="B376" s="29">
        <v>2500373</v>
      </c>
      <c r="C376" s="20" t="s">
        <v>49</v>
      </c>
      <c r="D376" s="40">
        <v>43841</v>
      </c>
      <c r="E376" s="29" t="s">
        <v>24</v>
      </c>
      <c r="F376" s="25">
        <v>3</v>
      </c>
      <c r="G376" s="21">
        <v>25.5</v>
      </c>
      <c r="H376" s="21">
        <f t="shared" si="5"/>
        <v>76.5</v>
      </c>
      <c r="I376" s="29" t="s">
        <v>22</v>
      </c>
      <c r="J376" s="29" t="s">
        <v>19</v>
      </c>
      <c r="K376" s="19" t="s">
        <v>36</v>
      </c>
    </row>
    <row r="377" spans="2:11" ht="19.899999999999999" customHeight="1">
      <c r="B377" s="29">
        <v>2500374</v>
      </c>
      <c r="C377" s="20" t="s">
        <v>44</v>
      </c>
      <c r="D377" s="40">
        <v>43842</v>
      </c>
      <c r="E377" s="29" t="s">
        <v>24</v>
      </c>
      <c r="F377" s="25">
        <v>4</v>
      </c>
      <c r="G377" s="21">
        <v>25.5</v>
      </c>
      <c r="H377" s="21">
        <f t="shared" si="5"/>
        <v>102</v>
      </c>
      <c r="I377" s="29" t="s">
        <v>26</v>
      </c>
      <c r="J377" s="29" t="s">
        <v>29</v>
      </c>
      <c r="K377" s="19" t="s">
        <v>38</v>
      </c>
    </row>
    <row r="378" spans="2:11" ht="19.899999999999999" customHeight="1">
      <c r="B378" s="29">
        <v>2500375</v>
      </c>
      <c r="C378" s="20" t="s">
        <v>48</v>
      </c>
      <c r="D378" s="40">
        <v>43843</v>
      </c>
      <c r="E378" s="29" t="s">
        <v>12</v>
      </c>
      <c r="F378" s="25">
        <v>8</v>
      </c>
      <c r="G378" s="21">
        <v>32</v>
      </c>
      <c r="H378" s="21">
        <f t="shared" si="5"/>
        <v>256</v>
      </c>
      <c r="I378" s="29" t="s">
        <v>15</v>
      </c>
      <c r="J378" s="29" t="s">
        <v>16</v>
      </c>
      <c r="K378" s="19" t="s">
        <v>34</v>
      </c>
    </row>
    <row r="379" spans="2:11" ht="19.899999999999999" customHeight="1">
      <c r="B379" s="29">
        <v>2500376</v>
      </c>
      <c r="C379" s="20" t="s">
        <v>42</v>
      </c>
      <c r="D379" s="40">
        <v>43844</v>
      </c>
      <c r="E379" s="29" t="s">
        <v>9</v>
      </c>
      <c r="F379" s="25">
        <v>9</v>
      </c>
      <c r="G379" s="21">
        <v>18.5</v>
      </c>
      <c r="H379" s="21">
        <f t="shared" si="5"/>
        <v>166.5</v>
      </c>
      <c r="I379" s="29" t="s">
        <v>22</v>
      </c>
      <c r="J379" s="29" t="s">
        <v>19</v>
      </c>
      <c r="K379" s="19" t="s">
        <v>36</v>
      </c>
    </row>
    <row r="380" spans="2:11" ht="19.899999999999999" customHeight="1">
      <c r="B380" s="29">
        <v>2500377</v>
      </c>
      <c r="C380" s="20" t="s">
        <v>47</v>
      </c>
      <c r="D380" s="40">
        <v>43845</v>
      </c>
      <c r="E380" s="29" t="s">
        <v>27</v>
      </c>
      <c r="F380" s="25">
        <v>4</v>
      </c>
      <c r="G380" s="21">
        <v>15.5</v>
      </c>
      <c r="H380" s="21">
        <f t="shared" si="5"/>
        <v>62</v>
      </c>
      <c r="I380" s="29" t="s">
        <v>26</v>
      </c>
      <c r="J380" s="29" t="s">
        <v>29</v>
      </c>
      <c r="K380" s="19" t="s">
        <v>38</v>
      </c>
    </row>
    <row r="381" spans="2:11" ht="19.899999999999999" customHeight="1">
      <c r="B381" s="29">
        <v>2500378</v>
      </c>
      <c r="C381" s="20" t="s">
        <v>41</v>
      </c>
      <c r="D381" s="40">
        <v>43846</v>
      </c>
      <c r="E381" s="29" t="s">
        <v>20</v>
      </c>
      <c r="F381" s="25">
        <v>1</v>
      </c>
      <c r="G381" s="21">
        <v>36</v>
      </c>
      <c r="H381" s="21">
        <f t="shared" si="5"/>
        <v>36</v>
      </c>
      <c r="I381" s="29" t="s">
        <v>26</v>
      </c>
      <c r="J381" s="29" t="s">
        <v>29</v>
      </c>
      <c r="K381" s="19" t="s">
        <v>38</v>
      </c>
    </row>
    <row r="382" spans="2:11" ht="19.899999999999999" customHeight="1">
      <c r="B382" s="29">
        <v>2500379</v>
      </c>
      <c r="C382" s="20" t="s">
        <v>40</v>
      </c>
      <c r="D382" s="40">
        <v>43847</v>
      </c>
      <c r="E382" s="29" t="s">
        <v>21</v>
      </c>
      <c r="F382" s="25">
        <v>9</v>
      </c>
      <c r="G382" s="21">
        <v>48</v>
      </c>
      <c r="H382" s="21">
        <f t="shared" si="5"/>
        <v>432</v>
      </c>
      <c r="I382" s="29" t="s">
        <v>26</v>
      </c>
      <c r="J382" s="29" t="s">
        <v>29</v>
      </c>
      <c r="K382" s="19" t="s">
        <v>38</v>
      </c>
    </row>
    <row r="383" spans="2:11" ht="19.899999999999999" customHeight="1">
      <c r="B383" s="29">
        <v>2500380</v>
      </c>
      <c r="C383" s="20" t="s">
        <v>46</v>
      </c>
      <c r="D383" s="40">
        <v>43848</v>
      </c>
      <c r="E383" s="29" t="s">
        <v>24</v>
      </c>
      <c r="F383" s="25">
        <v>3</v>
      </c>
      <c r="G383" s="21">
        <v>25.5</v>
      </c>
      <c r="H383" s="21">
        <f t="shared" si="5"/>
        <v>76.5</v>
      </c>
      <c r="I383" s="29" t="s">
        <v>25</v>
      </c>
      <c r="J383" s="29" t="s">
        <v>23</v>
      </c>
      <c r="K383" s="19" t="s">
        <v>37</v>
      </c>
    </row>
    <row r="384" spans="2:11" ht="19.899999999999999" customHeight="1">
      <c r="B384" s="29">
        <v>2500381</v>
      </c>
      <c r="C384" s="20" t="s">
        <v>40</v>
      </c>
      <c r="D384" s="40">
        <v>43849</v>
      </c>
      <c r="E384" s="29" t="s">
        <v>21</v>
      </c>
      <c r="F384" s="25">
        <v>10</v>
      </c>
      <c r="G384" s="21">
        <v>48</v>
      </c>
      <c r="H384" s="21">
        <f t="shared" si="5"/>
        <v>480</v>
      </c>
      <c r="I384" s="29" t="s">
        <v>22</v>
      </c>
      <c r="J384" s="29" t="s">
        <v>19</v>
      </c>
      <c r="K384" s="19" t="s">
        <v>36</v>
      </c>
    </row>
    <row r="385" spans="2:11" ht="19.899999999999999" customHeight="1">
      <c r="B385" s="29">
        <v>2500382</v>
      </c>
      <c r="C385" s="20" t="s">
        <v>46</v>
      </c>
      <c r="D385" s="40">
        <v>43850</v>
      </c>
      <c r="E385" s="29" t="s">
        <v>9</v>
      </c>
      <c r="F385" s="25">
        <v>6</v>
      </c>
      <c r="G385" s="21">
        <v>18.5</v>
      </c>
      <c r="H385" s="21">
        <f t="shared" si="5"/>
        <v>111</v>
      </c>
      <c r="I385" s="29" t="s">
        <v>13</v>
      </c>
      <c r="J385" s="29" t="s">
        <v>14</v>
      </c>
      <c r="K385" s="19" t="s">
        <v>33</v>
      </c>
    </row>
    <row r="386" spans="2:11" ht="19.899999999999999" customHeight="1">
      <c r="B386" s="29">
        <v>2500383</v>
      </c>
      <c r="C386" s="20" t="s">
        <v>40</v>
      </c>
      <c r="D386" s="40">
        <v>43851</v>
      </c>
      <c r="E386" s="29" t="s">
        <v>20</v>
      </c>
      <c r="F386" s="25">
        <v>2</v>
      </c>
      <c r="G386" s="21">
        <v>36</v>
      </c>
      <c r="H386" s="21">
        <f t="shared" si="5"/>
        <v>72</v>
      </c>
      <c r="I386" s="29" t="s">
        <v>10</v>
      </c>
      <c r="J386" s="29" t="s">
        <v>11</v>
      </c>
      <c r="K386" s="19" t="s">
        <v>32</v>
      </c>
    </row>
    <row r="387" spans="2:11" ht="19.899999999999999" customHeight="1">
      <c r="B387" s="29">
        <v>2500384</v>
      </c>
      <c r="C387" s="20" t="s">
        <v>49</v>
      </c>
      <c r="D387" s="40">
        <v>43852</v>
      </c>
      <c r="E387" s="29" t="s">
        <v>24</v>
      </c>
      <c r="F387" s="25">
        <v>10</v>
      </c>
      <c r="G387" s="21">
        <v>25.5</v>
      </c>
      <c r="H387" s="21">
        <f t="shared" si="5"/>
        <v>255</v>
      </c>
      <c r="I387" s="29" t="s">
        <v>15</v>
      </c>
      <c r="J387" s="29" t="s">
        <v>16</v>
      </c>
      <c r="K387" s="19" t="s">
        <v>34</v>
      </c>
    </row>
    <row r="388" spans="2:11" ht="19.899999999999999" customHeight="1">
      <c r="B388" s="29">
        <v>2500385</v>
      </c>
      <c r="C388" s="20" t="s">
        <v>46</v>
      </c>
      <c r="D388" s="40">
        <v>43853</v>
      </c>
      <c r="E388" s="29" t="s">
        <v>12</v>
      </c>
      <c r="F388" s="25">
        <v>4</v>
      </c>
      <c r="G388" s="21">
        <v>32</v>
      </c>
      <c r="H388" s="21">
        <f t="shared" si="5"/>
        <v>128</v>
      </c>
      <c r="I388" s="29" t="s">
        <v>22</v>
      </c>
      <c r="J388" s="29" t="s">
        <v>19</v>
      </c>
      <c r="K388" s="19" t="s">
        <v>36</v>
      </c>
    </row>
    <row r="389" spans="2:11" ht="19.899999999999999" customHeight="1">
      <c r="B389" s="29">
        <v>2500386</v>
      </c>
      <c r="C389" s="20" t="s">
        <v>44</v>
      </c>
      <c r="D389" s="40">
        <v>43854</v>
      </c>
      <c r="E389" s="29" t="s">
        <v>27</v>
      </c>
      <c r="F389" s="25">
        <v>2</v>
      </c>
      <c r="G389" s="21">
        <v>15.5</v>
      </c>
      <c r="H389" s="21">
        <f t="shared" si="5"/>
        <v>31</v>
      </c>
      <c r="I389" s="29" t="s">
        <v>26</v>
      </c>
      <c r="J389" s="29" t="s">
        <v>29</v>
      </c>
      <c r="K389" s="19" t="s">
        <v>38</v>
      </c>
    </row>
    <row r="390" spans="2:11" ht="19.899999999999999" customHeight="1">
      <c r="B390" s="29">
        <v>2500387</v>
      </c>
      <c r="C390" s="20" t="s">
        <v>48</v>
      </c>
      <c r="D390" s="40">
        <v>43855</v>
      </c>
      <c r="E390" s="29" t="s">
        <v>20</v>
      </c>
      <c r="F390" s="25">
        <v>9</v>
      </c>
      <c r="G390" s="21">
        <v>36</v>
      </c>
      <c r="H390" s="21">
        <f t="shared" ref="H390:H453" si="6">+G390*F390</f>
        <v>324</v>
      </c>
      <c r="I390" s="29" t="s">
        <v>10</v>
      </c>
      <c r="J390" s="29" t="s">
        <v>11</v>
      </c>
      <c r="K390" s="19" t="s">
        <v>32</v>
      </c>
    </row>
    <row r="391" spans="2:11" ht="19.899999999999999" customHeight="1">
      <c r="B391" s="29">
        <v>2500388</v>
      </c>
      <c r="C391" s="20" t="s">
        <v>42</v>
      </c>
      <c r="D391" s="40">
        <v>43856</v>
      </c>
      <c r="E391" s="29" t="s">
        <v>20</v>
      </c>
      <c r="F391" s="25">
        <v>4</v>
      </c>
      <c r="G391" s="21">
        <v>36</v>
      </c>
      <c r="H391" s="21">
        <f t="shared" si="6"/>
        <v>144</v>
      </c>
      <c r="I391" s="29" t="s">
        <v>15</v>
      </c>
      <c r="J391" s="29" t="s">
        <v>16</v>
      </c>
      <c r="K391" s="19" t="s">
        <v>34</v>
      </c>
    </row>
    <row r="392" spans="2:11" ht="19.899999999999999" customHeight="1">
      <c r="B392" s="29">
        <v>2500389</v>
      </c>
      <c r="C392" s="20" t="s">
        <v>44</v>
      </c>
      <c r="D392" s="40">
        <v>43857</v>
      </c>
      <c r="E392" s="29" t="s">
        <v>24</v>
      </c>
      <c r="F392" s="25">
        <v>10</v>
      </c>
      <c r="G392" s="21">
        <v>25.5</v>
      </c>
      <c r="H392" s="21">
        <f t="shared" si="6"/>
        <v>255</v>
      </c>
      <c r="I392" s="29" t="s">
        <v>10</v>
      </c>
      <c r="J392" s="29" t="s">
        <v>11</v>
      </c>
      <c r="K392" s="19" t="s">
        <v>32</v>
      </c>
    </row>
    <row r="393" spans="2:11" ht="19.899999999999999" customHeight="1">
      <c r="B393" s="29">
        <v>2500390</v>
      </c>
      <c r="C393" s="20" t="s">
        <v>43</v>
      </c>
      <c r="D393" s="40">
        <v>43858</v>
      </c>
      <c r="E393" s="29" t="s">
        <v>9</v>
      </c>
      <c r="F393" s="25">
        <v>5</v>
      </c>
      <c r="G393" s="21">
        <v>18.5</v>
      </c>
      <c r="H393" s="21">
        <f t="shared" si="6"/>
        <v>92.5</v>
      </c>
      <c r="I393" s="29" t="s">
        <v>22</v>
      </c>
      <c r="J393" s="29" t="s">
        <v>19</v>
      </c>
      <c r="K393" s="19" t="s">
        <v>36</v>
      </c>
    </row>
    <row r="394" spans="2:11" ht="19.899999999999999" customHeight="1">
      <c r="B394" s="29">
        <v>2500391</v>
      </c>
      <c r="C394" s="20" t="s">
        <v>46</v>
      </c>
      <c r="D394" s="40">
        <v>43859</v>
      </c>
      <c r="E394" s="29" t="s">
        <v>12</v>
      </c>
      <c r="F394" s="25">
        <v>4</v>
      </c>
      <c r="G394" s="21">
        <v>32</v>
      </c>
      <c r="H394" s="21">
        <f t="shared" si="6"/>
        <v>128</v>
      </c>
      <c r="I394" s="29" t="s">
        <v>15</v>
      </c>
      <c r="J394" s="29" t="s">
        <v>16</v>
      </c>
      <c r="K394" s="19" t="s">
        <v>34</v>
      </c>
    </row>
    <row r="395" spans="2:11" ht="19.899999999999999" customHeight="1">
      <c r="B395" s="29">
        <v>2500392</v>
      </c>
      <c r="C395" s="20" t="s">
        <v>41</v>
      </c>
      <c r="D395" s="40">
        <v>43860</v>
      </c>
      <c r="E395" s="29" t="s">
        <v>12</v>
      </c>
      <c r="F395" s="25">
        <v>2</v>
      </c>
      <c r="G395" s="21">
        <v>32</v>
      </c>
      <c r="H395" s="21">
        <f t="shared" si="6"/>
        <v>64</v>
      </c>
      <c r="I395" s="29" t="s">
        <v>13</v>
      </c>
      <c r="J395" s="29" t="s">
        <v>14</v>
      </c>
      <c r="K395" s="19" t="s">
        <v>33</v>
      </c>
    </row>
    <row r="396" spans="2:11" ht="19.899999999999999" customHeight="1">
      <c r="B396" s="29">
        <v>2500393</v>
      </c>
      <c r="C396" s="20" t="s">
        <v>46</v>
      </c>
      <c r="D396" s="40">
        <v>43861</v>
      </c>
      <c r="E396" s="29" t="s">
        <v>12</v>
      </c>
      <c r="F396" s="25">
        <v>2</v>
      </c>
      <c r="G396" s="21">
        <v>32</v>
      </c>
      <c r="H396" s="21">
        <f t="shared" si="6"/>
        <v>64</v>
      </c>
      <c r="I396" s="29" t="s">
        <v>22</v>
      </c>
      <c r="J396" s="29" t="s">
        <v>19</v>
      </c>
      <c r="K396" s="19" t="s">
        <v>36</v>
      </c>
    </row>
    <row r="397" spans="2:11" ht="19.899999999999999" customHeight="1">
      <c r="B397" s="29">
        <v>2500394</v>
      </c>
      <c r="C397" s="20" t="s">
        <v>46</v>
      </c>
      <c r="D397" s="40">
        <v>43862</v>
      </c>
      <c r="E397" s="29" t="s">
        <v>20</v>
      </c>
      <c r="F397" s="25">
        <v>7</v>
      </c>
      <c r="G397" s="21">
        <v>36</v>
      </c>
      <c r="H397" s="21">
        <f t="shared" si="6"/>
        <v>252</v>
      </c>
      <c r="I397" s="29" t="s">
        <v>28</v>
      </c>
      <c r="J397" s="29" t="s">
        <v>30</v>
      </c>
      <c r="K397" s="19" t="s">
        <v>33</v>
      </c>
    </row>
    <row r="398" spans="2:11" ht="19.899999999999999" customHeight="1">
      <c r="B398" s="29">
        <v>2500395</v>
      </c>
      <c r="C398" s="20" t="s">
        <v>45</v>
      </c>
      <c r="D398" s="40">
        <v>43863</v>
      </c>
      <c r="E398" s="29" t="s">
        <v>21</v>
      </c>
      <c r="F398" s="25">
        <v>4</v>
      </c>
      <c r="G398" s="21">
        <v>48</v>
      </c>
      <c r="H398" s="21">
        <f t="shared" si="6"/>
        <v>192</v>
      </c>
      <c r="I398" s="29" t="s">
        <v>13</v>
      </c>
      <c r="J398" s="29" t="s">
        <v>14</v>
      </c>
      <c r="K398" s="19" t="s">
        <v>33</v>
      </c>
    </row>
    <row r="399" spans="2:11" ht="19.899999999999999" customHeight="1">
      <c r="B399" s="29">
        <v>2500396</v>
      </c>
      <c r="C399" s="20" t="s">
        <v>47</v>
      </c>
      <c r="D399" s="40">
        <v>43864</v>
      </c>
      <c r="E399" s="29" t="s">
        <v>12</v>
      </c>
      <c r="F399" s="25">
        <v>5</v>
      </c>
      <c r="G399" s="21">
        <v>32</v>
      </c>
      <c r="H399" s="21">
        <f t="shared" si="6"/>
        <v>160</v>
      </c>
      <c r="I399" s="29" t="s">
        <v>17</v>
      </c>
      <c r="J399" s="29" t="s">
        <v>18</v>
      </c>
      <c r="K399" s="19" t="s">
        <v>35</v>
      </c>
    </row>
    <row r="400" spans="2:11" ht="19.899999999999999" customHeight="1">
      <c r="B400" s="29">
        <v>2500397</v>
      </c>
      <c r="C400" s="20" t="s">
        <v>40</v>
      </c>
      <c r="D400" s="40">
        <v>43865</v>
      </c>
      <c r="E400" s="29" t="s">
        <v>21</v>
      </c>
      <c r="F400" s="25">
        <v>8</v>
      </c>
      <c r="G400" s="21">
        <v>48</v>
      </c>
      <c r="H400" s="21">
        <f t="shared" si="6"/>
        <v>384</v>
      </c>
      <c r="I400" s="29" t="s">
        <v>15</v>
      </c>
      <c r="J400" s="29" t="s">
        <v>16</v>
      </c>
      <c r="K400" s="19" t="s">
        <v>34</v>
      </c>
    </row>
    <row r="401" spans="2:11" ht="19.899999999999999" customHeight="1">
      <c r="B401" s="29">
        <v>2500398</v>
      </c>
      <c r="C401" s="20" t="s">
        <v>40</v>
      </c>
      <c r="D401" s="40">
        <v>43866</v>
      </c>
      <c r="E401" s="29" t="s">
        <v>20</v>
      </c>
      <c r="F401" s="25">
        <v>2</v>
      </c>
      <c r="G401" s="21">
        <v>36</v>
      </c>
      <c r="H401" s="21">
        <f t="shared" si="6"/>
        <v>72</v>
      </c>
      <c r="I401" s="29" t="s">
        <v>13</v>
      </c>
      <c r="J401" s="29" t="s">
        <v>14</v>
      </c>
      <c r="K401" s="19" t="s">
        <v>33</v>
      </c>
    </row>
    <row r="402" spans="2:11" ht="19.899999999999999" customHeight="1">
      <c r="B402" s="29">
        <v>2500399</v>
      </c>
      <c r="C402" s="20" t="s">
        <v>40</v>
      </c>
      <c r="D402" s="40">
        <v>43867</v>
      </c>
      <c r="E402" s="29" t="s">
        <v>21</v>
      </c>
      <c r="F402" s="25">
        <v>2</v>
      </c>
      <c r="G402" s="21">
        <v>48</v>
      </c>
      <c r="H402" s="21">
        <f t="shared" si="6"/>
        <v>96</v>
      </c>
      <c r="I402" s="29" t="s">
        <v>13</v>
      </c>
      <c r="J402" s="29" t="s">
        <v>14</v>
      </c>
      <c r="K402" s="19" t="s">
        <v>33</v>
      </c>
    </row>
    <row r="403" spans="2:11" ht="19.899999999999999" customHeight="1">
      <c r="B403" s="29">
        <v>2500400</v>
      </c>
      <c r="C403" s="20" t="s">
        <v>44</v>
      </c>
      <c r="D403" s="40">
        <v>43868</v>
      </c>
      <c r="E403" s="29" t="s">
        <v>9</v>
      </c>
      <c r="F403" s="25">
        <v>5</v>
      </c>
      <c r="G403" s="21">
        <v>18.5</v>
      </c>
      <c r="H403" s="21">
        <f t="shared" si="6"/>
        <v>92.5</v>
      </c>
      <c r="I403" s="29" t="s">
        <v>28</v>
      </c>
      <c r="J403" s="29" t="s">
        <v>30</v>
      </c>
      <c r="K403" s="19" t="s">
        <v>33</v>
      </c>
    </row>
    <row r="404" spans="2:11" ht="19.899999999999999" customHeight="1">
      <c r="B404" s="29">
        <v>2500401</v>
      </c>
      <c r="C404" s="20" t="s">
        <v>44</v>
      </c>
      <c r="D404" s="40">
        <v>43869</v>
      </c>
      <c r="E404" s="29" t="s">
        <v>27</v>
      </c>
      <c r="F404" s="25">
        <v>1</v>
      </c>
      <c r="G404" s="21">
        <v>15.5</v>
      </c>
      <c r="H404" s="21">
        <f t="shared" si="6"/>
        <v>15.5</v>
      </c>
      <c r="I404" s="29" t="s">
        <v>25</v>
      </c>
      <c r="J404" s="29" t="s">
        <v>23</v>
      </c>
      <c r="K404" s="19" t="s">
        <v>37</v>
      </c>
    </row>
    <row r="405" spans="2:11" ht="19.899999999999999" customHeight="1">
      <c r="B405" s="29">
        <v>2500402</v>
      </c>
      <c r="C405" s="20" t="s">
        <v>47</v>
      </c>
      <c r="D405" s="40">
        <v>43870</v>
      </c>
      <c r="E405" s="29" t="s">
        <v>24</v>
      </c>
      <c r="F405" s="25">
        <v>7</v>
      </c>
      <c r="G405" s="21">
        <v>25.5</v>
      </c>
      <c r="H405" s="21">
        <f t="shared" si="6"/>
        <v>178.5</v>
      </c>
      <c r="I405" s="29" t="s">
        <v>13</v>
      </c>
      <c r="J405" s="29" t="s">
        <v>14</v>
      </c>
      <c r="K405" s="19" t="s">
        <v>33</v>
      </c>
    </row>
    <row r="406" spans="2:11" ht="19.899999999999999" customHeight="1">
      <c r="B406" s="29">
        <v>2500403</v>
      </c>
      <c r="C406" s="20" t="s">
        <v>43</v>
      </c>
      <c r="D406" s="40">
        <v>43871</v>
      </c>
      <c r="E406" s="29" t="s">
        <v>21</v>
      </c>
      <c r="F406" s="25">
        <v>2</v>
      </c>
      <c r="G406" s="21">
        <v>48</v>
      </c>
      <c r="H406" s="21">
        <f t="shared" si="6"/>
        <v>96</v>
      </c>
      <c r="I406" s="29" t="s">
        <v>22</v>
      </c>
      <c r="J406" s="29" t="s">
        <v>19</v>
      </c>
      <c r="K406" s="19" t="s">
        <v>36</v>
      </c>
    </row>
    <row r="407" spans="2:11" ht="19.899999999999999" customHeight="1">
      <c r="B407" s="29">
        <v>2500404</v>
      </c>
      <c r="C407" s="20" t="s">
        <v>42</v>
      </c>
      <c r="D407" s="40">
        <v>43872</v>
      </c>
      <c r="E407" s="29" t="s">
        <v>9</v>
      </c>
      <c r="F407" s="25">
        <v>8</v>
      </c>
      <c r="G407" s="21">
        <v>18.5</v>
      </c>
      <c r="H407" s="21">
        <f t="shared" si="6"/>
        <v>148</v>
      </c>
      <c r="I407" s="29" t="s">
        <v>22</v>
      </c>
      <c r="J407" s="29" t="s">
        <v>19</v>
      </c>
      <c r="K407" s="19" t="s">
        <v>36</v>
      </c>
    </row>
    <row r="408" spans="2:11" ht="19.899999999999999" customHeight="1">
      <c r="B408" s="29">
        <v>2500405</v>
      </c>
      <c r="C408" s="20" t="s">
        <v>49</v>
      </c>
      <c r="D408" s="40">
        <v>43873</v>
      </c>
      <c r="E408" s="29" t="s">
        <v>12</v>
      </c>
      <c r="F408" s="25">
        <v>1</v>
      </c>
      <c r="G408" s="21">
        <v>32</v>
      </c>
      <c r="H408" s="21">
        <f t="shared" si="6"/>
        <v>32</v>
      </c>
      <c r="I408" s="29" t="s">
        <v>22</v>
      </c>
      <c r="J408" s="29" t="s">
        <v>19</v>
      </c>
      <c r="K408" s="19" t="s">
        <v>36</v>
      </c>
    </row>
    <row r="409" spans="2:11" ht="19.899999999999999" customHeight="1">
      <c r="B409" s="29">
        <v>2500406</v>
      </c>
      <c r="C409" s="20" t="s">
        <v>43</v>
      </c>
      <c r="D409" s="40">
        <v>43874</v>
      </c>
      <c r="E409" s="29" t="s">
        <v>24</v>
      </c>
      <c r="F409" s="25">
        <v>1</v>
      </c>
      <c r="G409" s="21">
        <v>25.5</v>
      </c>
      <c r="H409" s="21">
        <f t="shared" si="6"/>
        <v>25.5</v>
      </c>
      <c r="I409" s="29" t="s">
        <v>25</v>
      </c>
      <c r="J409" s="29" t="s">
        <v>23</v>
      </c>
      <c r="K409" s="19" t="s">
        <v>37</v>
      </c>
    </row>
    <row r="410" spans="2:11" ht="19.899999999999999" customHeight="1">
      <c r="B410" s="29">
        <v>2500407</v>
      </c>
      <c r="C410" s="20" t="s">
        <v>44</v>
      </c>
      <c r="D410" s="40">
        <v>43875</v>
      </c>
      <c r="E410" s="29" t="s">
        <v>9</v>
      </c>
      <c r="F410" s="25">
        <v>4</v>
      </c>
      <c r="G410" s="21">
        <v>18.5</v>
      </c>
      <c r="H410" s="21">
        <f t="shared" si="6"/>
        <v>74</v>
      </c>
      <c r="I410" s="29" t="s">
        <v>28</v>
      </c>
      <c r="J410" s="29" t="s">
        <v>30</v>
      </c>
      <c r="K410" s="19" t="s">
        <v>33</v>
      </c>
    </row>
    <row r="411" spans="2:11" ht="19.899999999999999" customHeight="1">
      <c r="B411" s="29">
        <v>2500408</v>
      </c>
      <c r="C411" s="20" t="s">
        <v>47</v>
      </c>
      <c r="D411" s="40">
        <v>43876</v>
      </c>
      <c r="E411" s="29" t="s">
        <v>24</v>
      </c>
      <c r="F411" s="25">
        <v>8</v>
      </c>
      <c r="G411" s="21">
        <v>25.5</v>
      </c>
      <c r="H411" s="21">
        <f t="shared" si="6"/>
        <v>204</v>
      </c>
      <c r="I411" s="29" t="s">
        <v>17</v>
      </c>
      <c r="J411" s="29" t="s">
        <v>18</v>
      </c>
      <c r="K411" s="19" t="s">
        <v>35</v>
      </c>
    </row>
    <row r="412" spans="2:11" ht="19.899999999999999" customHeight="1">
      <c r="B412" s="29">
        <v>2500409</v>
      </c>
      <c r="C412" s="20" t="s">
        <v>48</v>
      </c>
      <c r="D412" s="40">
        <v>43877</v>
      </c>
      <c r="E412" s="29" t="s">
        <v>9</v>
      </c>
      <c r="F412" s="25">
        <v>10</v>
      </c>
      <c r="G412" s="21">
        <v>18.5</v>
      </c>
      <c r="H412" s="21">
        <f t="shared" si="6"/>
        <v>185</v>
      </c>
      <c r="I412" s="29" t="s">
        <v>13</v>
      </c>
      <c r="J412" s="29" t="s">
        <v>14</v>
      </c>
      <c r="K412" s="19" t="s">
        <v>33</v>
      </c>
    </row>
    <row r="413" spans="2:11" ht="19.899999999999999" customHeight="1">
      <c r="B413" s="29">
        <v>2500410</v>
      </c>
      <c r="C413" s="20" t="s">
        <v>46</v>
      </c>
      <c r="D413" s="40">
        <v>43878</v>
      </c>
      <c r="E413" s="29" t="s">
        <v>21</v>
      </c>
      <c r="F413" s="25">
        <v>1</v>
      </c>
      <c r="G413" s="21">
        <v>48</v>
      </c>
      <c r="H413" s="21">
        <f t="shared" si="6"/>
        <v>48</v>
      </c>
      <c r="I413" s="29" t="s">
        <v>25</v>
      </c>
      <c r="J413" s="29" t="s">
        <v>23</v>
      </c>
      <c r="K413" s="19" t="s">
        <v>37</v>
      </c>
    </row>
    <row r="414" spans="2:11" ht="19.899999999999999" customHeight="1">
      <c r="B414" s="29">
        <v>2500411</v>
      </c>
      <c r="C414" s="20" t="s">
        <v>46</v>
      </c>
      <c r="D414" s="40">
        <v>43879</v>
      </c>
      <c r="E414" s="29" t="s">
        <v>21</v>
      </c>
      <c r="F414" s="25">
        <v>10</v>
      </c>
      <c r="G414" s="21">
        <v>48</v>
      </c>
      <c r="H414" s="21">
        <f t="shared" si="6"/>
        <v>480</v>
      </c>
      <c r="I414" s="29" t="s">
        <v>22</v>
      </c>
      <c r="J414" s="29" t="s">
        <v>19</v>
      </c>
      <c r="K414" s="19" t="s">
        <v>36</v>
      </c>
    </row>
    <row r="415" spans="2:11" ht="19.899999999999999" customHeight="1">
      <c r="B415" s="29">
        <v>2500412</v>
      </c>
      <c r="C415" s="20" t="s">
        <v>41</v>
      </c>
      <c r="D415" s="40">
        <v>43880</v>
      </c>
      <c r="E415" s="29" t="s">
        <v>20</v>
      </c>
      <c r="F415" s="25">
        <v>3</v>
      </c>
      <c r="G415" s="21">
        <v>36</v>
      </c>
      <c r="H415" s="21">
        <f t="shared" si="6"/>
        <v>108</v>
      </c>
      <c r="I415" s="29" t="s">
        <v>22</v>
      </c>
      <c r="J415" s="29" t="s">
        <v>19</v>
      </c>
      <c r="K415" s="19" t="s">
        <v>36</v>
      </c>
    </row>
    <row r="416" spans="2:11" ht="19.899999999999999" customHeight="1">
      <c r="B416" s="29">
        <v>2500413</v>
      </c>
      <c r="C416" s="20" t="s">
        <v>40</v>
      </c>
      <c r="D416" s="40">
        <v>43881</v>
      </c>
      <c r="E416" s="29" t="s">
        <v>24</v>
      </c>
      <c r="F416" s="25">
        <v>7</v>
      </c>
      <c r="G416" s="21">
        <v>25.5</v>
      </c>
      <c r="H416" s="21">
        <f t="shared" si="6"/>
        <v>178.5</v>
      </c>
      <c r="I416" s="29" t="s">
        <v>22</v>
      </c>
      <c r="J416" s="29" t="s">
        <v>19</v>
      </c>
      <c r="K416" s="19" t="s">
        <v>36</v>
      </c>
    </row>
    <row r="417" spans="2:11" ht="19.899999999999999" customHeight="1">
      <c r="B417" s="29">
        <v>2500414</v>
      </c>
      <c r="C417" s="20" t="s">
        <v>47</v>
      </c>
      <c r="D417" s="40">
        <v>43882</v>
      </c>
      <c r="E417" s="29" t="s">
        <v>12</v>
      </c>
      <c r="F417" s="25">
        <v>3</v>
      </c>
      <c r="G417" s="21">
        <v>32</v>
      </c>
      <c r="H417" s="21">
        <f t="shared" si="6"/>
        <v>96</v>
      </c>
      <c r="I417" s="29" t="s">
        <v>22</v>
      </c>
      <c r="J417" s="29" t="s">
        <v>19</v>
      </c>
      <c r="K417" s="19" t="s">
        <v>36</v>
      </c>
    </row>
    <row r="418" spans="2:11" ht="19.899999999999999" customHeight="1">
      <c r="B418" s="29">
        <v>2500415</v>
      </c>
      <c r="C418" s="20" t="s">
        <v>40</v>
      </c>
      <c r="D418" s="40">
        <v>43883</v>
      </c>
      <c r="E418" s="29" t="s">
        <v>20</v>
      </c>
      <c r="F418" s="25">
        <v>5</v>
      </c>
      <c r="G418" s="21">
        <v>36</v>
      </c>
      <c r="H418" s="21">
        <f t="shared" si="6"/>
        <v>180</v>
      </c>
      <c r="I418" s="29" t="s">
        <v>25</v>
      </c>
      <c r="J418" s="29" t="s">
        <v>23</v>
      </c>
      <c r="K418" s="19" t="s">
        <v>37</v>
      </c>
    </row>
    <row r="419" spans="2:11" ht="19.899999999999999" customHeight="1">
      <c r="B419" s="29">
        <v>2500416</v>
      </c>
      <c r="C419" s="20" t="s">
        <v>40</v>
      </c>
      <c r="D419" s="40">
        <v>43884</v>
      </c>
      <c r="E419" s="29" t="s">
        <v>27</v>
      </c>
      <c r="F419" s="25">
        <v>5</v>
      </c>
      <c r="G419" s="21">
        <v>15.5</v>
      </c>
      <c r="H419" s="21">
        <f t="shared" si="6"/>
        <v>77.5</v>
      </c>
      <c r="I419" s="29" t="s">
        <v>10</v>
      </c>
      <c r="J419" s="29" t="s">
        <v>11</v>
      </c>
      <c r="K419" s="19" t="s">
        <v>32</v>
      </c>
    </row>
    <row r="420" spans="2:11" ht="19.899999999999999" customHeight="1">
      <c r="B420" s="29">
        <v>2500417</v>
      </c>
      <c r="C420" s="20" t="s">
        <v>42</v>
      </c>
      <c r="D420" s="40">
        <v>43885</v>
      </c>
      <c r="E420" s="29" t="s">
        <v>24</v>
      </c>
      <c r="F420" s="25">
        <v>4</v>
      </c>
      <c r="G420" s="21">
        <v>25.5</v>
      </c>
      <c r="H420" s="21">
        <f t="shared" si="6"/>
        <v>102</v>
      </c>
      <c r="I420" s="29" t="s">
        <v>26</v>
      </c>
      <c r="J420" s="29" t="s">
        <v>29</v>
      </c>
      <c r="K420" s="19" t="s">
        <v>38</v>
      </c>
    </row>
    <row r="421" spans="2:11" ht="19.899999999999999" customHeight="1">
      <c r="B421" s="29">
        <v>2500418</v>
      </c>
      <c r="C421" s="20" t="s">
        <v>47</v>
      </c>
      <c r="D421" s="40">
        <v>43886</v>
      </c>
      <c r="E421" s="29" t="s">
        <v>27</v>
      </c>
      <c r="F421" s="25">
        <v>5</v>
      </c>
      <c r="G421" s="21">
        <v>15.5</v>
      </c>
      <c r="H421" s="21">
        <f t="shared" si="6"/>
        <v>77.5</v>
      </c>
      <c r="I421" s="29" t="s">
        <v>28</v>
      </c>
      <c r="J421" s="29" t="s">
        <v>30</v>
      </c>
      <c r="K421" s="19" t="s">
        <v>33</v>
      </c>
    </row>
    <row r="422" spans="2:11" ht="19.899999999999999" customHeight="1">
      <c r="B422" s="29">
        <v>2500419</v>
      </c>
      <c r="C422" s="20" t="s">
        <v>43</v>
      </c>
      <c r="D422" s="40">
        <v>43887</v>
      </c>
      <c r="E422" s="29" t="s">
        <v>24</v>
      </c>
      <c r="F422" s="25">
        <v>9</v>
      </c>
      <c r="G422" s="21">
        <v>25.5</v>
      </c>
      <c r="H422" s="21">
        <f t="shared" si="6"/>
        <v>229.5</v>
      </c>
      <c r="I422" s="29" t="s">
        <v>28</v>
      </c>
      <c r="J422" s="29" t="s">
        <v>30</v>
      </c>
      <c r="K422" s="19" t="s">
        <v>33</v>
      </c>
    </row>
    <row r="423" spans="2:11" ht="19.899999999999999" customHeight="1">
      <c r="B423" s="29">
        <v>2500420</v>
      </c>
      <c r="C423" s="20" t="s">
        <v>46</v>
      </c>
      <c r="D423" s="40">
        <v>43888</v>
      </c>
      <c r="E423" s="29" t="s">
        <v>12</v>
      </c>
      <c r="F423" s="25">
        <v>5</v>
      </c>
      <c r="G423" s="21">
        <v>32</v>
      </c>
      <c r="H423" s="21">
        <f t="shared" si="6"/>
        <v>160</v>
      </c>
      <c r="I423" s="29" t="s">
        <v>22</v>
      </c>
      <c r="J423" s="29" t="s">
        <v>19</v>
      </c>
      <c r="K423" s="19" t="s">
        <v>36</v>
      </c>
    </row>
    <row r="424" spans="2:11" ht="19.899999999999999" customHeight="1">
      <c r="B424" s="29">
        <v>2500421</v>
      </c>
      <c r="C424" s="20" t="s">
        <v>46</v>
      </c>
      <c r="D424" s="40">
        <v>43889</v>
      </c>
      <c r="E424" s="29" t="s">
        <v>21</v>
      </c>
      <c r="F424" s="25">
        <v>9</v>
      </c>
      <c r="G424" s="21">
        <v>48</v>
      </c>
      <c r="H424" s="21">
        <f t="shared" si="6"/>
        <v>432</v>
      </c>
      <c r="I424" s="29" t="s">
        <v>17</v>
      </c>
      <c r="J424" s="29" t="s">
        <v>18</v>
      </c>
      <c r="K424" s="19" t="s">
        <v>35</v>
      </c>
    </row>
    <row r="425" spans="2:11" ht="19.899999999999999" customHeight="1">
      <c r="B425" s="29">
        <v>2500422</v>
      </c>
      <c r="C425" s="20" t="s">
        <v>44</v>
      </c>
      <c r="D425" s="40">
        <v>43890</v>
      </c>
      <c r="E425" s="29" t="s">
        <v>9</v>
      </c>
      <c r="F425" s="25">
        <v>6</v>
      </c>
      <c r="G425" s="21">
        <v>18.5</v>
      </c>
      <c r="H425" s="21">
        <f t="shared" si="6"/>
        <v>111</v>
      </c>
      <c r="I425" s="29" t="s">
        <v>13</v>
      </c>
      <c r="J425" s="29" t="s">
        <v>14</v>
      </c>
      <c r="K425" s="19" t="s">
        <v>33</v>
      </c>
    </row>
    <row r="426" spans="2:11" ht="19.899999999999999" customHeight="1">
      <c r="B426" s="29">
        <v>2500423</v>
      </c>
      <c r="C426" s="20" t="s">
        <v>48</v>
      </c>
      <c r="D426" s="40">
        <v>43891</v>
      </c>
      <c r="E426" s="29" t="s">
        <v>9</v>
      </c>
      <c r="F426" s="25">
        <v>5</v>
      </c>
      <c r="G426" s="21">
        <v>18.5</v>
      </c>
      <c r="H426" s="21">
        <f t="shared" si="6"/>
        <v>92.5</v>
      </c>
      <c r="I426" s="29" t="s">
        <v>22</v>
      </c>
      <c r="J426" s="29" t="s">
        <v>19</v>
      </c>
      <c r="K426" s="19" t="s">
        <v>36</v>
      </c>
    </row>
    <row r="427" spans="2:11" ht="19.899999999999999" customHeight="1">
      <c r="B427" s="29">
        <v>2500424</v>
      </c>
      <c r="C427" s="20" t="s">
        <v>45</v>
      </c>
      <c r="D427" s="40">
        <v>43892</v>
      </c>
      <c r="E427" s="29" t="s">
        <v>21</v>
      </c>
      <c r="F427" s="25">
        <v>1</v>
      </c>
      <c r="G427" s="21">
        <v>48</v>
      </c>
      <c r="H427" s="21">
        <f t="shared" si="6"/>
        <v>48</v>
      </c>
      <c r="I427" s="29" t="s">
        <v>25</v>
      </c>
      <c r="J427" s="29" t="s">
        <v>23</v>
      </c>
      <c r="K427" s="19" t="s">
        <v>37</v>
      </c>
    </row>
    <row r="428" spans="2:11" ht="19.899999999999999" customHeight="1">
      <c r="B428" s="29">
        <v>2500425</v>
      </c>
      <c r="C428" s="20" t="s">
        <v>42</v>
      </c>
      <c r="D428" s="40">
        <v>43893</v>
      </c>
      <c r="E428" s="29" t="s">
        <v>9</v>
      </c>
      <c r="F428" s="25">
        <v>2</v>
      </c>
      <c r="G428" s="21">
        <v>18.5</v>
      </c>
      <c r="H428" s="21">
        <f t="shared" si="6"/>
        <v>37</v>
      </c>
      <c r="I428" s="29" t="s">
        <v>25</v>
      </c>
      <c r="J428" s="29" t="s">
        <v>23</v>
      </c>
      <c r="K428" s="19" t="s">
        <v>37</v>
      </c>
    </row>
    <row r="429" spans="2:11" ht="19.899999999999999" customHeight="1">
      <c r="B429" s="29">
        <v>2500426</v>
      </c>
      <c r="C429" s="20" t="s">
        <v>40</v>
      </c>
      <c r="D429" s="40">
        <v>43894</v>
      </c>
      <c r="E429" s="29" t="s">
        <v>12</v>
      </c>
      <c r="F429" s="25">
        <v>5</v>
      </c>
      <c r="G429" s="21">
        <v>32</v>
      </c>
      <c r="H429" s="21">
        <f t="shared" si="6"/>
        <v>160</v>
      </c>
      <c r="I429" s="29" t="s">
        <v>28</v>
      </c>
      <c r="J429" s="29" t="s">
        <v>30</v>
      </c>
      <c r="K429" s="19" t="s">
        <v>33</v>
      </c>
    </row>
    <row r="430" spans="2:11" ht="19.899999999999999" customHeight="1">
      <c r="B430" s="29">
        <v>2500427</v>
      </c>
      <c r="C430" s="20" t="s">
        <v>48</v>
      </c>
      <c r="D430" s="40">
        <v>43895</v>
      </c>
      <c r="E430" s="29" t="s">
        <v>12</v>
      </c>
      <c r="F430" s="25">
        <v>5</v>
      </c>
      <c r="G430" s="21">
        <v>32</v>
      </c>
      <c r="H430" s="21">
        <f t="shared" si="6"/>
        <v>160</v>
      </c>
      <c r="I430" s="29" t="s">
        <v>28</v>
      </c>
      <c r="J430" s="29" t="s">
        <v>30</v>
      </c>
      <c r="K430" s="19" t="s">
        <v>33</v>
      </c>
    </row>
    <row r="431" spans="2:11" ht="19.899999999999999" customHeight="1">
      <c r="B431" s="29">
        <v>2500428</v>
      </c>
      <c r="C431" s="20" t="s">
        <v>47</v>
      </c>
      <c r="D431" s="40">
        <v>43896</v>
      </c>
      <c r="E431" s="29" t="s">
        <v>9</v>
      </c>
      <c r="F431" s="25">
        <v>9</v>
      </c>
      <c r="G431" s="21">
        <v>18.5</v>
      </c>
      <c r="H431" s="21">
        <f t="shared" si="6"/>
        <v>166.5</v>
      </c>
      <c r="I431" s="29" t="s">
        <v>28</v>
      </c>
      <c r="J431" s="29" t="s">
        <v>30</v>
      </c>
      <c r="K431" s="19" t="s">
        <v>33</v>
      </c>
    </row>
    <row r="432" spans="2:11" ht="19.899999999999999" customHeight="1">
      <c r="B432" s="29">
        <v>2500429</v>
      </c>
      <c r="C432" s="20" t="s">
        <v>46</v>
      </c>
      <c r="D432" s="40">
        <v>43897</v>
      </c>
      <c r="E432" s="29" t="s">
        <v>27</v>
      </c>
      <c r="F432" s="25">
        <v>7</v>
      </c>
      <c r="G432" s="21">
        <v>15.5</v>
      </c>
      <c r="H432" s="21">
        <f t="shared" si="6"/>
        <v>108.5</v>
      </c>
      <c r="I432" s="29" t="s">
        <v>15</v>
      </c>
      <c r="J432" s="29" t="s">
        <v>16</v>
      </c>
      <c r="K432" s="19" t="s">
        <v>34</v>
      </c>
    </row>
    <row r="433" spans="2:11" ht="19.899999999999999" customHeight="1">
      <c r="B433" s="29">
        <v>2500430</v>
      </c>
      <c r="C433" s="20" t="s">
        <v>49</v>
      </c>
      <c r="D433" s="40">
        <v>43898</v>
      </c>
      <c r="E433" s="29" t="s">
        <v>24</v>
      </c>
      <c r="F433" s="25">
        <v>9</v>
      </c>
      <c r="G433" s="21">
        <v>25.5</v>
      </c>
      <c r="H433" s="21">
        <f t="shared" si="6"/>
        <v>229.5</v>
      </c>
      <c r="I433" s="29" t="s">
        <v>26</v>
      </c>
      <c r="J433" s="29" t="s">
        <v>29</v>
      </c>
      <c r="K433" s="19" t="s">
        <v>38</v>
      </c>
    </row>
    <row r="434" spans="2:11" ht="19.899999999999999" customHeight="1">
      <c r="B434" s="29">
        <v>2500431</v>
      </c>
      <c r="C434" s="20" t="s">
        <v>42</v>
      </c>
      <c r="D434" s="40">
        <v>43899</v>
      </c>
      <c r="E434" s="29" t="s">
        <v>24</v>
      </c>
      <c r="F434" s="25">
        <v>3</v>
      </c>
      <c r="G434" s="21">
        <v>25.5</v>
      </c>
      <c r="H434" s="21">
        <f t="shared" si="6"/>
        <v>76.5</v>
      </c>
      <c r="I434" s="29" t="s">
        <v>10</v>
      </c>
      <c r="J434" s="29" t="s">
        <v>11</v>
      </c>
      <c r="K434" s="19" t="s">
        <v>32</v>
      </c>
    </row>
    <row r="435" spans="2:11" ht="19.899999999999999" customHeight="1">
      <c r="B435" s="29">
        <v>2500432</v>
      </c>
      <c r="C435" s="20" t="s">
        <v>42</v>
      </c>
      <c r="D435" s="40">
        <v>43900</v>
      </c>
      <c r="E435" s="29" t="s">
        <v>24</v>
      </c>
      <c r="F435" s="25">
        <v>9</v>
      </c>
      <c r="G435" s="21">
        <v>25.5</v>
      </c>
      <c r="H435" s="21">
        <f t="shared" si="6"/>
        <v>229.5</v>
      </c>
      <c r="I435" s="29" t="s">
        <v>26</v>
      </c>
      <c r="J435" s="29" t="s">
        <v>29</v>
      </c>
      <c r="K435" s="19" t="s">
        <v>38</v>
      </c>
    </row>
    <row r="436" spans="2:11" ht="19.899999999999999" customHeight="1">
      <c r="B436" s="29">
        <v>2500433</v>
      </c>
      <c r="C436" s="20" t="s">
        <v>40</v>
      </c>
      <c r="D436" s="40">
        <v>43901</v>
      </c>
      <c r="E436" s="29" t="s">
        <v>12</v>
      </c>
      <c r="F436" s="25">
        <v>1</v>
      </c>
      <c r="G436" s="21">
        <v>32</v>
      </c>
      <c r="H436" s="21">
        <f t="shared" si="6"/>
        <v>32</v>
      </c>
      <c r="I436" s="29" t="s">
        <v>28</v>
      </c>
      <c r="J436" s="29" t="s">
        <v>30</v>
      </c>
      <c r="K436" s="19" t="s">
        <v>33</v>
      </c>
    </row>
    <row r="437" spans="2:11" ht="19.899999999999999" customHeight="1">
      <c r="B437" s="29">
        <v>2500434</v>
      </c>
      <c r="C437" s="20" t="s">
        <v>41</v>
      </c>
      <c r="D437" s="40">
        <v>43902</v>
      </c>
      <c r="E437" s="29" t="s">
        <v>20</v>
      </c>
      <c r="F437" s="25">
        <v>3</v>
      </c>
      <c r="G437" s="21">
        <v>36</v>
      </c>
      <c r="H437" s="21">
        <f t="shared" si="6"/>
        <v>108</v>
      </c>
      <c r="I437" s="29" t="s">
        <v>26</v>
      </c>
      <c r="J437" s="29" t="s">
        <v>29</v>
      </c>
      <c r="K437" s="19" t="s">
        <v>38</v>
      </c>
    </row>
    <row r="438" spans="2:11" ht="19.899999999999999" customHeight="1">
      <c r="B438" s="29">
        <v>2500435</v>
      </c>
      <c r="C438" s="20" t="s">
        <v>46</v>
      </c>
      <c r="D438" s="40">
        <v>43903</v>
      </c>
      <c r="E438" s="29" t="s">
        <v>9</v>
      </c>
      <c r="F438" s="25">
        <v>7</v>
      </c>
      <c r="G438" s="21">
        <v>18.5</v>
      </c>
      <c r="H438" s="21">
        <f t="shared" si="6"/>
        <v>129.5</v>
      </c>
      <c r="I438" s="29" t="s">
        <v>15</v>
      </c>
      <c r="J438" s="29" t="s">
        <v>16</v>
      </c>
      <c r="K438" s="19" t="s">
        <v>34</v>
      </c>
    </row>
    <row r="439" spans="2:11" ht="19.899999999999999" customHeight="1">
      <c r="B439" s="29">
        <v>2500436</v>
      </c>
      <c r="C439" s="20" t="s">
        <v>43</v>
      </c>
      <c r="D439" s="40">
        <v>43904</v>
      </c>
      <c r="E439" s="29" t="s">
        <v>21</v>
      </c>
      <c r="F439" s="25">
        <v>1</v>
      </c>
      <c r="G439" s="21">
        <v>48</v>
      </c>
      <c r="H439" s="21">
        <f t="shared" si="6"/>
        <v>48</v>
      </c>
      <c r="I439" s="29" t="s">
        <v>15</v>
      </c>
      <c r="J439" s="29" t="s">
        <v>16</v>
      </c>
      <c r="K439" s="19" t="s">
        <v>34</v>
      </c>
    </row>
    <row r="440" spans="2:11" ht="19.899999999999999" customHeight="1">
      <c r="B440" s="29">
        <v>2500437</v>
      </c>
      <c r="C440" s="20" t="s">
        <v>40</v>
      </c>
      <c r="D440" s="40">
        <v>43905</v>
      </c>
      <c r="E440" s="29" t="s">
        <v>20</v>
      </c>
      <c r="F440" s="25">
        <v>8</v>
      </c>
      <c r="G440" s="21">
        <v>36</v>
      </c>
      <c r="H440" s="21">
        <f t="shared" si="6"/>
        <v>288</v>
      </c>
      <c r="I440" s="29" t="s">
        <v>17</v>
      </c>
      <c r="J440" s="29" t="s">
        <v>18</v>
      </c>
      <c r="K440" s="19" t="s">
        <v>35</v>
      </c>
    </row>
    <row r="441" spans="2:11" ht="19.899999999999999" customHeight="1">
      <c r="B441" s="29">
        <v>2500438</v>
      </c>
      <c r="C441" s="20" t="s">
        <v>43</v>
      </c>
      <c r="D441" s="40">
        <v>43906</v>
      </c>
      <c r="E441" s="29" t="s">
        <v>24</v>
      </c>
      <c r="F441" s="25">
        <v>5</v>
      </c>
      <c r="G441" s="21">
        <v>25.5</v>
      </c>
      <c r="H441" s="21">
        <f t="shared" si="6"/>
        <v>127.5</v>
      </c>
      <c r="I441" s="29" t="s">
        <v>13</v>
      </c>
      <c r="J441" s="29" t="s">
        <v>14</v>
      </c>
      <c r="K441" s="19" t="s">
        <v>33</v>
      </c>
    </row>
    <row r="442" spans="2:11" ht="19.899999999999999" customHeight="1">
      <c r="B442" s="29">
        <v>2500439</v>
      </c>
      <c r="C442" s="20" t="s">
        <v>43</v>
      </c>
      <c r="D442" s="40">
        <v>43907</v>
      </c>
      <c r="E442" s="29" t="s">
        <v>21</v>
      </c>
      <c r="F442" s="25">
        <v>4</v>
      </c>
      <c r="G442" s="21">
        <v>48</v>
      </c>
      <c r="H442" s="21">
        <f t="shared" si="6"/>
        <v>192</v>
      </c>
      <c r="I442" s="29" t="s">
        <v>10</v>
      </c>
      <c r="J442" s="29" t="s">
        <v>11</v>
      </c>
      <c r="K442" s="19" t="s">
        <v>32</v>
      </c>
    </row>
    <row r="443" spans="2:11" ht="19.899999999999999" customHeight="1">
      <c r="B443" s="29">
        <v>2500440</v>
      </c>
      <c r="C443" s="20" t="s">
        <v>43</v>
      </c>
      <c r="D443" s="40">
        <v>43908</v>
      </c>
      <c r="E443" s="29" t="s">
        <v>20</v>
      </c>
      <c r="F443" s="25">
        <v>7</v>
      </c>
      <c r="G443" s="21">
        <v>36</v>
      </c>
      <c r="H443" s="21">
        <f t="shared" si="6"/>
        <v>252</v>
      </c>
      <c r="I443" s="29" t="s">
        <v>15</v>
      </c>
      <c r="J443" s="29" t="s">
        <v>16</v>
      </c>
      <c r="K443" s="19" t="s">
        <v>34</v>
      </c>
    </row>
    <row r="444" spans="2:11" ht="19.899999999999999" customHeight="1">
      <c r="B444" s="29">
        <v>2500441</v>
      </c>
      <c r="C444" s="20" t="s">
        <v>43</v>
      </c>
      <c r="D444" s="40">
        <v>43909</v>
      </c>
      <c r="E444" s="29" t="s">
        <v>24</v>
      </c>
      <c r="F444" s="25">
        <v>7</v>
      </c>
      <c r="G444" s="21">
        <v>25.5</v>
      </c>
      <c r="H444" s="21">
        <f t="shared" si="6"/>
        <v>178.5</v>
      </c>
      <c r="I444" s="29" t="s">
        <v>28</v>
      </c>
      <c r="J444" s="29" t="s">
        <v>30</v>
      </c>
      <c r="K444" s="19" t="s">
        <v>33</v>
      </c>
    </row>
    <row r="445" spans="2:11" ht="19.899999999999999" customHeight="1">
      <c r="B445" s="29">
        <v>2500442</v>
      </c>
      <c r="C445" s="20" t="s">
        <v>47</v>
      </c>
      <c r="D445" s="40">
        <v>43910</v>
      </c>
      <c r="E445" s="29" t="s">
        <v>12</v>
      </c>
      <c r="F445" s="25">
        <v>1</v>
      </c>
      <c r="G445" s="21">
        <v>32</v>
      </c>
      <c r="H445" s="21">
        <f t="shared" si="6"/>
        <v>32</v>
      </c>
      <c r="I445" s="29" t="s">
        <v>10</v>
      </c>
      <c r="J445" s="29" t="s">
        <v>11</v>
      </c>
      <c r="K445" s="19" t="s">
        <v>32</v>
      </c>
    </row>
    <row r="446" spans="2:11" ht="19.899999999999999" customHeight="1">
      <c r="B446" s="29">
        <v>2500443</v>
      </c>
      <c r="C446" s="20" t="s">
        <v>46</v>
      </c>
      <c r="D446" s="40">
        <v>43911</v>
      </c>
      <c r="E446" s="29" t="s">
        <v>12</v>
      </c>
      <c r="F446" s="25">
        <v>5</v>
      </c>
      <c r="G446" s="21">
        <v>32</v>
      </c>
      <c r="H446" s="21">
        <f t="shared" si="6"/>
        <v>160</v>
      </c>
      <c r="I446" s="29" t="s">
        <v>28</v>
      </c>
      <c r="J446" s="29" t="s">
        <v>30</v>
      </c>
      <c r="K446" s="19" t="s">
        <v>33</v>
      </c>
    </row>
    <row r="447" spans="2:11" ht="19.899999999999999" customHeight="1">
      <c r="B447" s="29">
        <v>2500444</v>
      </c>
      <c r="C447" s="20" t="s">
        <v>43</v>
      </c>
      <c r="D447" s="40">
        <v>43912</v>
      </c>
      <c r="E447" s="29" t="s">
        <v>21</v>
      </c>
      <c r="F447" s="25">
        <v>1</v>
      </c>
      <c r="G447" s="21">
        <v>48</v>
      </c>
      <c r="H447" s="21">
        <f t="shared" si="6"/>
        <v>48</v>
      </c>
      <c r="I447" s="29" t="s">
        <v>17</v>
      </c>
      <c r="J447" s="29" t="s">
        <v>18</v>
      </c>
      <c r="K447" s="19" t="s">
        <v>35</v>
      </c>
    </row>
    <row r="448" spans="2:11" ht="19.899999999999999" customHeight="1">
      <c r="B448" s="29">
        <v>2500445</v>
      </c>
      <c r="C448" s="20" t="s">
        <v>49</v>
      </c>
      <c r="D448" s="40">
        <v>43913</v>
      </c>
      <c r="E448" s="29" t="s">
        <v>27</v>
      </c>
      <c r="F448" s="25">
        <v>2</v>
      </c>
      <c r="G448" s="21">
        <v>15.5</v>
      </c>
      <c r="H448" s="21">
        <f t="shared" si="6"/>
        <v>31</v>
      </c>
      <c r="I448" s="29" t="s">
        <v>25</v>
      </c>
      <c r="J448" s="29" t="s">
        <v>23</v>
      </c>
      <c r="K448" s="19" t="s">
        <v>37</v>
      </c>
    </row>
    <row r="449" spans="2:11" ht="19.899999999999999" customHeight="1">
      <c r="B449" s="29">
        <v>2500446</v>
      </c>
      <c r="C449" s="20" t="s">
        <v>47</v>
      </c>
      <c r="D449" s="40">
        <v>43914</v>
      </c>
      <c r="E449" s="29" t="s">
        <v>24</v>
      </c>
      <c r="F449" s="25">
        <v>10</v>
      </c>
      <c r="G449" s="21">
        <v>25.5</v>
      </c>
      <c r="H449" s="21">
        <f t="shared" si="6"/>
        <v>255</v>
      </c>
      <c r="I449" s="29" t="s">
        <v>13</v>
      </c>
      <c r="J449" s="29" t="s">
        <v>14</v>
      </c>
      <c r="K449" s="19" t="s">
        <v>33</v>
      </c>
    </row>
    <row r="450" spans="2:11" ht="19.899999999999999" customHeight="1">
      <c r="B450" s="29">
        <v>2500447</v>
      </c>
      <c r="C450" s="20" t="s">
        <v>47</v>
      </c>
      <c r="D450" s="40">
        <v>43915</v>
      </c>
      <c r="E450" s="29" t="s">
        <v>21</v>
      </c>
      <c r="F450" s="25">
        <v>2</v>
      </c>
      <c r="G450" s="21">
        <v>48</v>
      </c>
      <c r="H450" s="21">
        <f t="shared" si="6"/>
        <v>96</v>
      </c>
      <c r="I450" s="29" t="s">
        <v>17</v>
      </c>
      <c r="J450" s="29" t="s">
        <v>18</v>
      </c>
      <c r="K450" s="19" t="s">
        <v>35</v>
      </c>
    </row>
    <row r="451" spans="2:11" ht="19.899999999999999" customHeight="1">
      <c r="B451" s="29">
        <v>2500448</v>
      </c>
      <c r="C451" s="20" t="s">
        <v>42</v>
      </c>
      <c r="D451" s="40">
        <v>43916</v>
      </c>
      <c r="E451" s="29" t="s">
        <v>12</v>
      </c>
      <c r="F451" s="25">
        <v>6</v>
      </c>
      <c r="G451" s="21">
        <v>32</v>
      </c>
      <c r="H451" s="21">
        <f t="shared" si="6"/>
        <v>192</v>
      </c>
      <c r="I451" s="29" t="s">
        <v>15</v>
      </c>
      <c r="J451" s="29" t="s">
        <v>16</v>
      </c>
      <c r="K451" s="19" t="s">
        <v>34</v>
      </c>
    </row>
    <row r="452" spans="2:11" ht="19.899999999999999" customHeight="1">
      <c r="B452" s="29">
        <v>2500449</v>
      </c>
      <c r="C452" s="20" t="s">
        <v>44</v>
      </c>
      <c r="D452" s="40">
        <v>43917</v>
      </c>
      <c r="E452" s="29" t="s">
        <v>24</v>
      </c>
      <c r="F452" s="25">
        <v>2</v>
      </c>
      <c r="G452" s="21">
        <v>25.5</v>
      </c>
      <c r="H452" s="21">
        <f t="shared" si="6"/>
        <v>51</v>
      </c>
      <c r="I452" s="29" t="s">
        <v>17</v>
      </c>
      <c r="J452" s="29" t="s">
        <v>18</v>
      </c>
      <c r="K452" s="19" t="s">
        <v>35</v>
      </c>
    </row>
    <row r="453" spans="2:11" ht="19.899999999999999" customHeight="1">
      <c r="B453" s="29">
        <v>2500450</v>
      </c>
      <c r="C453" s="20" t="s">
        <v>46</v>
      </c>
      <c r="D453" s="40">
        <v>43918</v>
      </c>
      <c r="E453" s="29" t="s">
        <v>20</v>
      </c>
      <c r="F453" s="25">
        <v>4</v>
      </c>
      <c r="G453" s="21">
        <v>36</v>
      </c>
      <c r="H453" s="21">
        <f t="shared" si="6"/>
        <v>144</v>
      </c>
      <c r="I453" s="29" t="s">
        <v>22</v>
      </c>
      <c r="J453" s="29" t="s">
        <v>19</v>
      </c>
      <c r="K453" s="19" t="s">
        <v>36</v>
      </c>
    </row>
    <row r="454" spans="2:11" ht="19.899999999999999" customHeight="1">
      <c r="B454" s="29">
        <v>2500451</v>
      </c>
      <c r="C454" s="20" t="s">
        <v>43</v>
      </c>
      <c r="D454" s="40">
        <v>43919</v>
      </c>
      <c r="E454" s="29" t="s">
        <v>21</v>
      </c>
      <c r="F454" s="25">
        <v>5</v>
      </c>
      <c r="G454" s="21">
        <v>48</v>
      </c>
      <c r="H454" s="21">
        <f t="shared" ref="H454:H517" si="7">+G454*F454</f>
        <v>240</v>
      </c>
      <c r="I454" s="29" t="s">
        <v>13</v>
      </c>
      <c r="J454" s="29" t="s">
        <v>14</v>
      </c>
      <c r="K454" s="19" t="s">
        <v>33</v>
      </c>
    </row>
    <row r="455" spans="2:11" ht="19.899999999999999" customHeight="1">
      <c r="B455" s="29">
        <v>2500452</v>
      </c>
      <c r="C455" s="20" t="s">
        <v>48</v>
      </c>
      <c r="D455" s="40">
        <v>43920</v>
      </c>
      <c r="E455" s="29" t="s">
        <v>27</v>
      </c>
      <c r="F455" s="25">
        <v>8</v>
      </c>
      <c r="G455" s="21">
        <v>15.5</v>
      </c>
      <c r="H455" s="21">
        <f t="shared" si="7"/>
        <v>124</v>
      </c>
      <c r="I455" s="29" t="s">
        <v>10</v>
      </c>
      <c r="J455" s="29" t="s">
        <v>11</v>
      </c>
      <c r="K455" s="19" t="s">
        <v>32</v>
      </c>
    </row>
    <row r="456" spans="2:11" ht="19.899999999999999" customHeight="1">
      <c r="B456" s="29">
        <v>2500453</v>
      </c>
      <c r="C456" s="20" t="s">
        <v>43</v>
      </c>
      <c r="D456" s="40">
        <v>43921</v>
      </c>
      <c r="E456" s="29" t="s">
        <v>12</v>
      </c>
      <c r="F456" s="25">
        <v>7</v>
      </c>
      <c r="G456" s="21">
        <v>32</v>
      </c>
      <c r="H456" s="21">
        <f t="shared" si="7"/>
        <v>224</v>
      </c>
      <c r="I456" s="29" t="s">
        <v>28</v>
      </c>
      <c r="J456" s="29" t="s">
        <v>30</v>
      </c>
      <c r="K456" s="19" t="s">
        <v>33</v>
      </c>
    </row>
    <row r="457" spans="2:11" ht="19.899999999999999" customHeight="1">
      <c r="B457" s="29">
        <v>2500454</v>
      </c>
      <c r="C457" s="20" t="s">
        <v>49</v>
      </c>
      <c r="D457" s="40">
        <v>43922</v>
      </c>
      <c r="E457" s="29" t="s">
        <v>27</v>
      </c>
      <c r="F457" s="25">
        <v>4</v>
      </c>
      <c r="G457" s="21">
        <v>15.5</v>
      </c>
      <c r="H457" s="21">
        <f t="shared" si="7"/>
        <v>62</v>
      </c>
      <c r="I457" s="29" t="s">
        <v>17</v>
      </c>
      <c r="J457" s="29" t="s">
        <v>18</v>
      </c>
      <c r="K457" s="19" t="s">
        <v>35</v>
      </c>
    </row>
    <row r="458" spans="2:11" ht="19.899999999999999" customHeight="1">
      <c r="B458" s="29">
        <v>2500455</v>
      </c>
      <c r="C458" s="20" t="s">
        <v>48</v>
      </c>
      <c r="D458" s="40">
        <v>43923</v>
      </c>
      <c r="E458" s="29" t="s">
        <v>12</v>
      </c>
      <c r="F458" s="25">
        <v>5</v>
      </c>
      <c r="G458" s="21">
        <v>32</v>
      </c>
      <c r="H458" s="21">
        <f t="shared" si="7"/>
        <v>160</v>
      </c>
      <c r="I458" s="29" t="s">
        <v>22</v>
      </c>
      <c r="J458" s="29" t="s">
        <v>19</v>
      </c>
      <c r="K458" s="19" t="s">
        <v>36</v>
      </c>
    </row>
    <row r="459" spans="2:11" ht="19.899999999999999" customHeight="1">
      <c r="B459" s="29">
        <v>2500456</v>
      </c>
      <c r="C459" s="20" t="s">
        <v>44</v>
      </c>
      <c r="D459" s="40">
        <v>43924</v>
      </c>
      <c r="E459" s="29" t="s">
        <v>21</v>
      </c>
      <c r="F459" s="25">
        <v>5</v>
      </c>
      <c r="G459" s="21">
        <v>48</v>
      </c>
      <c r="H459" s="21">
        <f t="shared" si="7"/>
        <v>240</v>
      </c>
      <c r="I459" s="29" t="s">
        <v>25</v>
      </c>
      <c r="J459" s="29" t="s">
        <v>23</v>
      </c>
      <c r="K459" s="19" t="s">
        <v>37</v>
      </c>
    </row>
    <row r="460" spans="2:11" ht="19.899999999999999" customHeight="1">
      <c r="B460" s="29">
        <v>2500457</v>
      </c>
      <c r="C460" s="20" t="s">
        <v>41</v>
      </c>
      <c r="D460" s="40">
        <v>43925</v>
      </c>
      <c r="E460" s="29" t="s">
        <v>27</v>
      </c>
      <c r="F460" s="25">
        <v>6</v>
      </c>
      <c r="G460" s="21">
        <v>15.5</v>
      </c>
      <c r="H460" s="21">
        <f t="shared" si="7"/>
        <v>93</v>
      </c>
      <c r="I460" s="29" t="s">
        <v>17</v>
      </c>
      <c r="J460" s="29" t="s">
        <v>18</v>
      </c>
      <c r="K460" s="19" t="s">
        <v>35</v>
      </c>
    </row>
    <row r="461" spans="2:11" ht="19.899999999999999" customHeight="1">
      <c r="B461" s="29">
        <v>2500458</v>
      </c>
      <c r="C461" s="20" t="s">
        <v>44</v>
      </c>
      <c r="D461" s="40">
        <v>43926</v>
      </c>
      <c r="E461" s="29" t="s">
        <v>24</v>
      </c>
      <c r="F461" s="25">
        <v>7</v>
      </c>
      <c r="G461" s="21">
        <v>25.5</v>
      </c>
      <c r="H461" s="21">
        <f t="shared" si="7"/>
        <v>178.5</v>
      </c>
      <c r="I461" s="29" t="s">
        <v>10</v>
      </c>
      <c r="J461" s="29" t="s">
        <v>11</v>
      </c>
      <c r="K461" s="19" t="s">
        <v>32</v>
      </c>
    </row>
    <row r="462" spans="2:11" ht="19.899999999999999" customHeight="1">
      <c r="B462" s="29">
        <v>2500459</v>
      </c>
      <c r="C462" s="20" t="s">
        <v>49</v>
      </c>
      <c r="D462" s="40">
        <v>43927</v>
      </c>
      <c r="E462" s="29" t="s">
        <v>12</v>
      </c>
      <c r="F462" s="25">
        <v>2</v>
      </c>
      <c r="G462" s="21">
        <v>32</v>
      </c>
      <c r="H462" s="21">
        <f t="shared" si="7"/>
        <v>64</v>
      </c>
      <c r="I462" s="29" t="s">
        <v>17</v>
      </c>
      <c r="J462" s="29" t="s">
        <v>18</v>
      </c>
      <c r="K462" s="19" t="s">
        <v>35</v>
      </c>
    </row>
    <row r="463" spans="2:11" ht="19.899999999999999" customHeight="1">
      <c r="B463" s="29">
        <v>2500460</v>
      </c>
      <c r="C463" s="20" t="s">
        <v>41</v>
      </c>
      <c r="D463" s="40">
        <v>43928</v>
      </c>
      <c r="E463" s="29" t="s">
        <v>27</v>
      </c>
      <c r="F463" s="25">
        <v>4</v>
      </c>
      <c r="G463" s="21">
        <v>15.5</v>
      </c>
      <c r="H463" s="21">
        <f t="shared" si="7"/>
        <v>62</v>
      </c>
      <c r="I463" s="29" t="s">
        <v>13</v>
      </c>
      <c r="J463" s="29" t="s">
        <v>14</v>
      </c>
      <c r="K463" s="19" t="s">
        <v>33</v>
      </c>
    </row>
    <row r="464" spans="2:11" ht="19.899999999999999" customHeight="1">
      <c r="B464" s="29">
        <v>2500461</v>
      </c>
      <c r="C464" s="20" t="s">
        <v>47</v>
      </c>
      <c r="D464" s="40">
        <v>43929</v>
      </c>
      <c r="E464" s="29" t="s">
        <v>21</v>
      </c>
      <c r="F464" s="25">
        <v>9</v>
      </c>
      <c r="G464" s="21">
        <v>48</v>
      </c>
      <c r="H464" s="21">
        <f t="shared" si="7"/>
        <v>432</v>
      </c>
      <c r="I464" s="29" t="s">
        <v>26</v>
      </c>
      <c r="J464" s="29" t="s">
        <v>29</v>
      </c>
      <c r="K464" s="19" t="s">
        <v>38</v>
      </c>
    </row>
    <row r="465" spans="2:11" ht="19.899999999999999" customHeight="1">
      <c r="B465" s="29">
        <v>2500462</v>
      </c>
      <c r="C465" s="20" t="s">
        <v>47</v>
      </c>
      <c r="D465" s="40">
        <v>43930</v>
      </c>
      <c r="E465" s="29" t="s">
        <v>9</v>
      </c>
      <c r="F465" s="25">
        <v>5</v>
      </c>
      <c r="G465" s="21">
        <v>18.5</v>
      </c>
      <c r="H465" s="21">
        <f t="shared" si="7"/>
        <v>92.5</v>
      </c>
      <c r="I465" s="29" t="s">
        <v>22</v>
      </c>
      <c r="J465" s="29" t="s">
        <v>19</v>
      </c>
      <c r="K465" s="19" t="s">
        <v>36</v>
      </c>
    </row>
    <row r="466" spans="2:11" ht="19.899999999999999" customHeight="1">
      <c r="B466" s="29">
        <v>2500463</v>
      </c>
      <c r="C466" s="20" t="s">
        <v>48</v>
      </c>
      <c r="D466" s="40">
        <v>43931</v>
      </c>
      <c r="E466" s="29" t="s">
        <v>24</v>
      </c>
      <c r="F466" s="25">
        <v>4</v>
      </c>
      <c r="G466" s="21">
        <v>25.5</v>
      </c>
      <c r="H466" s="21">
        <f t="shared" si="7"/>
        <v>102</v>
      </c>
      <c r="I466" s="29" t="s">
        <v>28</v>
      </c>
      <c r="J466" s="29" t="s">
        <v>30</v>
      </c>
      <c r="K466" s="19" t="s">
        <v>33</v>
      </c>
    </row>
    <row r="467" spans="2:11" ht="19.899999999999999" customHeight="1">
      <c r="B467" s="29">
        <v>2500464</v>
      </c>
      <c r="C467" s="20" t="s">
        <v>40</v>
      </c>
      <c r="D467" s="40">
        <v>43932</v>
      </c>
      <c r="E467" s="29" t="s">
        <v>21</v>
      </c>
      <c r="F467" s="25">
        <v>2</v>
      </c>
      <c r="G467" s="21">
        <v>48</v>
      </c>
      <c r="H467" s="21">
        <f t="shared" si="7"/>
        <v>96</v>
      </c>
      <c r="I467" s="29" t="s">
        <v>17</v>
      </c>
      <c r="J467" s="29" t="s">
        <v>18</v>
      </c>
      <c r="K467" s="19" t="s">
        <v>35</v>
      </c>
    </row>
    <row r="468" spans="2:11" ht="19.899999999999999" customHeight="1">
      <c r="B468" s="29">
        <v>2500465</v>
      </c>
      <c r="C468" s="20" t="s">
        <v>49</v>
      </c>
      <c r="D468" s="40">
        <v>43933</v>
      </c>
      <c r="E468" s="29" t="s">
        <v>9</v>
      </c>
      <c r="F468" s="25">
        <v>2</v>
      </c>
      <c r="G468" s="21">
        <v>18.5</v>
      </c>
      <c r="H468" s="21">
        <f t="shared" si="7"/>
        <v>37</v>
      </c>
      <c r="I468" s="29" t="s">
        <v>10</v>
      </c>
      <c r="J468" s="29" t="s">
        <v>11</v>
      </c>
      <c r="K468" s="19" t="s">
        <v>32</v>
      </c>
    </row>
    <row r="469" spans="2:11" ht="19.899999999999999" customHeight="1">
      <c r="B469" s="29">
        <v>2500466</v>
      </c>
      <c r="C469" s="20" t="s">
        <v>41</v>
      </c>
      <c r="D469" s="40">
        <v>43934</v>
      </c>
      <c r="E469" s="29" t="s">
        <v>27</v>
      </c>
      <c r="F469" s="25">
        <v>3</v>
      </c>
      <c r="G469" s="21">
        <v>15.5</v>
      </c>
      <c r="H469" s="21">
        <f t="shared" si="7"/>
        <v>46.5</v>
      </c>
      <c r="I469" s="29" t="s">
        <v>15</v>
      </c>
      <c r="J469" s="29" t="s">
        <v>16</v>
      </c>
      <c r="K469" s="19" t="s">
        <v>34</v>
      </c>
    </row>
    <row r="470" spans="2:11" ht="19.899999999999999" customHeight="1">
      <c r="B470" s="29">
        <v>2500467</v>
      </c>
      <c r="C470" s="20" t="s">
        <v>45</v>
      </c>
      <c r="D470" s="40">
        <v>43935</v>
      </c>
      <c r="E470" s="29" t="s">
        <v>24</v>
      </c>
      <c r="F470" s="25">
        <v>9</v>
      </c>
      <c r="G470" s="21">
        <v>25.5</v>
      </c>
      <c r="H470" s="21">
        <f t="shared" si="7"/>
        <v>229.5</v>
      </c>
      <c r="I470" s="29" t="s">
        <v>28</v>
      </c>
      <c r="J470" s="29" t="s">
        <v>30</v>
      </c>
      <c r="K470" s="19" t="s">
        <v>33</v>
      </c>
    </row>
    <row r="471" spans="2:11" ht="19.899999999999999" customHeight="1">
      <c r="B471" s="29">
        <v>2500468</v>
      </c>
      <c r="C471" s="20" t="s">
        <v>44</v>
      </c>
      <c r="D471" s="40">
        <v>43936</v>
      </c>
      <c r="E471" s="29" t="s">
        <v>21</v>
      </c>
      <c r="F471" s="25">
        <v>1</v>
      </c>
      <c r="G471" s="21">
        <v>48</v>
      </c>
      <c r="H471" s="21">
        <f t="shared" si="7"/>
        <v>48</v>
      </c>
      <c r="I471" s="29" t="s">
        <v>25</v>
      </c>
      <c r="J471" s="29" t="s">
        <v>23</v>
      </c>
      <c r="K471" s="19" t="s">
        <v>37</v>
      </c>
    </row>
    <row r="472" spans="2:11" ht="19.899999999999999" customHeight="1">
      <c r="B472" s="29">
        <v>2500469</v>
      </c>
      <c r="C472" s="20" t="s">
        <v>46</v>
      </c>
      <c r="D472" s="40">
        <v>43937</v>
      </c>
      <c r="E472" s="29" t="s">
        <v>9</v>
      </c>
      <c r="F472" s="25">
        <v>4</v>
      </c>
      <c r="G472" s="21">
        <v>18.5</v>
      </c>
      <c r="H472" s="21">
        <f t="shared" si="7"/>
        <v>74</v>
      </c>
      <c r="I472" s="29" t="s">
        <v>10</v>
      </c>
      <c r="J472" s="29" t="s">
        <v>11</v>
      </c>
      <c r="K472" s="19" t="s">
        <v>32</v>
      </c>
    </row>
    <row r="473" spans="2:11" ht="19.899999999999999" customHeight="1">
      <c r="B473" s="29">
        <v>2500470</v>
      </c>
      <c r="C473" s="20" t="s">
        <v>41</v>
      </c>
      <c r="D473" s="40">
        <v>43938</v>
      </c>
      <c r="E473" s="29" t="s">
        <v>9</v>
      </c>
      <c r="F473" s="25">
        <v>2</v>
      </c>
      <c r="G473" s="21">
        <v>18.5</v>
      </c>
      <c r="H473" s="21">
        <f t="shared" si="7"/>
        <v>37</v>
      </c>
      <c r="I473" s="29" t="s">
        <v>10</v>
      </c>
      <c r="J473" s="29" t="s">
        <v>11</v>
      </c>
      <c r="K473" s="19" t="s">
        <v>32</v>
      </c>
    </row>
    <row r="474" spans="2:11" ht="19.899999999999999" customHeight="1">
      <c r="B474" s="29">
        <v>2500471</v>
      </c>
      <c r="C474" s="20" t="s">
        <v>41</v>
      </c>
      <c r="D474" s="40">
        <v>43939</v>
      </c>
      <c r="E474" s="29" t="s">
        <v>9</v>
      </c>
      <c r="F474" s="25">
        <v>3</v>
      </c>
      <c r="G474" s="21">
        <v>18.5</v>
      </c>
      <c r="H474" s="21">
        <f t="shared" si="7"/>
        <v>55.5</v>
      </c>
      <c r="I474" s="29" t="s">
        <v>28</v>
      </c>
      <c r="J474" s="29" t="s">
        <v>30</v>
      </c>
      <c r="K474" s="19" t="s">
        <v>33</v>
      </c>
    </row>
    <row r="475" spans="2:11" ht="19.899999999999999" customHeight="1">
      <c r="B475" s="29">
        <v>2500472</v>
      </c>
      <c r="C475" s="20" t="s">
        <v>40</v>
      </c>
      <c r="D475" s="40">
        <v>43940</v>
      </c>
      <c r="E475" s="29" t="s">
        <v>21</v>
      </c>
      <c r="F475" s="25">
        <v>1</v>
      </c>
      <c r="G475" s="21">
        <v>48</v>
      </c>
      <c r="H475" s="21">
        <f t="shared" si="7"/>
        <v>48</v>
      </c>
      <c r="I475" s="29" t="s">
        <v>13</v>
      </c>
      <c r="J475" s="29" t="s">
        <v>14</v>
      </c>
      <c r="K475" s="19" t="s">
        <v>33</v>
      </c>
    </row>
    <row r="476" spans="2:11" ht="19.899999999999999" customHeight="1">
      <c r="B476" s="29">
        <v>2500473</v>
      </c>
      <c r="C476" s="20" t="s">
        <v>44</v>
      </c>
      <c r="D476" s="40">
        <v>43941</v>
      </c>
      <c r="E476" s="29" t="s">
        <v>24</v>
      </c>
      <c r="F476" s="25">
        <v>4</v>
      </c>
      <c r="G476" s="21">
        <v>25.5</v>
      </c>
      <c r="H476" s="21">
        <f t="shared" si="7"/>
        <v>102</v>
      </c>
      <c r="I476" s="29" t="s">
        <v>26</v>
      </c>
      <c r="J476" s="29" t="s">
        <v>29</v>
      </c>
      <c r="K476" s="19" t="s">
        <v>38</v>
      </c>
    </row>
    <row r="477" spans="2:11" ht="19.899999999999999" customHeight="1">
      <c r="B477" s="29">
        <v>2500474</v>
      </c>
      <c r="C477" s="20" t="s">
        <v>46</v>
      </c>
      <c r="D477" s="40">
        <v>43942</v>
      </c>
      <c r="E477" s="29" t="s">
        <v>27</v>
      </c>
      <c r="F477" s="25">
        <v>3</v>
      </c>
      <c r="G477" s="21">
        <v>15.5</v>
      </c>
      <c r="H477" s="21">
        <f t="shared" si="7"/>
        <v>46.5</v>
      </c>
      <c r="I477" s="29" t="s">
        <v>15</v>
      </c>
      <c r="J477" s="29" t="s">
        <v>16</v>
      </c>
      <c r="K477" s="19" t="s">
        <v>34</v>
      </c>
    </row>
    <row r="478" spans="2:11" ht="19.899999999999999" customHeight="1">
      <c r="B478" s="29">
        <v>2500475</v>
      </c>
      <c r="C478" s="20" t="s">
        <v>45</v>
      </c>
      <c r="D478" s="40">
        <v>43943</v>
      </c>
      <c r="E478" s="29" t="s">
        <v>27</v>
      </c>
      <c r="F478" s="25">
        <v>3</v>
      </c>
      <c r="G478" s="21">
        <v>15.5</v>
      </c>
      <c r="H478" s="21">
        <f t="shared" si="7"/>
        <v>46.5</v>
      </c>
      <c r="I478" s="29" t="s">
        <v>28</v>
      </c>
      <c r="J478" s="29" t="s">
        <v>30</v>
      </c>
      <c r="K478" s="19" t="s">
        <v>33</v>
      </c>
    </row>
    <row r="479" spans="2:11" ht="19.899999999999999" customHeight="1">
      <c r="B479" s="29">
        <v>2500476</v>
      </c>
      <c r="C479" s="20" t="s">
        <v>49</v>
      </c>
      <c r="D479" s="40">
        <v>43944</v>
      </c>
      <c r="E479" s="29" t="s">
        <v>9</v>
      </c>
      <c r="F479" s="25">
        <v>6</v>
      </c>
      <c r="G479" s="21">
        <v>18.5</v>
      </c>
      <c r="H479" s="21">
        <f t="shared" si="7"/>
        <v>111</v>
      </c>
      <c r="I479" s="29" t="s">
        <v>25</v>
      </c>
      <c r="J479" s="29" t="s">
        <v>23</v>
      </c>
      <c r="K479" s="19" t="s">
        <v>37</v>
      </c>
    </row>
    <row r="480" spans="2:11" ht="19.899999999999999" customHeight="1">
      <c r="B480" s="29">
        <v>2500477</v>
      </c>
      <c r="C480" s="20" t="s">
        <v>47</v>
      </c>
      <c r="D480" s="40">
        <v>43945</v>
      </c>
      <c r="E480" s="29" t="s">
        <v>9</v>
      </c>
      <c r="F480" s="25">
        <v>8</v>
      </c>
      <c r="G480" s="21">
        <v>18.5</v>
      </c>
      <c r="H480" s="21">
        <f t="shared" si="7"/>
        <v>148</v>
      </c>
      <c r="I480" s="29" t="s">
        <v>22</v>
      </c>
      <c r="J480" s="29" t="s">
        <v>19</v>
      </c>
      <c r="K480" s="19" t="s">
        <v>36</v>
      </c>
    </row>
    <row r="481" spans="2:11" ht="19.899999999999999" customHeight="1">
      <c r="B481" s="29">
        <v>2500478</v>
      </c>
      <c r="C481" s="20" t="s">
        <v>47</v>
      </c>
      <c r="D481" s="40">
        <v>43946</v>
      </c>
      <c r="E481" s="29" t="s">
        <v>24</v>
      </c>
      <c r="F481" s="25">
        <v>4</v>
      </c>
      <c r="G481" s="21">
        <v>25.5</v>
      </c>
      <c r="H481" s="21">
        <f t="shared" si="7"/>
        <v>102</v>
      </c>
      <c r="I481" s="29" t="s">
        <v>10</v>
      </c>
      <c r="J481" s="29" t="s">
        <v>11</v>
      </c>
      <c r="K481" s="19" t="s">
        <v>32</v>
      </c>
    </row>
    <row r="482" spans="2:11" ht="19.899999999999999" customHeight="1">
      <c r="B482" s="29">
        <v>2500479</v>
      </c>
      <c r="C482" s="20" t="s">
        <v>44</v>
      </c>
      <c r="D482" s="40">
        <v>43947</v>
      </c>
      <c r="E482" s="29" t="s">
        <v>20</v>
      </c>
      <c r="F482" s="25">
        <v>7</v>
      </c>
      <c r="G482" s="21">
        <v>36</v>
      </c>
      <c r="H482" s="21">
        <f t="shared" si="7"/>
        <v>252</v>
      </c>
      <c r="I482" s="29" t="s">
        <v>15</v>
      </c>
      <c r="J482" s="29" t="s">
        <v>16</v>
      </c>
      <c r="K482" s="19" t="s">
        <v>34</v>
      </c>
    </row>
    <row r="483" spans="2:11" ht="19.899999999999999" customHeight="1">
      <c r="B483" s="29">
        <v>2500480</v>
      </c>
      <c r="C483" s="20" t="s">
        <v>43</v>
      </c>
      <c r="D483" s="40">
        <v>43948</v>
      </c>
      <c r="E483" s="29" t="s">
        <v>27</v>
      </c>
      <c r="F483" s="25">
        <v>9</v>
      </c>
      <c r="G483" s="21">
        <v>15.5</v>
      </c>
      <c r="H483" s="21">
        <f t="shared" si="7"/>
        <v>139.5</v>
      </c>
      <c r="I483" s="29" t="s">
        <v>17</v>
      </c>
      <c r="J483" s="29" t="s">
        <v>18</v>
      </c>
      <c r="K483" s="19" t="s">
        <v>35</v>
      </c>
    </row>
    <row r="484" spans="2:11" ht="19.899999999999999" customHeight="1">
      <c r="B484" s="29">
        <v>2500481</v>
      </c>
      <c r="C484" s="20" t="s">
        <v>45</v>
      </c>
      <c r="D484" s="40">
        <v>43949</v>
      </c>
      <c r="E484" s="29" t="s">
        <v>27</v>
      </c>
      <c r="F484" s="25">
        <v>8</v>
      </c>
      <c r="G484" s="21">
        <v>15.5</v>
      </c>
      <c r="H484" s="21">
        <f t="shared" si="7"/>
        <v>124</v>
      </c>
      <c r="I484" s="29" t="s">
        <v>15</v>
      </c>
      <c r="J484" s="29" t="s">
        <v>16</v>
      </c>
      <c r="K484" s="19" t="s">
        <v>34</v>
      </c>
    </row>
    <row r="485" spans="2:11" ht="19.899999999999999" customHeight="1">
      <c r="B485" s="29">
        <v>2500482</v>
      </c>
      <c r="C485" s="20" t="s">
        <v>45</v>
      </c>
      <c r="D485" s="40">
        <v>43950</v>
      </c>
      <c r="E485" s="29" t="s">
        <v>27</v>
      </c>
      <c r="F485" s="25">
        <v>9</v>
      </c>
      <c r="G485" s="21">
        <v>15.5</v>
      </c>
      <c r="H485" s="21">
        <f t="shared" si="7"/>
        <v>139.5</v>
      </c>
      <c r="I485" s="29" t="s">
        <v>17</v>
      </c>
      <c r="J485" s="29" t="s">
        <v>18</v>
      </c>
      <c r="K485" s="19" t="s">
        <v>35</v>
      </c>
    </row>
    <row r="486" spans="2:11" ht="19.899999999999999" customHeight="1">
      <c r="B486" s="29">
        <v>2500483</v>
      </c>
      <c r="C486" s="20" t="s">
        <v>40</v>
      </c>
      <c r="D486" s="40">
        <v>43951</v>
      </c>
      <c r="E486" s="29" t="s">
        <v>9</v>
      </c>
      <c r="F486" s="25">
        <v>9</v>
      </c>
      <c r="G486" s="21">
        <v>18.5</v>
      </c>
      <c r="H486" s="21">
        <f t="shared" si="7"/>
        <v>166.5</v>
      </c>
      <c r="I486" s="29" t="s">
        <v>28</v>
      </c>
      <c r="J486" s="29" t="s">
        <v>30</v>
      </c>
      <c r="K486" s="19" t="s">
        <v>33</v>
      </c>
    </row>
    <row r="487" spans="2:11" ht="19.899999999999999" customHeight="1">
      <c r="B487" s="29">
        <v>2500484</v>
      </c>
      <c r="C487" s="20" t="s">
        <v>42</v>
      </c>
      <c r="D487" s="40">
        <v>43952</v>
      </c>
      <c r="E487" s="29" t="s">
        <v>20</v>
      </c>
      <c r="F487" s="25">
        <v>7</v>
      </c>
      <c r="G487" s="21">
        <v>36</v>
      </c>
      <c r="H487" s="21">
        <f t="shared" si="7"/>
        <v>252</v>
      </c>
      <c r="I487" s="29" t="s">
        <v>13</v>
      </c>
      <c r="J487" s="29" t="s">
        <v>14</v>
      </c>
      <c r="K487" s="19" t="s">
        <v>33</v>
      </c>
    </row>
    <row r="488" spans="2:11" ht="19.899999999999999" customHeight="1">
      <c r="B488" s="29">
        <v>2500485</v>
      </c>
      <c r="C488" s="20" t="s">
        <v>40</v>
      </c>
      <c r="D488" s="40">
        <v>43953</v>
      </c>
      <c r="E488" s="29" t="s">
        <v>12</v>
      </c>
      <c r="F488" s="25">
        <v>6</v>
      </c>
      <c r="G488" s="21">
        <v>32</v>
      </c>
      <c r="H488" s="21">
        <f t="shared" si="7"/>
        <v>192</v>
      </c>
      <c r="I488" s="29" t="s">
        <v>13</v>
      </c>
      <c r="J488" s="29" t="s">
        <v>14</v>
      </c>
      <c r="K488" s="19" t="s">
        <v>33</v>
      </c>
    </row>
    <row r="489" spans="2:11" ht="19.899999999999999" customHeight="1">
      <c r="B489" s="29">
        <v>2500486</v>
      </c>
      <c r="C489" s="20" t="s">
        <v>41</v>
      </c>
      <c r="D489" s="40">
        <v>43954</v>
      </c>
      <c r="E489" s="29" t="s">
        <v>9</v>
      </c>
      <c r="F489" s="25">
        <v>9</v>
      </c>
      <c r="G489" s="21">
        <v>18.5</v>
      </c>
      <c r="H489" s="21">
        <f t="shared" si="7"/>
        <v>166.5</v>
      </c>
      <c r="I489" s="29" t="s">
        <v>13</v>
      </c>
      <c r="J489" s="29" t="s">
        <v>14</v>
      </c>
      <c r="K489" s="19" t="s">
        <v>33</v>
      </c>
    </row>
    <row r="490" spans="2:11" ht="19.899999999999999" customHeight="1">
      <c r="B490" s="29">
        <v>2500487</v>
      </c>
      <c r="C490" s="20" t="s">
        <v>41</v>
      </c>
      <c r="D490" s="40">
        <v>43955</v>
      </c>
      <c r="E490" s="29" t="s">
        <v>12</v>
      </c>
      <c r="F490" s="25">
        <v>5</v>
      </c>
      <c r="G490" s="21">
        <v>32</v>
      </c>
      <c r="H490" s="21">
        <f t="shared" si="7"/>
        <v>160</v>
      </c>
      <c r="I490" s="29" t="s">
        <v>17</v>
      </c>
      <c r="J490" s="29" t="s">
        <v>18</v>
      </c>
      <c r="K490" s="19" t="s">
        <v>35</v>
      </c>
    </row>
    <row r="491" spans="2:11" ht="19.899999999999999" customHeight="1">
      <c r="B491" s="29">
        <v>2500488</v>
      </c>
      <c r="C491" s="20" t="s">
        <v>42</v>
      </c>
      <c r="D491" s="40">
        <v>43956</v>
      </c>
      <c r="E491" s="29" t="s">
        <v>24</v>
      </c>
      <c r="F491" s="25">
        <v>9</v>
      </c>
      <c r="G491" s="21">
        <v>25.5</v>
      </c>
      <c r="H491" s="21">
        <f t="shared" si="7"/>
        <v>229.5</v>
      </c>
      <c r="I491" s="29" t="s">
        <v>25</v>
      </c>
      <c r="J491" s="29" t="s">
        <v>23</v>
      </c>
      <c r="K491" s="19" t="s">
        <v>37</v>
      </c>
    </row>
    <row r="492" spans="2:11" ht="19.899999999999999" customHeight="1">
      <c r="B492" s="29">
        <v>2500489</v>
      </c>
      <c r="C492" s="20" t="s">
        <v>45</v>
      </c>
      <c r="D492" s="40">
        <v>43957</v>
      </c>
      <c r="E492" s="29" t="s">
        <v>21</v>
      </c>
      <c r="F492" s="25">
        <v>1</v>
      </c>
      <c r="G492" s="21">
        <v>48</v>
      </c>
      <c r="H492" s="21">
        <f t="shared" si="7"/>
        <v>48</v>
      </c>
      <c r="I492" s="29" t="s">
        <v>10</v>
      </c>
      <c r="J492" s="29" t="s">
        <v>11</v>
      </c>
      <c r="K492" s="19" t="s">
        <v>32</v>
      </c>
    </row>
    <row r="493" spans="2:11" ht="19.899999999999999" customHeight="1">
      <c r="B493" s="29">
        <v>2500490</v>
      </c>
      <c r="C493" s="20" t="s">
        <v>48</v>
      </c>
      <c r="D493" s="40">
        <v>43958</v>
      </c>
      <c r="E493" s="29" t="s">
        <v>12</v>
      </c>
      <c r="F493" s="25">
        <v>2</v>
      </c>
      <c r="G493" s="21">
        <v>32</v>
      </c>
      <c r="H493" s="21">
        <f t="shared" si="7"/>
        <v>64</v>
      </c>
      <c r="I493" s="29" t="s">
        <v>15</v>
      </c>
      <c r="J493" s="29" t="s">
        <v>16</v>
      </c>
      <c r="K493" s="19" t="s">
        <v>34</v>
      </c>
    </row>
    <row r="494" spans="2:11" ht="19.899999999999999" customHeight="1">
      <c r="B494" s="29">
        <v>2500491</v>
      </c>
      <c r="C494" s="20" t="s">
        <v>49</v>
      </c>
      <c r="D494" s="40">
        <v>43959</v>
      </c>
      <c r="E494" s="29" t="s">
        <v>20</v>
      </c>
      <c r="F494" s="25">
        <v>3</v>
      </c>
      <c r="G494" s="21">
        <v>36</v>
      </c>
      <c r="H494" s="21">
        <f t="shared" si="7"/>
        <v>108</v>
      </c>
      <c r="I494" s="29" t="s">
        <v>17</v>
      </c>
      <c r="J494" s="29" t="s">
        <v>18</v>
      </c>
      <c r="K494" s="19" t="s">
        <v>35</v>
      </c>
    </row>
    <row r="495" spans="2:11" ht="19.899999999999999" customHeight="1">
      <c r="B495" s="29">
        <v>2500492</v>
      </c>
      <c r="C495" s="20" t="s">
        <v>43</v>
      </c>
      <c r="D495" s="40">
        <v>43960</v>
      </c>
      <c r="E495" s="29" t="s">
        <v>9</v>
      </c>
      <c r="F495" s="25">
        <v>5</v>
      </c>
      <c r="G495" s="21">
        <v>18.5</v>
      </c>
      <c r="H495" s="21">
        <f t="shared" si="7"/>
        <v>92.5</v>
      </c>
      <c r="I495" s="29" t="s">
        <v>15</v>
      </c>
      <c r="J495" s="29" t="s">
        <v>16</v>
      </c>
      <c r="K495" s="19" t="s">
        <v>34</v>
      </c>
    </row>
    <row r="496" spans="2:11" ht="19.899999999999999" customHeight="1">
      <c r="B496" s="29">
        <v>2500493</v>
      </c>
      <c r="C496" s="20" t="s">
        <v>49</v>
      </c>
      <c r="D496" s="40">
        <v>43961</v>
      </c>
      <c r="E496" s="29" t="s">
        <v>20</v>
      </c>
      <c r="F496" s="25">
        <v>10</v>
      </c>
      <c r="G496" s="21">
        <v>36</v>
      </c>
      <c r="H496" s="21">
        <f t="shared" si="7"/>
        <v>360</v>
      </c>
      <c r="I496" s="29" t="s">
        <v>26</v>
      </c>
      <c r="J496" s="29" t="s">
        <v>29</v>
      </c>
      <c r="K496" s="19" t="s">
        <v>38</v>
      </c>
    </row>
    <row r="497" spans="2:11" ht="19.899999999999999" customHeight="1">
      <c r="B497" s="29">
        <v>2500494</v>
      </c>
      <c r="C497" s="20" t="s">
        <v>40</v>
      </c>
      <c r="D497" s="40">
        <v>43962</v>
      </c>
      <c r="E497" s="29" t="s">
        <v>12</v>
      </c>
      <c r="F497" s="25">
        <v>5</v>
      </c>
      <c r="G497" s="21">
        <v>32</v>
      </c>
      <c r="H497" s="21">
        <f t="shared" si="7"/>
        <v>160</v>
      </c>
      <c r="I497" s="29" t="s">
        <v>28</v>
      </c>
      <c r="J497" s="29" t="s">
        <v>30</v>
      </c>
      <c r="K497" s="19" t="s">
        <v>33</v>
      </c>
    </row>
    <row r="498" spans="2:11" ht="19.899999999999999" customHeight="1">
      <c r="B498" s="29">
        <v>2500495</v>
      </c>
      <c r="C498" s="20" t="s">
        <v>42</v>
      </c>
      <c r="D498" s="40">
        <v>43963</v>
      </c>
      <c r="E498" s="29" t="s">
        <v>20</v>
      </c>
      <c r="F498" s="25">
        <v>10</v>
      </c>
      <c r="G498" s="21">
        <v>36</v>
      </c>
      <c r="H498" s="21">
        <f t="shared" si="7"/>
        <v>360</v>
      </c>
      <c r="I498" s="29" t="s">
        <v>13</v>
      </c>
      <c r="J498" s="29" t="s">
        <v>14</v>
      </c>
      <c r="K498" s="19" t="s">
        <v>33</v>
      </c>
    </row>
    <row r="499" spans="2:11" ht="19.899999999999999" customHeight="1">
      <c r="B499" s="29">
        <v>2500496</v>
      </c>
      <c r="C499" s="20" t="s">
        <v>41</v>
      </c>
      <c r="D499" s="40">
        <v>43964</v>
      </c>
      <c r="E499" s="29" t="s">
        <v>12</v>
      </c>
      <c r="F499" s="25">
        <v>2</v>
      </c>
      <c r="G499" s="21">
        <v>32</v>
      </c>
      <c r="H499" s="21">
        <f t="shared" si="7"/>
        <v>64</v>
      </c>
      <c r="I499" s="29" t="s">
        <v>10</v>
      </c>
      <c r="J499" s="29" t="s">
        <v>11</v>
      </c>
      <c r="K499" s="19" t="s">
        <v>32</v>
      </c>
    </row>
    <row r="500" spans="2:11" ht="19.899999999999999" customHeight="1">
      <c r="B500" s="29">
        <v>2500497</v>
      </c>
      <c r="C500" s="20" t="s">
        <v>46</v>
      </c>
      <c r="D500" s="40">
        <v>43965</v>
      </c>
      <c r="E500" s="29" t="s">
        <v>24</v>
      </c>
      <c r="F500" s="25">
        <v>4</v>
      </c>
      <c r="G500" s="21">
        <v>25.5</v>
      </c>
      <c r="H500" s="21">
        <f t="shared" si="7"/>
        <v>102</v>
      </c>
      <c r="I500" s="29" t="s">
        <v>22</v>
      </c>
      <c r="J500" s="29" t="s">
        <v>19</v>
      </c>
      <c r="K500" s="19" t="s">
        <v>36</v>
      </c>
    </row>
    <row r="501" spans="2:11" ht="19.899999999999999" customHeight="1">
      <c r="B501" s="29">
        <v>2500498</v>
      </c>
      <c r="C501" s="20" t="s">
        <v>44</v>
      </c>
      <c r="D501" s="40">
        <v>43966</v>
      </c>
      <c r="E501" s="29" t="s">
        <v>20</v>
      </c>
      <c r="F501" s="25">
        <v>7</v>
      </c>
      <c r="G501" s="21">
        <v>36</v>
      </c>
      <c r="H501" s="21">
        <f t="shared" si="7"/>
        <v>252</v>
      </c>
      <c r="I501" s="29" t="s">
        <v>13</v>
      </c>
      <c r="J501" s="29" t="s">
        <v>14</v>
      </c>
      <c r="K501" s="19" t="s">
        <v>33</v>
      </c>
    </row>
    <row r="502" spans="2:11" ht="19.899999999999999" customHeight="1">
      <c r="B502" s="29">
        <v>2500499</v>
      </c>
      <c r="C502" s="20" t="s">
        <v>43</v>
      </c>
      <c r="D502" s="40">
        <v>43967</v>
      </c>
      <c r="E502" s="29" t="s">
        <v>9</v>
      </c>
      <c r="F502" s="25">
        <v>1</v>
      </c>
      <c r="G502" s="21">
        <v>18.5</v>
      </c>
      <c r="H502" s="21">
        <f t="shared" si="7"/>
        <v>18.5</v>
      </c>
      <c r="I502" s="29" t="s">
        <v>17</v>
      </c>
      <c r="J502" s="29" t="s">
        <v>18</v>
      </c>
      <c r="K502" s="19" t="s">
        <v>35</v>
      </c>
    </row>
    <row r="503" spans="2:11" ht="19.899999999999999" customHeight="1">
      <c r="B503" s="29">
        <v>2500500</v>
      </c>
      <c r="C503" s="20" t="s">
        <v>49</v>
      </c>
      <c r="D503" s="40">
        <v>43968</v>
      </c>
      <c r="E503" s="29" t="s">
        <v>20</v>
      </c>
      <c r="F503" s="25">
        <v>8</v>
      </c>
      <c r="G503" s="21">
        <v>36</v>
      </c>
      <c r="H503" s="21">
        <f t="shared" si="7"/>
        <v>288</v>
      </c>
      <c r="I503" s="29" t="s">
        <v>26</v>
      </c>
      <c r="J503" s="29" t="s">
        <v>29</v>
      </c>
      <c r="K503" s="19" t="s">
        <v>38</v>
      </c>
    </row>
    <row r="504" spans="2:11" ht="19.899999999999999" customHeight="1">
      <c r="B504" s="29">
        <v>2500501</v>
      </c>
      <c r="C504" s="20" t="s">
        <v>49</v>
      </c>
      <c r="D504" s="40">
        <v>43969</v>
      </c>
      <c r="E504" s="29" t="s">
        <v>9</v>
      </c>
      <c r="F504" s="25">
        <v>3</v>
      </c>
      <c r="G504" s="21">
        <v>18.5</v>
      </c>
      <c r="H504" s="21">
        <f t="shared" si="7"/>
        <v>55.5</v>
      </c>
      <c r="I504" s="29" t="s">
        <v>28</v>
      </c>
      <c r="J504" s="29" t="s">
        <v>30</v>
      </c>
      <c r="K504" s="19" t="s">
        <v>33</v>
      </c>
    </row>
    <row r="505" spans="2:11" ht="19.899999999999999" customHeight="1">
      <c r="B505" s="29">
        <v>2500502</v>
      </c>
      <c r="C505" s="20" t="s">
        <v>41</v>
      </c>
      <c r="D505" s="40">
        <v>43970</v>
      </c>
      <c r="E505" s="29" t="s">
        <v>9</v>
      </c>
      <c r="F505" s="25">
        <v>7</v>
      </c>
      <c r="G505" s="21">
        <v>18.5</v>
      </c>
      <c r="H505" s="21">
        <f t="shared" si="7"/>
        <v>129.5</v>
      </c>
      <c r="I505" s="29" t="s">
        <v>13</v>
      </c>
      <c r="J505" s="29" t="s">
        <v>14</v>
      </c>
      <c r="K505" s="19" t="s">
        <v>33</v>
      </c>
    </row>
    <row r="506" spans="2:11" ht="19.899999999999999" customHeight="1">
      <c r="B506" s="29">
        <v>2500503</v>
      </c>
      <c r="C506" s="20" t="s">
        <v>47</v>
      </c>
      <c r="D506" s="40">
        <v>43971</v>
      </c>
      <c r="E506" s="29" t="s">
        <v>12</v>
      </c>
      <c r="F506" s="25">
        <v>8</v>
      </c>
      <c r="G506" s="21">
        <v>32</v>
      </c>
      <c r="H506" s="21">
        <f t="shared" si="7"/>
        <v>256</v>
      </c>
      <c r="I506" s="29" t="s">
        <v>10</v>
      </c>
      <c r="J506" s="29" t="s">
        <v>11</v>
      </c>
      <c r="K506" s="19" t="s">
        <v>32</v>
      </c>
    </row>
    <row r="507" spans="2:11" ht="19.899999999999999" customHeight="1">
      <c r="B507" s="29">
        <v>2500504</v>
      </c>
      <c r="C507" s="20" t="s">
        <v>43</v>
      </c>
      <c r="D507" s="40">
        <v>43972</v>
      </c>
      <c r="E507" s="29" t="s">
        <v>21</v>
      </c>
      <c r="F507" s="25">
        <v>8</v>
      </c>
      <c r="G507" s="21">
        <v>48</v>
      </c>
      <c r="H507" s="21">
        <f t="shared" si="7"/>
        <v>384</v>
      </c>
      <c r="I507" s="29" t="s">
        <v>22</v>
      </c>
      <c r="J507" s="29" t="s">
        <v>19</v>
      </c>
      <c r="K507" s="19" t="s">
        <v>36</v>
      </c>
    </row>
    <row r="508" spans="2:11" ht="19.899999999999999" customHeight="1">
      <c r="B508" s="29">
        <v>2500505</v>
      </c>
      <c r="C508" s="20" t="s">
        <v>40</v>
      </c>
      <c r="D508" s="40">
        <v>43973</v>
      </c>
      <c r="E508" s="29" t="s">
        <v>27</v>
      </c>
      <c r="F508" s="25">
        <v>4</v>
      </c>
      <c r="G508" s="21">
        <v>15.5</v>
      </c>
      <c r="H508" s="21">
        <f t="shared" si="7"/>
        <v>62</v>
      </c>
      <c r="I508" s="29" t="s">
        <v>26</v>
      </c>
      <c r="J508" s="29" t="s">
        <v>29</v>
      </c>
      <c r="K508" s="19" t="s">
        <v>38</v>
      </c>
    </row>
    <row r="509" spans="2:11" ht="19.899999999999999" customHeight="1">
      <c r="B509" s="29">
        <v>2500506</v>
      </c>
      <c r="C509" s="20" t="s">
        <v>43</v>
      </c>
      <c r="D509" s="40">
        <v>43974</v>
      </c>
      <c r="E509" s="29" t="s">
        <v>9</v>
      </c>
      <c r="F509" s="25">
        <v>1</v>
      </c>
      <c r="G509" s="21">
        <v>18.5</v>
      </c>
      <c r="H509" s="21">
        <f t="shared" si="7"/>
        <v>18.5</v>
      </c>
      <c r="I509" s="29" t="s">
        <v>22</v>
      </c>
      <c r="J509" s="29" t="s">
        <v>19</v>
      </c>
      <c r="K509" s="19" t="s">
        <v>36</v>
      </c>
    </row>
    <row r="510" spans="2:11" ht="19.899999999999999" customHeight="1">
      <c r="B510" s="29">
        <v>2500507</v>
      </c>
      <c r="C510" s="20" t="s">
        <v>44</v>
      </c>
      <c r="D510" s="40">
        <v>43975</v>
      </c>
      <c r="E510" s="29" t="s">
        <v>9</v>
      </c>
      <c r="F510" s="25">
        <v>8</v>
      </c>
      <c r="G510" s="21">
        <v>18.5</v>
      </c>
      <c r="H510" s="21">
        <f t="shared" si="7"/>
        <v>148</v>
      </c>
      <c r="I510" s="29" t="s">
        <v>13</v>
      </c>
      <c r="J510" s="29" t="s">
        <v>14</v>
      </c>
      <c r="K510" s="19" t="s">
        <v>33</v>
      </c>
    </row>
    <row r="511" spans="2:11" ht="19.899999999999999" customHeight="1">
      <c r="B511" s="29">
        <v>2500508</v>
      </c>
      <c r="C511" s="20" t="s">
        <v>42</v>
      </c>
      <c r="D511" s="40">
        <v>43976</v>
      </c>
      <c r="E511" s="29" t="s">
        <v>12</v>
      </c>
      <c r="F511" s="25">
        <v>10</v>
      </c>
      <c r="G511" s="21">
        <v>32</v>
      </c>
      <c r="H511" s="21">
        <f t="shared" si="7"/>
        <v>320</v>
      </c>
      <c r="I511" s="29" t="s">
        <v>13</v>
      </c>
      <c r="J511" s="29" t="s">
        <v>14</v>
      </c>
      <c r="K511" s="19" t="s">
        <v>33</v>
      </c>
    </row>
    <row r="512" spans="2:11" ht="19.899999999999999" customHeight="1">
      <c r="B512" s="29">
        <v>2500509</v>
      </c>
      <c r="C512" s="20" t="s">
        <v>46</v>
      </c>
      <c r="D512" s="40">
        <v>43977</v>
      </c>
      <c r="E512" s="29" t="s">
        <v>21</v>
      </c>
      <c r="F512" s="25">
        <v>2</v>
      </c>
      <c r="G512" s="21">
        <v>48</v>
      </c>
      <c r="H512" s="21">
        <f t="shared" si="7"/>
        <v>96</v>
      </c>
      <c r="I512" s="29" t="s">
        <v>10</v>
      </c>
      <c r="J512" s="29" t="s">
        <v>11</v>
      </c>
      <c r="K512" s="19" t="s">
        <v>32</v>
      </c>
    </row>
    <row r="513" spans="2:11" ht="19.899999999999999" customHeight="1">
      <c r="B513" s="29">
        <v>2500510</v>
      </c>
      <c r="C513" s="20" t="s">
        <v>41</v>
      </c>
      <c r="D513" s="40">
        <v>43978</v>
      </c>
      <c r="E513" s="29" t="s">
        <v>24</v>
      </c>
      <c r="F513" s="25">
        <v>1</v>
      </c>
      <c r="G513" s="21">
        <v>25.5</v>
      </c>
      <c r="H513" s="21">
        <f t="shared" si="7"/>
        <v>25.5</v>
      </c>
      <c r="I513" s="29" t="s">
        <v>22</v>
      </c>
      <c r="J513" s="29" t="s">
        <v>19</v>
      </c>
      <c r="K513" s="19" t="s">
        <v>36</v>
      </c>
    </row>
    <row r="514" spans="2:11" ht="19.899999999999999" customHeight="1">
      <c r="B514" s="29">
        <v>2500511</v>
      </c>
      <c r="C514" s="20" t="s">
        <v>47</v>
      </c>
      <c r="D514" s="40">
        <v>43979</v>
      </c>
      <c r="E514" s="29" t="s">
        <v>12</v>
      </c>
      <c r="F514" s="25">
        <v>1</v>
      </c>
      <c r="G514" s="21">
        <v>32</v>
      </c>
      <c r="H514" s="21">
        <f t="shared" si="7"/>
        <v>32</v>
      </c>
      <c r="I514" s="29" t="s">
        <v>25</v>
      </c>
      <c r="J514" s="29" t="s">
        <v>23</v>
      </c>
      <c r="K514" s="19" t="s">
        <v>37</v>
      </c>
    </row>
    <row r="515" spans="2:11" ht="19.899999999999999" customHeight="1">
      <c r="B515" s="29">
        <v>2500512</v>
      </c>
      <c r="C515" s="20" t="s">
        <v>44</v>
      </c>
      <c r="D515" s="40">
        <v>43980</v>
      </c>
      <c r="E515" s="29" t="s">
        <v>9</v>
      </c>
      <c r="F515" s="25">
        <v>5</v>
      </c>
      <c r="G515" s="21">
        <v>18.5</v>
      </c>
      <c r="H515" s="21">
        <f t="shared" si="7"/>
        <v>92.5</v>
      </c>
      <c r="I515" s="29" t="s">
        <v>22</v>
      </c>
      <c r="J515" s="29" t="s">
        <v>19</v>
      </c>
      <c r="K515" s="19" t="s">
        <v>36</v>
      </c>
    </row>
    <row r="516" spans="2:11" ht="19.899999999999999" customHeight="1">
      <c r="B516" s="29">
        <v>2500513</v>
      </c>
      <c r="C516" s="20" t="s">
        <v>47</v>
      </c>
      <c r="D516" s="40">
        <v>43981</v>
      </c>
      <c r="E516" s="29" t="s">
        <v>21</v>
      </c>
      <c r="F516" s="25">
        <v>8</v>
      </c>
      <c r="G516" s="21">
        <v>48</v>
      </c>
      <c r="H516" s="21">
        <f t="shared" si="7"/>
        <v>384</v>
      </c>
      <c r="I516" s="29" t="s">
        <v>17</v>
      </c>
      <c r="J516" s="29" t="s">
        <v>18</v>
      </c>
      <c r="K516" s="19" t="s">
        <v>35</v>
      </c>
    </row>
    <row r="517" spans="2:11" ht="19.899999999999999" customHeight="1">
      <c r="B517" s="29">
        <v>2500514</v>
      </c>
      <c r="C517" s="20" t="s">
        <v>41</v>
      </c>
      <c r="D517" s="40">
        <v>43982</v>
      </c>
      <c r="E517" s="29" t="s">
        <v>24</v>
      </c>
      <c r="F517" s="25">
        <v>5</v>
      </c>
      <c r="G517" s="21">
        <v>25.5</v>
      </c>
      <c r="H517" s="21">
        <f t="shared" si="7"/>
        <v>127.5</v>
      </c>
      <c r="I517" s="29" t="s">
        <v>22</v>
      </c>
      <c r="J517" s="29" t="s">
        <v>19</v>
      </c>
      <c r="K517" s="19" t="s">
        <v>36</v>
      </c>
    </row>
    <row r="518" spans="2:11" ht="19.899999999999999" customHeight="1">
      <c r="B518" s="29">
        <v>2500515</v>
      </c>
      <c r="C518" s="20" t="s">
        <v>47</v>
      </c>
      <c r="D518" s="40">
        <v>43983</v>
      </c>
      <c r="E518" s="29" t="s">
        <v>24</v>
      </c>
      <c r="F518" s="25">
        <v>4</v>
      </c>
      <c r="G518" s="21">
        <v>25.5</v>
      </c>
      <c r="H518" s="21">
        <f t="shared" ref="H518:H581" si="8">+G518*F518</f>
        <v>102</v>
      </c>
      <c r="I518" s="29" t="s">
        <v>28</v>
      </c>
      <c r="J518" s="29" t="s">
        <v>30</v>
      </c>
      <c r="K518" s="19" t="s">
        <v>33</v>
      </c>
    </row>
    <row r="519" spans="2:11" ht="19.899999999999999" customHeight="1">
      <c r="B519" s="29">
        <v>2500516</v>
      </c>
      <c r="C519" s="20" t="s">
        <v>46</v>
      </c>
      <c r="D519" s="40">
        <v>43984</v>
      </c>
      <c r="E519" s="29" t="s">
        <v>24</v>
      </c>
      <c r="F519" s="25">
        <v>4</v>
      </c>
      <c r="G519" s="21">
        <v>25.5</v>
      </c>
      <c r="H519" s="21">
        <f t="shared" si="8"/>
        <v>102</v>
      </c>
      <c r="I519" s="29" t="s">
        <v>25</v>
      </c>
      <c r="J519" s="29" t="s">
        <v>23</v>
      </c>
      <c r="K519" s="19" t="s">
        <v>37</v>
      </c>
    </row>
    <row r="520" spans="2:11" ht="19.899999999999999" customHeight="1">
      <c r="B520" s="29">
        <v>2500517</v>
      </c>
      <c r="C520" s="20" t="s">
        <v>45</v>
      </c>
      <c r="D520" s="40">
        <v>43985</v>
      </c>
      <c r="E520" s="29" t="s">
        <v>27</v>
      </c>
      <c r="F520" s="25">
        <v>1</v>
      </c>
      <c r="G520" s="21">
        <v>15.5</v>
      </c>
      <c r="H520" s="21">
        <f t="shared" si="8"/>
        <v>15.5</v>
      </c>
      <c r="I520" s="29" t="s">
        <v>26</v>
      </c>
      <c r="J520" s="29" t="s">
        <v>29</v>
      </c>
      <c r="K520" s="19" t="s">
        <v>38</v>
      </c>
    </row>
    <row r="521" spans="2:11" ht="19.899999999999999" customHeight="1">
      <c r="B521" s="29">
        <v>2500518</v>
      </c>
      <c r="C521" s="20" t="s">
        <v>46</v>
      </c>
      <c r="D521" s="40">
        <v>43986</v>
      </c>
      <c r="E521" s="29" t="s">
        <v>12</v>
      </c>
      <c r="F521" s="25">
        <v>10</v>
      </c>
      <c r="G521" s="21">
        <v>32</v>
      </c>
      <c r="H521" s="21">
        <f t="shared" si="8"/>
        <v>320</v>
      </c>
      <c r="I521" s="29" t="s">
        <v>17</v>
      </c>
      <c r="J521" s="29" t="s">
        <v>18</v>
      </c>
      <c r="K521" s="19" t="s">
        <v>35</v>
      </c>
    </row>
    <row r="522" spans="2:11" ht="19.899999999999999" customHeight="1">
      <c r="B522" s="29">
        <v>2500519</v>
      </c>
      <c r="C522" s="20" t="s">
        <v>41</v>
      </c>
      <c r="D522" s="40">
        <v>43987</v>
      </c>
      <c r="E522" s="29" t="s">
        <v>21</v>
      </c>
      <c r="F522" s="25">
        <v>10</v>
      </c>
      <c r="G522" s="21">
        <v>48</v>
      </c>
      <c r="H522" s="21">
        <f t="shared" si="8"/>
        <v>480</v>
      </c>
      <c r="I522" s="29" t="s">
        <v>13</v>
      </c>
      <c r="J522" s="29" t="s">
        <v>14</v>
      </c>
      <c r="K522" s="19" t="s">
        <v>33</v>
      </c>
    </row>
    <row r="523" spans="2:11" ht="19.899999999999999" customHeight="1">
      <c r="B523" s="29">
        <v>2500520</v>
      </c>
      <c r="C523" s="20" t="s">
        <v>49</v>
      </c>
      <c r="D523" s="40">
        <v>43988</v>
      </c>
      <c r="E523" s="29" t="s">
        <v>20</v>
      </c>
      <c r="F523" s="25">
        <v>6</v>
      </c>
      <c r="G523" s="21">
        <v>36</v>
      </c>
      <c r="H523" s="21">
        <f t="shared" si="8"/>
        <v>216</v>
      </c>
      <c r="I523" s="29" t="s">
        <v>15</v>
      </c>
      <c r="J523" s="29" t="s">
        <v>16</v>
      </c>
      <c r="K523" s="19" t="s">
        <v>34</v>
      </c>
    </row>
    <row r="524" spans="2:11" ht="19.899999999999999" customHeight="1">
      <c r="B524" s="29">
        <v>2500521</v>
      </c>
      <c r="C524" s="20" t="s">
        <v>49</v>
      </c>
      <c r="D524" s="40">
        <v>43989</v>
      </c>
      <c r="E524" s="29" t="s">
        <v>21</v>
      </c>
      <c r="F524" s="25">
        <v>4</v>
      </c>
      <c r="G524" s="21">
        <v>48</v>
      </c>
      <c r="H524" s="21">
        <f t="shared" si="8"/>
        <v>192</v>
      </c>
      <c r="I524" s="29" t="s">
        <v>17</v>
      </c>
      <c r="J524" s="29" t="s">
        <v>18</v>
      </c>
      <c r="K524" s="19" t="s">
        <v>35</v>
      </c>
    </row>
    <row r="525" spans="2:11" ht="19.899999999999999" customHeight="1">
      <c r="B525" s="29">
        <v>2500522</v>
      </c>
      <c r="C525" s="20" t="s">
        <v>48</v>
      </c>
      <c r="D525" s="40">
        <v>43990</v>
      </c>
      <c r="E525" s="29" t="s">
        <v>20</v>
      </c>
      <c r="F525" s="25">
        <v>2</v>
      </c>
      <c r="G525" s="21">
        <v>36</v>
      </c>
      <c r="H525" s="21">
        <f t="shared" si="8"/>
        <v>72</v>
      </c>
      <c r="I525" s="29" t="s">
        <v>25</v>
      </c>
      <c r="J525" s="29" t="s">
        <v>23</v>
      </c>
      <c r="K525" s="19" t="s">
        <v>37</v>
      </c>
    </row>
    <row r="526" spans="2:11" ht="19.899999999999999" customHeight="1">
      <c r="B526" s="29">
        <v>2500523</v>
      </c>
      <c r="C526" s="20" t="s">
        <v>46</v>
      </c>
      <c r="D526" s="40">
        <v>43991</v>
      </c>
      <c r="E526" s="29" t="s">
        <v>20</v>
      </c>
      <c r="F526" s="25">
        <v>8</v>
      </c>
      <c r="G526" s="21">
        <v>36</v>
      </c>
      <c r="H526" s="21">
        <f t="shared" si="8"/>
        <v>288</v>
      </c>
      <c r="I526" s="29" t="s">
        <v>15</v>
      </c>
      <c r="J526" s="29" t="s">
        <v>16</v>
      </c>
      <c r="K526" s="19" t="s">
        <v>34</v>
      </c>
    </row>
    <row r="527" spans="2:11" ht="19.899999999999999" customHeight="1">
      <c r="B527" s="29">
        <v>2500524</v>
      </c>
      <c r="C527" s="20" t="s">
        <v>46</v>
      </c>
      <c r="D527" s="40">
        <v>43992</v>
      </c>
      <c r="E527" s="29" t="s">
        <v>12</v>
      </c>
      <c r="F527" s="25">
        <v>10</v>
      </c>
      <c r="G527" s="21">
        <v>32</v>
      </c>
      <c r="H527" s="21">
        <f t="shared" si="8"/>
        <v>320</v>
      </c>
      <c r="I527" s="29" t="s">
        <v>26</v>
      </c>
      <c r="J527" s="29" t="s">
        <v>29</v>
      </c>
      <c r="K527" s="19" t="s">
        <v>38</v>
      </c>
    </row>
    <row r="528" spans="2:11" ht="19.899999999999999" customHeight="1">
      <c r="B528" s="29">
        <v>2500525</v>
      </c>
      <c r="C528" s="20" t="s">
        <v>41</v>
      </c>
      <c r="D528" s="40">
        <v>43993</v>
      </c>
      <c r="E528" s="29" t="s">
        <v>12</v>
      </c>
      <c r="F528" s="25">
        <v>2</v>
      </c>
      <c r="G528" s="21">
        <v>32</v>
      </c>
      <c r="H528" s="21">
        <f t="shared" si="8"/>
        <v>64</v>
      </c>
      <c r="I528" s="29" t="s">
        <v>25</v>
      </c>
      <c r="J528" s="29" t="s">
        <v>23</v>
      </c>
      <c r="K528" s="19" t="s">
        <v>37</v>
      </c>
    </row>
    <row r="529" spans="2:11" ht="19.899999999999999" customHeight="1">
      <c r="B529" s="29">
        <v>2500526</v>
      </c>
      <c r="C529" s="20" t="s">
        <v>46</v>
      </c>
      <c r="D529" s="40">
        <v>43994</v>
      </c>
      <c r="E529" s="29" t="s">
        <v>27</v>
      </c>
      <c r="F529" s="25">
        <v>9</v>
      </c>
      <c r="G529" s="21">
        <v>15.5</v>
      </c>
      <c r="H529" s="21">
        <f t="shared" si="8"/>
        <v>139.5</v>
      </c>
      <c r="I529" s="29" t="s">
        <v>28</v>
      </c>
      <c r="J529" s="29" t="s">
        <v>30</v>
      </c>
      <c r="K529" s="19" t="s">
        <v>33</v>
      </c>
    </row>
    <row r="530" spans="2:11" ht="19.899999999999999" customHeight="1">
      <c r="B530" s="29">
        <v>2500527</v>
      </c>
      <c r="C530" s="20" t="s">
        <v>46</v>
      </c>
      <c r="D530" s="40">
        <v>43995</v>
      </c>
      <c r="E530" s="29" t="s">
        <v>24</v>
      </c>
      <c r="F530" s="25">
        <v>8</v>
      </c>
      <c r="G530" s="21">
        <v>25.5</v>
      </c>
      <c r="H530" s="21">
        <f t="shared" si="8"/>
        <v>204</v>
      </c>
      <c r="I530" s="29" t="s">
        <v>15</v>
      </c>
      <c r="J530" s="29" t="s">
        <v>16</v>
      </c>
      <c r="K530" s="19" t="s">
        <v>34</v>
      </c>
    </row>
    <row r="531" spans="2:11" ht="19.899999999999999" customHeight="1">
      <c r="B531" s="29">
        <v>2500528</v>
      </c>
      <c r="C531" s="20" t="s">
        <v>48</v>
      </c>
      <c r="D531" s="40">
        <v>43996</v>
      </c>
      <c r="E531" s="29" t="s">
        <v>27</v>
      </c>
      <c r="F531" s="25">
        <v>8</v>
      </c>
      <c r="G531" s="21">
        <v>15.5</v>
      </c>
      <c r="H531" s="21">
        <f t="shared" si="8"/>
        <v>124</v>
      </c>
      <c r="I531" s="29" t="s">
        <v>13</v>
      </c>
      <c r="J531" s="29" t="s">
        <v>14</v>
      </c>
      <c r="K531" s="19" t="s">
        <v>33</v>
      </c>
    </row>
    <row r="532" spans="2:11" ht="19.899999999999999" customHeight="1">
      <c r="B532" s="29">
        <v>2500529</v>
      </c>
      <c r="C532" s="20" t="s">
        <v>45</v>
      </c>
      <c r="D532" s="40">
        <v>43997</v>
      </c>
      <c r="E532" s="29" t="s">
        <v>12</v>
      </c>
      <c r="F532" s="25">
        <v>8</v>
      </c>
      <c r="G532" s="21">
        <v>32</v>
      </c>
      <c r="H532" s="21">
        <f t="shared" si="8"/>
        <v>256</v>
      </c>
      <c r="I532" s="29" t="s">
        <v>25</v>
      </c>
      <c r="J532" s="29" t="s">
        <v>23</v>
      </c>
      <c r="K532" s="19" t="s">
        <v>37</v>
      </c>
    </row>
    <row r="533" spans="2:11" ht="19.899999999999999" customHeight="1">
      <c r="B533" s="29">
        <v>2500530</v>
      </c>
      <c r="C533" s="20" t="s">
        <v>41</v>
      </c>
      <c r="D533" s="40">
        <v>43998</v>
      </c>
      <c r="E533" s="29" t="s">
        <v>24</v>
      </c>
      <c r="F533" s="25">
        <v>6</v>
      </c>
      <c r="G533" s="21">
        <v>25.5</v>
      </c>
      <c r="H533" s="21">
        <f t="shared" si="8"/>
        <v>153</v>
      </c>
      <c r="I533" s="29" t="s">
        <v>26</v>
      </c>
      <c r="J533" s="29" t="s">
        <v>29</v>
      </c>
      <c r="K533" s="19" t="s">
        <v>38</v>
      </c>
    </row>
    <row r="534" spans="2:11" ht="19.899999999999999" customHeight="1">
      <c r="B534" s="29">
        <v>2500531</v>
      </c>
      <c r="C534" s="20" t="s">
        <v>49</v>
      </c>
      <c r="D534" s="40">
        <v>43999</v>
      </c>
      <c r="E534" s="29" t="s">
        <v>20</v>
      </c>
      <c r="F534" s="25">
        <v>7</v>
      </c>
      <c r="G534" s="21">
        <v>36</v>
      </c>
      <c r="H534" s="21">
        <f t="shared" si="8"/>
        <v>252</v>
      </c>
      <c r="I534" s="29" t="s">
        <v>13</v>
      </c>
      <c r="J534" s="29" t="s">
        <v>14</v>
      </c>
      <c r="K534" s="19" t="s">
        <v>33</v>
      </c>
    </row>
    <row r="535" spans="2:11" ht="19.899999999999999" customHeight="1">
      <c r="B535" s="29">
        <v>2500532</v>
      </c>
      <c r="C535" s="20" t="s">
        <v>41</v>
      </c>
      <c r="D535" s="40">
        <v>44000</v>
      </c>
      <c r="E535" s="29" t="s">
        <v>20</v>
      </c>
      <c r="F535" s="25">
        <v>5</v>
      </c>
      <c r="G535" s="21">
        <v>36</v>
      </c>
      <c r="H535" s="21">
        <f t="shared" si="8"/>
        <v>180</v>
      </c>
      <c r="I535" s="29" t="s">
        <v>15</v>
      </c>
      <c r="J535" s="29" t="s">
        <v>16</v>
      </c>
      <c r="K535" s="19" t="s">
        <v>34</v>
      </c>
    </row>
    <row r="536" spans="2:11" ht="19.899999999999999" customHeight="1">
      <c r="B536" s="29">
        <v>2500533</v>
      </c>
      <c r="C536" s="20" t="s">
        <v>44</v>
      </c>
      <c r="D536" s="40">
        <v>44001</v>
      </c>
      <c r="E536" s="29" t="s">
        <v>9</v>
      </c>
      <c r="F536" s="25">
        <v>8</v>
      </c>
      <c r="G536" s="21">
        <v>18.5</v>
      </c>
      <c r="H536" s="21">
        <f t="shared" si="8"/>
        <v>148</v>
      </c>
      <c r="I536" s="29" t="s">
        <v>13</v>
      </c>
      <c r="J536" s="29" t="s">
        <v>14</v>
      </c>
      <c r="K536" s="19" t="s">
        <v>33</v>
      </c>
    </row>
    <row r="537" spans="2:11" ht="19.899999999999999" customHeight="1">
      <c r="B537" s="29">
        <v>2500534</v>
      </c>
      <c r="C537" s="20" t="s">
        <v>46</v>
      </c>
      <c r="D537" s="40">
        <v>44002</v>
      </c>
      <c r="E537" s="29" t="s">
        <v>27</v>
      </c>
      <c r="F537" s="25">
        <v>4</v>
      </c>
      <c r="G537" s="21">
        <v>15.5</v>
      </c>
      <c r="H537" s="21">
        <f t="shared" si="8"/>
        <v>62</v>
      </c>
      <c r="I537" s="29" t="s">
        <v>10</v>
      </c>
      <c r="J537" s="29" t="s">
        <v>11</v>
      </c>
      <c r="K537" s="19" t="s">
        <v>32</v>
      </c>
    </row>
    <row r="538" spans="2:11" ht="19.899999999999999" customHeight="1">
      <c r="B538" s="29">
        <v>2500535</v>
      </c>
      <c r="C538" s="20" t="s">
        <v>47</v>
      </c>
      <c r="D538" s="40">
        <v>44003</v>
      </c>
      <c r="E538" s="29" t="s">
        <v>12</v>
      </c>
      <c r="F538" s="25">
        <v>5</v>
      </c>
      <c r="G538" s="21">
        <v>32</v>
      </c>
      <c r="H538" s="21">
        <f t="shared" si="8"/>
        <v>160</v>
      </c>
      <c r="I538" s="29" t="s">
        <v>15</v>
      </c>
      <c r="J538" s="29" t="s">
        <v>16</v>
      </c>
      <c r="K538" s="19" t="s">
        <v>34</v>
      </c>
    </row>
    <row r="539" spans="2:11" ht="19.899999999999999" customHeight="1">
      <c r="B539" s="29">
        <v>2500536</v>
      </c>
      <c r="C539" s="20" t="s">
        <v>46</v>
      </c>
      <c r="D539" s="40">
        <v>44004</v>
      </c>
      <c r="E539" s="29" t="s">
        <v>27</v>
      </c>
      <c r="F539" s="25">
        <v>10</v>
      </c>
      <c r="G539" s="21">
        <v>15.5</v>
      </c>
      <c r="H539" s="21">
        <f t="shared" si="8"/>
        <v>155</v>
      </c>
      <c r="I539" s="29" t="s">
        <v>26</v>
      </c>
      <c r="J539" s="29" t="s">
        <v>29</v>
      </c>
      <c r="K539" s="19" t="s">
        <v>38</v>
      </c>
    </row>
    <row r="540" spans="2:11" ht="19.899999999999999" customHeight="1">
      <c r="B540" s="29">
        <v>2500537</v>
      </c>
      <c r="C540" s="20" t="s">
        <v>41</v>
      </c>
      <c r="D540" s="40">
        <v>44005</v>
      </c>
      <c r="E540" s="29" t="s">
        <v>27</v>
      </c>
      <c r="F540" s="25">
        <v>5</v>
      </c>
      <c r="G540" s="21">
        <v>15.5</v>
      </c>
      <c r="H540" s="21">
        <f t="shared" si="8"/>
        <v>77.5</v>
      </c>
      <c r="I540" s="29" t="s">
        <v>22</v>
      </c>
      <c r="J540" s="29" t="s">
        <v>19</v>
      </c>
      <c r="K540" s="19" t="s">
        <v>36</v>
      </c>
    </row>
    <row r="541" spans="2:11" ht="19.899999999999999" customHeight="1">
      <c r="B541" s="29">
        <v>2500538</v>
      </c>
      <c r="C541" s="20" t="s">
        <v>49</v>
      </c>
      <c r="D541" s="40">
        <v>44006</v>
      </c>
      <c r="E541" s="29" t="s">
        <v>12</v>
      </c>
      <c r="F541" s="25">
        <v>2</v>
      </c>
      <c r="G541" s="21">
        <v>32</v>
      </c>
      <c r="H541" s="21">
        <f t="shared" si="8"/>
        <v>64</v>
      </c>
      <c r="I541" s="29" t="s">
        <v>15</v>
      </c>
      <c r="J541" s="29" t="s">
        <v>16</v>
      </c>
      <c r="K541" s="19" t="s">
        <v>34</v>
      </c>
    </row>
    <row r="542" spans="2:11" ht="19.899999999999999" customHeight="1">
      <c r="B542" s="29">
        <v>2500539</v>
      </c>
      <c r="C542" s="20" t="s">
        <v>43</v>
      </c>
      <c r="D542" s="40">
        <v>44007</v>
      </c>
      <c r="E542" s="29" t="s">
        <v>12</v>
      </c>
      <c r="F542" s="25">
        <v>10</v>
      </c>
      <c r="G542" s="21">
        <v>32</v>
      </c>
      <c r="H542" s="21">
        <f t="shared" si="8"/>
        <v>320</v>
      </c>
      <c r="I542" s="29" t="s">
        <v>10</v>
      </c>
      <c r="J542" s="29" t="s">
        <v>11</v>
      </c>
      <c r="K542" s="19" t="s">
        <v>32</v>
      </c>
    </row>
    <row r="543" spans="2:11" ht="19.899999999999999" customHeight="1">
      <c r="B543" s="29">
        <v>2500540</v>
      </c>
      <c r="C543" s="20" t="s">
        <v>41</v>
      </c>
      <c r="D543" s="40">
        <v>44008</v>
      </c>
      <c r="E543" s="29" t="s">
        <v>27</v>
      </c>
      <c r="F543" s="25">
        <v>4</v>
      </c>
      <c r="G543" s="21">
        <v>15.5</v>
      </c>
      <c r="H543" s="21">
        <f t="shared" si="8"/>
        <v>62</v>
      </c>
      <c r="I543" s="29" t="s">
        <v>17</v>
      </c>
      <c r="J543" s="29" t="s">
        <v>18</v>
      </c>
      <c r="K543" s="19" t="s">
        <v>35</v>
      </c>
    </row>
    <row r="544" spans="2:11" ht="19.899999999999999" customHeight="1">
      <c r="B544" s="29">
        <v>2500541</v>
      </c>
      <c r="C544" s="20" t="s">
        <v>47</v>
      </c>
      <c r="D544" s="40">
        <v>44009</v>
      </c>
      <c r="E544" s="29" t="s">
        <v>21</v>
      </c>
      <c r="F544" s="25">
        <v>9</v>
      </c>
      <c r="G544" s="21">
        <v>48</v>
      </c>
      <c r="H544" s="21">
        <f t="shared" si="8"/>
        <v>432</v>
      </c>
      <c r="I544" s="29" t="s">
        <v>25</v>
      </c>
      <c r="J544" s="29" t="s">
        <v>23</v>
      </c>
      <c r="K544" s="19" t="s">
        <v>37</v>
      </c>
    </row>
    <row r="545" spans="2:11" ht="19.899999999999999" customHeight="1">
      <c r="B545" s="29">
        <v>2500542</v>
      </c>
      <c r="C545" s="20" t="s">
        <v>40</v>
      </c>
      <c r="D545" s="40">
        <v>44010</v>
      </c>
      <c r="E545" s="29" t="s">
        <v>21</v>
      </c>
      <c r="F545" s="25">
        <v>3</v>
      </c>
      <c r="G545" s="21">
        <v>48</v>
      </c>
      <c r="H545" s="21">
        <f t="shared" si="8"/>
        <v>144</v>
      </c>
      <c r="I545" s="29" t="s">
        <v>15</v>
      </c>
      <c r="J545" s="29" t="s">
        <v>16</v>
      </c>
      <c r="K545" s="19" t="s">
        <v>34</v>
      </c>
    </row>
    <row r="546" spans="2:11" ht="19.899999999999999" customHeight="1">
      <c r="B546" s="29">
        <v>2500543</v>
      </c>
      <c r="C546" s="20" t="s">
        <v>45</v>
      </c>
      <c r="D546" s="40">
        <v>44011</v>
      </c>
      <c r="E546" s="29" t="s">
        <v>24</v>
      </c>
      <c r="F546" s="25">
        <v>10</v>
      </c>
      <c r="G546" s="21">
        <v>25.5</v>
      </c>
      <c r="H546" s="21">
        <f t="shared" si="8"/>
        <v>255</v>
      </c>
      <c r="I546" s="29" t="s">
        <v>26</v>
      </c>
      <c r="J546" s="29" t="s">
        <v>29</v>
      </c>
      <c r="K546" s="19" t="s">
        <v>38</v>
      </c>
    </row>
    <row r="547" spans="2:11" ht="19.899999999999999" customHeight="1">
      <c r="B547" s="29">
        <v>2500544</v>
      </c>
      <c r="C547" s="20" t="s">
        <v>45</v>
      </c>
      <c r="D547" s="40">
        <v>44012</v>
      </c>
      <c r="E547" s="29" t="s">
        <v>24</v>
      </c>
      <c r="F547" s="25">
        <v>8</v>
      </c>
      <c r="G547" s="21">
        <v>25.5</v>
      </c>
      <c r="H547" s="21">
        <f t="shared" si="8"/>
        <v>204</v>
      </c>
      <c r="I547" s="29" t="s">
        <v>15</v>
      </c>
      <c r="J547" s="29" t="s">
        <v>16</v>
      </c>
      <c r="K547" s="19" t="s">
        <v>34</v>
      </c>
    </row>
    <row r="548" spans="2:11" ht="19.899999999999999" customHeight="1">
      <c r="B548" s="29">
        <v>2500545</v>
      </c>
      <c r="C548" s="20" t="s">
        <v>49</v>
      </c>
      <c r="D548" s="40">
        <v>44013</v>
      </c>
      <c r="E548" s="29" t="s">
        <v>20</v>
      </c>
      <c r="F548" s="25">
        <v>7</v>
      </c>
      <c r="G548" s="21">
        <v>36</v>
      </c>
      <c r="H548" s="21">
        <f t="shared" si="8"/>
        <v>252</v>
      </c>
      <c r="I548" s="29" t="s">
        <v>15</v>
      </c>
      <c r="J548" s="29" t="s">
        <v>16</v>
      </c>
      <c r="K548" s="19" t="s">
        <v>34</v>
      </c>
    </row>
    <row r="549" spans="2:11" ht="19.899999999999999" customHeight="1">
      <c r="B549" s="29">
        <v>2500546</v>
      </c>
      <c r="C549" s="20" t="s">
        <v>40</v>
      </c>
      <c r="D549" s="40">
        <v>44014</v>
      </c>
      <c r="E549" s="29" t="s">
        <v>24</v>
      </c>
      <c r="F549" s="25">
        <v>9</v>
      </c>
      <c r="G549" s="21">
        <v>25.5</v>
      </c>
      <c r="H549" s="21">
        <f t="shared" si="8"/>
        <v>229.5</v>
      </c>
      <c r="I549" s="29" t="s">
        <v>13</v>
      </c>
      <c r="J549" s="29" t="s">
        <v>14</v>
      </c>
      <c r="K549" s="19" t="s">
        <v>33</v>
      </c>
    </row>
    <row r="550" spans="2:11" ht="19.899999999999999" customHeight="1">
      <c r="B550" s="29">
        <v>2500547</v>
      </c>
      <c r="C550" s="20" t="s">
        <v>49</v>
      </c>
      <c r="D550" s="40">
        <v>44015</v>
      </c>
      <c r="E550" s="29" t="s">
        <v>24</v>
      </c>
      <c r="F550" s="25">
        <v>2</v>
      </c>
      <c r="G550" s="21">
        <v>25.5</v>
      </c>
      <c r="H550" s="21">
        <f t="shared" si="8"/>
        <v>51</v>
      </c>
      <c r="I550" s="29" t="s">
        <v>17</v>
      </c>
      <c r="J550" s="29" t="s">
        <v>18</v>
      </c>
      <c r="K550" s="19" t="s">
        <v>35</v>
      </c>
    </row>
    <row r="551" spans="2:11" ht="19.899999999999999" customHeight="1">
      <c r="B551" s="29">
        <v>2500548</v>
      </c>
      <c r="C551" s="20" t="s">
        <v>44</v>
      </c>
      <c r="D551" s="40">
        <v>44016</v>
      </c>
      <c r="E551" s="29" t="s">
        <v>21</v>
      </c>
      <c r="F551" s="25">
        <v>7</v>
      </c>
      <c r="G551" s="21">
        <v>48</v>
      </c>
      <c r="H551" s="21">
        <f t="shared" si="8"/>
        <v>336</v>
      </c>
      <c r="I551" s="29" t="s">
        <v>10</v>
      </c>
      <c r="J551" s="29" t="s">
        <v>11</v>
      </c>
      <c r="K551" s="19" t="s">
        <v>32</v>
      </c>
    </row>
    <row r="552" spans="2:11" ht="19.899999999999999" customHeight="1">
      <c r="B552" s="29">
        <v>2500549</v>
      </c>
      <c r="C552" s="20" t="s">
        <v>40</v>
      </c>
      <c r="D552" s="40">
        <v>44017</v>
      </c>
      <c r="E552" s="29" t="s">
        <v>20</v>
      </c>
      <c r="F552" s="25">
        <v>10</v>
      </c>
      <c r="G552" s="21">
        <v>36</v>
      </c>
      <c r="H552" s="21">
        <f t="shared" si="8"/>
        <v>360</v>
      </c>
      <c r="I552" s="29" t="s">
        <v>10</v>
      </c>
      <c r="J552" s="29" t="s">
        <v>11</v>
      </c>
      <c r="K552" s="19" t="s">
        <v>32</v>
      </c>
    </row>
    <row r="553" spans="2:11" ht="19.899999999999999" customHeight="1">
      <c r="B553" s="29">
        <v>2500550</v>
      </c>
      <c r="C553" s="20" t="s">
        <v>43</v>
      </c>
      <c r="D553" s="40">
        <v>44018</v>
      </c>
      <c r="E553" s="29" t="s">
        <v>20</v>
      </c>
      <c r="F553" s="25">
        <v>3</v>
      </c>
      <c r="G553" s="21">
        <v>36</v>
      </c>
      <c r="H553" s="21">
        <f t="shared" si="8"/>
        <v>108</v>
      </c>
      <c r="I553" s="29" t="s">
        <v>28</v>
      </c>
      <c r="J553" s="29" t="s">
        <v>30</v>
      </c>
      <c r="K553" s="19" t="s">
        <v>33</v>
      </c>
    </row>
    <row r="554" spans="2:11" ht="19.899999999999999" customHeight="1">
      <c r="B554" s="29">
        <v>2500551</v>
      </c>
      <c r="C554" s="20" t="s">
        <v>43</v>
      </c>
      <c r="D554" s="40">
        <v>44019</v>
      </c>
      <c r="E554" s="29" t="s">
        <v>12</v>
      </c>
      <c r="F554" s="25">
        <v>9</v>
      </c>
      <c r="G554" s="21">
        <v>32</v>
      </c>
      <c r="H554" s="21">
        <f t="shared" si="8"/>
        <v>288</v>
      </c>
      <c r="I554" s="29" t="s">
        <v>10</v>
      </c>
      <c r="J554" s="29" t="s">
        <v>11</v>
      </c>
      <c r="K554" s="19" t="s">
        <v>32</v>
      </c>
    </row>
    <row r="555" spans="2:11" ht="19.899999999999999" customHeight="1">
      <c r="B555" s="29">
        <v>2500552</v>
      </c>
      <c r="C555" s="20" t="s">
        <v>45</v>
      </c>
      <c r="D555" s="40">
        <v>44020</v>
      </c>
      <c r="E555" s="29" t="s">
        <v>24</v>
      </c>
      <c r="F555" s="25">
        <v>1</v>
      </c>
      <c r="G555" s="21">
        <v>25.5</v>
      </c>
      <c r="H555" s="21">
        <f t="shared" si="8"/>
        <v>25.5</v>
      </c>
      <c r="I555" s="29" t="s">
        <v>26</v>
      </c>
      <c r="J555" s="29" t="s">
        <v>29</v>
      </c>
      <c r="K555" s="19" t="s">
        <v>38</v>
      </c>
    </row>
    <row r="556" spans="2:11" ht="19.899999999999999" customHeight="1">
      <c r="B556" s="29">
        <v>2500553</v>
      </c>
      <c r="C556" s="20" t="s">
        <v>44</v>
      </c>
      <c r="D556" s="40">
        <v>44021</v>
      </c>
      <c r="E556" s="29" t="s">
        <v>24</v>
      </c>
      <c r="F556" s="25">
        <v>9</v>
      </c>
      <c r="G556" s="21">
        <v>25.5</v>
      </c>
      <c r="H556" s="21">
        <f t="shared" si="8"/>
        <v>229.5</v>
      </c>
      <c r="I556" s="29" t="s">
        <v>15</v>
      </c>
      <c r="J556" s="29" t="s">
        <v>16</v>
      </c>
      <c r="K556" s="19" t="s">
        <v>34</v>
      </c>
    </row>
    <row r="557" spans="2:11" ht="19.899999999999999" customHeight="1">
      <c r="B557" s="29">
        <v>2500554</v>
      </c>
      <c r="C557" s="20" t="s">
        <v>49</v>
      </c>
      <c r="D557" s="40">
        <v>44022</v>
      </c>
      <c r="E557" s="29" t="s">
        <v>12</v>
      </c>
      <c r="F557" s="25">
        <v>2</v>
      </c>
      <c r="G557" s="21">
        <v>32</v>
      </c>
      <c r="H557" s="21">
        <f t="shared" si="8"/>
        <v>64</v>
      </c>
      <c r="I557" s="29" t="s">
        <v>10</v>
      </c>
      <c r="J557" s="29" t="s">
        <v>11</v>
      </c>
      <c r="K557" s="19" t="s">
        <v>32</v>
      </c>
    </row>
    <row r="558" spans="2:11" ht="19.899999999999999" customHeight="1">
      <c r="B558" s="29">
        <v>2500555</v>
      </c>
      <c r="C558" s="20" t="s">
        <v>40</v>
      </c>
      <c r="D558" s="40">
        <v>44023</v>
      </c>
      <c r="E558" s="29" t="s">
        <v>20</v>
      </c>
      <c r="F558" s="25">
        <v>9</v>
      </c>
      <c r="G558" s="21">
        <v>36</v>
      </c>
      <c r="H558" s="21">
        <f t="shared" si="8"/>
        <v>324</v>
      </c>
      <c r="I558" s="29" t="s">
        <v>26</v>
      </c>
      <c r="J558" s="29" t="s">
        <v>29</v>
      </c>
      <c r="K558" s="19" t="s">
        <v>38</v>
      </c>
    </row>
    <row r="559" spans="2:11" ht="19.899999999999999" customHeight="1">
      <c r="B559" s="29">
        <v>2500556</v>
      </c>
      <c r="C559" s="20" t="s">
        <v>41</v>
      </c>
      <c r="D559" s="40">
        <v>44024</v>
      </c>
      <c r="E559" s="29" t="s">
        <v>12</v>
      </c>
      <c r="F559" s="25">
        <v>8</v>
      </c>
      <c r="G559" s="21">
        <v>32</v>
      </c>
      <c r="H559" s="21">
        <f t="shared" si="8"/>
        <v>256</v>
      </c>
      <c r="I559" s="29" t="s">
        <v>17</v>
      </c>
      <c r="J559" s="29" t="s">
        <v>18</v>
      </c>
      <c r="K559" s="19" t="s">
        <v>35</v>
      </c>
    </row>
    <row r="560" spans="2:11" ht="19.899999999999999" customHeight="1">
      <c r="B560" s="29">
        <v>2500557</v>
      </c>
      <c r="C560" s="20" t="s">
        <v>48</v>
      </c>
      <c r="D560" s="40">
        <v>44025</v>
      </c>
      <c r="E560" s="29" t="s">
        <v>9</v>
      </c>
      <c r="F560" s="25">
        <v>1</v>
      </c>
      <c r="G560" s="21">
        <v>18.5</v>
      </c>
      <c r="H560" s="21">
        <f t="shared" si="8"/>
        <v>18.5</v>
      </c>
      <c r="I560" s="29" t="s">
        <v>25</v>
      </c>
      <c r="J560" s="29" t="s">
        <v>23</v>
      </c>
      <c r="K560" s="19" t="s">
        <v>37</v>
      </c>
    </row>
    <row r="561" spans="2:11" ht="19.899999999999999" customHeight="1">
      <c r="B561" s="29">
        <v>2500558</v>
      </c>
      <c r="C561" s="20" t="s">
        <v>46</v>
      </c>
      <c r="D561" s="40">
        <v>44026</v>
      </c>
      <c r="E561" s="29" t="s">
        <v>9</v>
      </c>
      <c r="F561" s="25">
        <v>7</v>
      </c>
      <c r="G561" s="21">
        <v>18.5</v>
      </c>
      <c r="H561" s="21">
        <f t="shared" si="8"/>
        <v>129.5</v>
      </c>
      <c r="I561" s="29" t="s">
        <v>15</v>
      </c>
      <c r="J561" s="29" t="s">
        <v>16</v>
      </c>
      <c r="K561" s="19" t="s">
        <v>34</v>
      </c>
    </row>
    <row r="562" spans="2:11" ht="19.899999999999999" customHeight="1">
      <c r="B562" s="29">
        <v>2500559</v>
      </c>
      <c r="C562" s="20" t="s">
        <v>44</v>
      </c>
      <c r="D562" s="40">
        <v>44027</v>
      </c>
      <c r="E562" s="29" t="s">
        <v>24</v>
      </c>
      <c r="F562" s="25">
        <v>9</v>
      </c>
      <c r="G562" s="21">
        <v>25.5</v>
      </c>
      <c r="H562" s="21">
        <f t="shared" si="8"/>
        <v>229.5</v>
      </c>
      <c r="I562" s="29" t="s">
        <v>13</v>
      </c>
      <c r="J562" s="29" t="s">
        <v>14</v>
      </c>
      <c r="K562" s="19" t="s">
        <v>33</v>
      </c>
    </row>
    <row r="563" spans="2:11" ht="19.899999999999999" customHeight="1">
      <c r="B563" s="29">
        <v>2500560</v>
      </c>
      <c r="C563" s="20" t="s">
        <v>45</v>
      </c>
      <c r="D563" s="40">
        <v>44028</v>
      </c>
      <c r="E563" s="29" t="s">
        <v>20</v>
      </c>
      <c r="F563" s="25">
        <v>2</v>
      </c>
      <c r="G563" s="21">
        <v>36</v>
      </c>
      <c r="H563" s="21">
        <f t="shared" si="8"/>
        <v>72</v>
      </c>
      <c r="I563" s="29" t="s">
        <v>15</v>
      </c>
      <c r="J563" s="29" t="s">
        <v>16</v>
      </c>
      <c r="K563" s="19" t="s">
        <v>34</v>
      </c>
    </row>
    <row r="564" spans="2:11" ht="19.899999999999999" customHeight="1">
      <c r="B564" s="29">
        <v>2500561</v>
      </c>
      <c r="C564" s="20" t="s">
        <v>47</v>
      </c>
      <c r="D564" s="40">
        <v>44029</v>
      </c>
      <c r="E564" s="29" t="s">
        <v>9</v>
      </c>
      <c r="F564" s="25">
        <v>4</v>
      </c>
      <c r="G564" s="21">
        <v>18.5</v>
      </c>
      <c r="H564" s="21">
        <f t="shared" si="8"/>
        <v>74</v>
      </c>
      <c r="I564" s="29" t="s">
        <v>25</v>
      </c>
      <c r="J564" s="29" t="s">
        <v>23</v>
      </c>
      <c r="K564" s="19" t="s">
        <v>37</v>
      </c>
    </row>
    <row r="565" spans="2:11" ht="19.899999999999999" customHeight="1">
      <c r="B565" s="29">
        <v>2500562</v>
      </c>
      <c r="C565" s="20" t="s">
        <v>40</v>
      </c>
      <c r="D565" s="40">
        <v>44030</v>
      </c>
      <c r="E565" s="29" t="s">
        <v>9</v>
      </c>
      <c r="F565" s="25">
        <v>7</v>
      </c>
      <c r="G565" s="21">
        <v>18.5</v>
      </c>
      <c r="H565" s="21">
        <f t="shared" si="8"/>
        <v>129.5</v>
      </c>
      <c r="I565" s="29" t="s">
        <v>15</v>
      </c>
      <c r="J565" s="29" t="s">
        <v>16</v>
      </c>
      <c r="K565" s="19" t="s">
        <v>34</v>
      </c>
    </row>
    <row r="566" spans="2:11" ht="19.899999999999999" customHeight="1">
      <c r="B566" s="29">
        <v>2500563</v>
      </c>
      <c r="C566" s="20" t="s">
        <v>42</v>
      </c>
      <c r="D566" s="40">
        <v>44031</v>
      </c>
      <c r="E566" s="29" t="s">
        <v>9</v>
      </c>
      <c r="F566" s="25">
        <v>4</v>
      </c>
      <c r="G566" s="21">
        <v>18.5</v>
      </c>
      <c r="H566" s="21">
        <f t="shared" si="8"/>
        <v>74</v>
      </c>
      <c r="I566" s="29" t="s">
        <v>17</v>
      </c>
      <c r="J566" s="29" t="s">
        <v>18</v>
      </c>
      <c r="K566" s="19" t="s">
        <v>35</v>
      </c>
    </row>
    <row r="567" spans="2:11" ht="19.899999999999999" customHeight="1">
      <c r="B567" s="29">
        <v>2500564</v>
      </c>
      <c r="C567" s="20" t="s">
        <v>44</v>
      </c>
      <c r="D567" s="40">
        <v>44032</v>
      </c>
      <c r="E567" s="29" t="s">
        <v>20</v>
      </c>
      <c r="F567" s="25">
        <v>10</v>
      </c>
      <c r="G567" s="21">
        <v>36</v>
      </c>
      <c r="H567" s="21">
        <f t="shared" si="8"/>
        <v>360</v>
      </c>
      <c r="I567" s="29" t="s">
        <v>17</v>
      </c>
      <c r="J567" s="29" t="s">
        <v>18</v>
      </c>
      <c r="K567" s="19" t="s">
        <v>35</v>
      </c>
    </row>
    <row r="568" spans="2:11" ht="19.899999999999999" customHeight="1">
      <c r="B568" s="29">
        <v>2500565</v>
      </c>
      <c r="C568" s="20" t="s">
        <v>42</v>
      </c>
      <c r="D568" s="40">
        <v>44033</v>
      </c>
      <c r="E568" s="29" t="s">
        <v>12</v>
      </c>
      <c r="F568" s="25">
        <v>9</v>
      </c>
      <c r="G568" s="21">
        <v>32</v>
      </c>
      <c r="H568" s="21">
        <f t="shared" si="8"/>
        <v>288</v>
      </c>
      <c r="I568" s="29" t="s">
        <v>15</v>
      </c>
      <c r="J568" s="29" t="s">
        <v>16</v>
      </c>
      <c r="K568" s="19" t="s">
        <v>34</v>
      </c>
    </row>
    <row r="569" spans="2:11" ht="19.899999999999999" customHeight="1">
      <c r="B569" s="29">
        <v>2500566</v>
      </c>
      <c r="C569" s="20" t="s">
        <v>49</v>
      </c>
      <c r="D569" s="40">
        <v>44034</v>
      </c>
      <c r="E569" s="29" t="s">
        <v>24</v>
      </c>
      <c r="F569" s="25">
        <v>4</v>
      </c>
      <c r="G569" s="21">
        <v>25.5</v>
      </c>
      <c r="H569" s="21">
        <f t="shared" si="8"/>
        <v>102</v>
      </c>
      <c r="I569" s="29" t="s">
        <v>10</v>
      </c>
      <c r="J569" s="29" t="s">
        <v>11</v>
      </c>
      <c r="K569" s="19" t="s">
        <v>32</v>
      </c>
    </row>
    <row r="570" spans="2:11" ht="19.899999999999999" customHeight="1">
      <c r="B570" s="29">
        <v>2500567</v>
      </c>
      <c r="C570" s="20" t="s">
        <v>41</v>
      </c>
      <c r="D570" s="40">
        <v>44035</v>
      </c>
      <c r="E570" s="29" t="s">
        <v>20</v>
      </c>
      <c r="F570" s="25">
        <v>8</v>
      </c>
      <c r="G570" s="21">
        <v>36</v>
      </c>
      <c r="H570" s="21">
        <f t="shared" si="8"/>
        <v>288</v>
      </c>
      <c r="I570" s="29" t="s">
        <v>28</v>
      </c>
      <c r="J570" s="29" t="s">
        <v>30</v>
      </c>
      <c r="K570" s="19" t="s">
        <v>33</v>
      </c>
    </row>
    <row r="571" spans="2:11" ht="19.899999999999999" customHeight="1">
      <c r="B571" s="29">
        <v>2500568</v>
      </c>
      <c r="C571" s="20" t="s">
        <v>46</v>
      </c>
      <c r="D571" s="40">
        <v>44036</v>
      </c>
      <c r="E571" s="29" t="s">
        <v>27</v>
      </c>
      <c r="F571" s="25">
        <v>5</v>
      </c>
      <c r="G571" s="21">
        <v>15.5</v>
      </c>
      <c r="H571" s="21">
        <f t="shared" si="8"/>
        <v>77.5</v>
      </c>
      <c r="I571" s="29" t="s">
        <v>28</v>
      </c>
      <c r="J571" s="29" t="s">
        <v>30</v>
      </c>
      <c r="K571" s="19" t="s">
        <v>33</v>
      </c>
    </row>
    <row r="572" spans="2:11" ht="19.899999999999999" customHeight="1">
      <c r="B572" s="29">
        <v>2500569</v>
      </c>
      <c r="C572" s="20" t="s">
        <v>46</v>
      </c>
      <c r="D572" s="40">
        <v>44037</v>
      </c>
      <c r="E572" s="29" t="s">
        <v>27</v>
      </c>
      <c r="F572" s="25">
        <v>4</v>
      </c>
      <c r="G572" s="21">
        <v>15.5</v>
      </c>
      <c r="H572" s="21">
        <f t="shared" si="8"/>
        <v>62</v>
      </c>
      <c r="I572" s="29" t="s">
        <v>10</v>
      </c>
      <c r="J572" s="29" t="s">
        <v>11</v>
      </c>
      <c r="K572" s="19" t="s">
        <v>32</v>
      </c>
    </row>
    <row r="573" spans="2:11" ht="19.899999999999999" customHeight="1">
      <c r="B573" s="29">
        <v>2500570</v>
      </c>
      <c r="C573" s="20" t="s">
        <v>40</v>
      </c>
      <c r="D573" s="40">
        <v>44038</v>
      </c>
      <c r="E573" s="29" t="s">
        <v>21</v>
      </c>
      <c r="F573" s="25">
        <v>2</v>
      </c>
      <c r="G573" s="21">
        <v>48</v>
      </c>
      <c r="H573" s="21">
        <f t="shared" si="8"/>
        <v>96</v>
      </c>
      <c r="I573" s="29" t="s">
        <v>13</v>
      </c>
      <c r="J573" s="29" t="s">
        <v>14</v>
      </c>
      <c r="K573" s="19" t="s">
        <v>33</v>
      </c>
    </row>
    <row r="574" spans="2:11" ht="19.899999999999999" customHeight="1">
      <c r="B574" s="29">
        <v>2500571</v>
      </c>
      <c r="C574" s="20" t="s">
        <v>47</v>
      </c>
      <c r="D574" s="40">
        <v>44039</v>
      </c>
      <c r="E574" s="29" t="s">
        <v>20</v>
      </c>
      <c r="F574" s="25">
        <v>1</v>
      </c>
      <c r="G574" s="21">
        <v>36</v>
      </c>
      <c r="H574" s="21">
        <f t="shared" si="8"/>
        <v>36</v>
      </c>
      <c r="I574" s="29" t="s">
        <v>15</v>
      </c>
      <c r="J574" s="29" t="s">
        <v>16</v>
      </c>
      <c r="K574" s="19" t="s">
        <v>34</v>
      </c>
    </row>
    <row r="575" spans="2:11" ht="19.899999999999999" customHeight="1">
      <c r="B575" s="29">
        <v>2500572</v>
      </c>
      <c r="C575" s="20" t="s">
        <v>48</v>
      </c>
      <c r="D575" s="40">
        <v>44040</v>
      </c>
      <c r="E575" s="29" t="s">
        <v>21</v>
      </c>
      <c r="F575" s="25">
        <v>2</v>
      </c>
      <c r="G575" s="21">
        <v>48</v>
      </c>
      <c r="H575" s="21">
        <f t="shared" si="8"/>
        <v>96</v>
      </c>
      <c r="I575" s="29" t="s">
        <v>22</v>
      </c>
      <c r="J575" s="29" t="s">
        <v>19</v>
      </c>
      <c r="K575" s="19" t="s">
        <v>36</v>
      </c>
    </row>
    <row r="576" spans="2:11" ht="19.899999999999999" customHeight="1">
      <c r="B576" s="29">
        <v>2500573</v>
      </c>
      <c r="C576" s="20" t="s">
        <v>47</v>
      </c>
      <c r="D576" s="40">
        <v>44041</v>
      </c>
      <c r="E576" s="29" t="s">
        <v>27</v>
      </c>
      <c r="F576" s="25">
        <v>7</v>
      </c>
      <c r="G576" s="21">
        <v>15.5</v>
      </c>
      <c r="H576" s="21">
        <f t="shared" si="8"/>
        <v>108.5</v>
      </c>
      <c r="I576" s="29" t="s">
        <v>22</v>
      </c>
      <c r="J576" s="29" t="s">
        <v>19</v>
      </c>
      <c r="K576" s="19" t="s">
        <v>36</v>
      </c>
    </row>
    <row r="577" spans="2:11" ht="19.899999999999999" customHeight="1">
      <c r="B577" s="29">
        <v>2500574</v>
      </c>
      <c r="C577" s="20" t="s">
        <v>44</v>
      </c>
      <c r="D577" s="40">
        <v>44042</v>
      </c>
      <c r="E577" s="29" t="s">
        <v>27</v>
      </c>
      <c r="F577" s="25">
        <v>2</v>
      </c>
      <c r="G577" s="21">
        <v>15.5</v>
      </c>
      <c r="H577" s="21">
        <f t="shared" si="8"/>
        <v>31</v>
      </c>
      <c r="I577" s="29" t="s">
        <v>15</v>
      </c>
      <c r="J577" s="29" t="s">
        <v>16</v>
      </c>
      <c r="K577" s="19" t="s">
        <v>34</v>
      </c>
    </row>
    <row r="578" spans="2:11" ht="19.899999999999999" customHeight="1">
      <c r="B578" s="29">
        <v>2500575</v>
      </c>
      <c r="C578" s="20" t="s">
        <v>40</v>
      </c>
      <c r="D578" s="40">
        <v>44043</v>
      </c>
      <c r="E578" s="29" t="s">
        <v>12</v>
      </c>
      <c r="F578" s="25">
        <v>3</v>
      </c>
      <c r="G578" s="21">
        <v>32</v>
      </c>
      <c r="H578" s="21">
        <f t="shared" si="8"/>
        <v>96</v>
      </c>
      <c r="I578" s="29" t="s">
        <v>15</v>
      </c>
      <c r="J578" s="29" t="s">
        <v>16</v>
      </c>
      <c r="K578" s="19" t="s">
        <v>34</v>
      </c>
    </row>
    <row r="579" spans="2:11" ht="19.899999999999999" customHeight="1">
      <c r="B579" s="29">
        <v>2500576</v>
      </c>
      <c r="C579" s="20" t="s">
        <v>44</v>
      </c>
      <c r="D579" s="40">
        <v>44044</v>
      </c>
      <c r="E579" s="29" t="s">
        <v>9</v>
      </c>
      <c r="F579" s="25">
        <v>5</v>
      </c>
      <c r="G579" s="21">
        <v>18.5</v>
      </c>
      <c r="H579" s="21">
        <f t="shared" si="8"/>
        <v>92.5</v>
      </c>
      <c r="I579" s="29" t="s">
        <v>10</v>
      </c>
      <c r="J579" s="29" t="s">
        <v>11</v>
      </c>
      <c r="K579" s="19" t="s">
        <v>32</v>
      </c>
    </row>
    <row r="580" spans="2:11" ht="19.899999999999999" customHeight="1">
      <c r="B580" s="29">
        <v>2500577</v>
      </c>
      <c r="C580" s="20" t="s">
        <v>44</v>
      </c>
      <c r="D580" s="40">
        <v>44045</v>
      </c>
      <c r="E580" s="29" t="s">
        <v>12</v>
      </c>
      <c r="F580" s="25">
        <v>3</v>
      </c>
      <c r="G580" s="21">
        <v>32</v>
      </c>
      <c r="H580" s="21">
        <f t="shared" si="8"/>
        <v>96</v>
      </c>
      <c r="I580" s="29" t="s">
        <v>22</v>
      </c>
      <c r="J580" s="29" t="s">
        <v>19</v>
      </c>
      <c r="K580" s="19" t="s">
        <v>36</v>
      </c>
    </row>
    <row r="581" spans="2:11" ht="19.899999999999999" customHeight="1">
      <c r="B581" s="29">
        <v>2500578</v>
      </c>
      <c r="C581" s="20" t="s">
        <v>46</v>
      </c>
      <c r="D581" s="40">
        <v>44046</v>
      </c>
      <c r="E581" s="29" t="s">
        <v>27</v>
      </c>
      <c r="F581" s="25">
        <v>9</v>
      </c>
      <c r="G581" s="21">
        <v>15.5</v>
      </c>
      <c r="H581" s="21">
        <f t="shared" si="8"/>
        <v>139.5</v>
      </c>
      <c r="I581" s="29" t="s">
        <v>17</v>
      </c>
      <c r="J581" s="29" t="s">
        <v>18</v>
      </c>
      <c r="K581" s="19" t="s">
        <v>35</v>
      </c>
    </row>
    <row r="582" spans="2:11" ht="19.899999999999999" customHeight="1">
      <c r="B582" s="29">
        <v>2500579</v>
      </c>
      <c r="C582" s="20" t="s">
        <v>44</v>
      </c>
      <c r="D582" s="40">
        <v>44047</v>
      </c>
      <c r="E582" s="29" t="s">
        <v>21</v>
      </c>
      <c r="F582" s="25">
        <v>10</v>
      </c>
      <c r="G582" s="21">
        <v>48</v>
      </c>
      <c r="H582" s="21">
        <f t="shared" ref="H582:H645" si="9">+G582*F582</f>
        <v>480</v>
      </c>
      <c r="I582" s="29" t="s">
        <v>15</v>
      </c>
      <c r="J582" s="29" t="s">
        <v>16</v>
      </c>
      <c r="K582" s="19" t="s">
        <v>34</v>
      </c>
    </row>
    <row r="583" spans="2:11" ht="19.899999999999999" customHeight="1">
      <c r="B583" s="29">
        <v>2500580</v>
      </c>
      <c r="C583" s="20" t="s">
        <v>44</v>
      </c>
      <c r="D583" s="40">
        <v>44048</v>
      </c>
      <c r="E583" s="29" t="s">
        <v>12</v>
      </c>
      <c r="F583" s="25">
        <v>2</v>
      </c>
      <c r="G583" s="21">
        <v>32</v>
      </c>
      <c r="H583" s="21">
        <f t="shared" si="9"/>
        <v>64</v>
      </c>
      <c r="I583" s="29" t="s">
        <v>22</v>
      </c>
      <c r="J583" s="29" t="s">
        <v>19</v>
      </c>
      <c r="K583" s="19" t="s">
        <v>36</v>
      </c>
    </row>
    <row r="584" spans="2:11" ht="19.899999999999999" customHeight="1">
      <c r="B584" s="29">
        <v>2500581</v>
      </c>
      <c r="C584" s="20" t="s">
        <v>40</v>
      </c>
      <c r="D584" s="40">
        <v>44049</v>
      </c>
      <c r="E584" s="29" t="s">
        <v>21</v>
      </c>
      <c r="F584" s="25">
        <v>2</v>
      </c>
      <c r="G584" s="21">
        <v>48</v>
      </c>
      <c r="H584" s="21">
        <f t="shared" si="9"/>
        <v>96</v>
      </c>
      <c r="I584" s="29" t="s">
        <v>22</v>
      </c>
      <c r="J584" s="29" t="s">
        <v>19</v>
      </c>
      <c r="K584" s="19" t="s">
        <v>36</v>
      </c>
    </row>
    <row r="585" spans="2:11" ht="19.899999999999999" customHeight="1">
      <c r="B585" s="29">
        <v>2500582</v>
      </c>
      <c r="C585" s="20" t="s">
        <v>49</v>
      </c>
      <c r="D585" s="40">
        <v>44050</v>
      </c>
      <c r="E585" s="29" t="s">
        <v>24</v>
      </c>
      <c r="F585" s="25">
        <v>2</v>
      </c>
      <c r="G585" s="21">
        <v>25.5</v>
      </c>
      <c r="H585" s="21">
        <f t="shared" si="9"/>
        <v>51</v>
      </c>
      <c r="I585" s="29" t="s">
        <v>28</v>
      </c>
      <c r="J585" s="29" t="s">
        <v>30</v>
      </c>
      <c r="K585" s="19" t="s">
        <v>33</v>
      </c>
    </row>
    <row r="586" spans="2:11" ht="19.899999999999999" customHeight="1">
      <c r="B586" s="29">
        <v>2500583</v>
      </c>
      <c r="C586" s="20" t="s">
        <v>42</v>
      </c>
      <c r="D586" s="40">
        <v>44051</v>
      </c>
      <c r="E586" s="29" t="s">
        <v>21</v>
      </c>
      <c r="F586" s="25">
        <v>6</v>
      </c>
      <c r="G586" s="21">
        <v>48</v>
      </c>
      <c r="H586" s="21">
        <f t="shared" si="9"/>
        <v>288</v>
      </c>
      <c r="I586" s="29" t="s">
        <v>13</v>
      </c>
      <c r="J586" s="29" t="s">
        <v>14</v>
      </c>
      <c r="K586" s="19" t="s">
        <v>33</v>
      </c>
    </row>
    <row r="587" spans="2:11" ht="19.899999999999999" customHeight="1">
      <c r="B587" s="29">
        <v>2500584</v>
      </c>
      <c r="C587" s="20" t="s">
        <v>40</v>
      </c>
      <c r="D587" s="40">
        <v>44052</v>
      </c>
      <c r="E587" s="29" t="s">
        <v>9</v>
      </c>
      <c r="F587" s="25">
        <v>3</v>
      </c>
      <c r="G587" s="21">
        <v>18.5</v>
      </c>
      <c r="H587" s="21">
        <f t="shared" si="9"/>
        <v>55.5</v>
      </c>
      <c r="I587" s="29" t="s">
        <v>10</v>
      </c>
      <c r="J587" s="29" t="s">
        <v>11</v>
      </c>
      <c r="K587" s="19" t="s">
        <v>32</v>
      </c>
    </row>
    <row r="588" spans="2:11" ht="19.899999999999999" customHeight="1">
      <c r="B588" s="29">
        <v>2500585</v>
      </c>
      <c r="C588" s="20" t="s">
        <v>42</v>
      </c>
      <c r="D588" s="40">
        <v>44053</v>
      </c>
      <c r="E588" s="29" t="s">
        <v>21</v>
      </c>
      <c r="F588" s="25">
        <v>3</v>
      </c>
      <c r="G588" s="21">
        <v>48</v>
      </c>
      <c r="H588" s="21">
        <f t="shared" si="9"/>
        <v>144</v>
      </c>
      <c r="I588" s="29" t="s">
        <v>17</v>
      </c>
      <c r="J588" s="29" t="s">
        <v>18</v>
      </c>
      <c r="K588" s="19" t="s">
        <v>35</v>
      </c>
    </row>
    <row r="589" spans="2:11" ht="19.899999999999999" customHeight="1">
      <c r="B589" s="29">
        <v>2500586</v>
      </c>
      <c r="C589" s="20" t="s">
        <v>40</v>
      </c>
      <c r="D589" s="40">
        <v>44054</v>
      </c>
      <c r="E589" s="29" t="s">
        <v>21</v>
      </c>
      <c r="F589" s="25">
        <v>2</v>
      </c>
      <c r="G589" s="21">
        <v>48</v>
      </c>
      <c r="H589" s="21">
        <f t="shared" si="9"/>
        <v>96</v>
      </c>
      <c r="I589" s="29" t="s">
        <v>22</v>
      </c>
      <c r="J589" s="29" t="s">
        <v>19</v>
      </c>
      <c r="K589" s="19" t="s">
        <v>36</v>
      </c>
    </row>
    <row r="590" spans="2:11" ht="19.899999999999999" customHeight="1">
      <c r="B590" s="29">
        <v>2500587</v>
      </c>
      <c r="C590" s="20" t="s">
        <v>46</v>
      </c>
      <c r="D590" s="40">
        <v>44055</v>
      </c>
      <c r="E590" s="29" t="s">
        <v>21</v>
      </c>
      <c r="F590" s="25">
        <v>4</v>
      </c>
      <c r="G590" s="21">
        <v>48</v>
      </c>
      <c r="H590" s="21">
        <f t="shared" si="9"/>
        <v>192</v>
      </c>
      <c r="I590" s="29" t="s">
        <v>17</v>
      </c>
      <c r="J590" s="29" t="s">
        <v>18</v>
      </c>
      <c r="K590" s="19" t="s">
        <v>35</v>
      </c>
    </row>
    <row r="591" spans="2:11" ht="19.899999999999999" customHeight="1">
      <c r="B591" s="29">
        <v>2500588</v>
      </c>
      <c r="C591" s="20" t="s">
        <v>42</v>
      </c>
      <c r="D591" s="40">
        <v>44056</v>
      </c>
      <c r="E591" s="29" t="s">
        <v>20</v>
      </c>
      <c r="F591" s="25">
        <v>6</v>
      </c>
      <c r="G591" s="21">
        <v>36</v>
      </c>
      <c r="H591" s="21">
        <f t="shared" si="9"/>
        <v>216</v>
      </c>
      <c r="I591" s="29" t="s">
        <v>28</v>
      </c>
      <c r="J591" s="29" t="s">
        <v>30</v>
      </c>
      <c r="K591" s="19" t="s">
        <v>33</v>
      </c>
    </row>
    <row r="592" spans="2:11" ht="19.899999999999999" customHeight="1">
      <c r="B592" s="29">
        <v>2500589</v>
      </c>
      <c r="C592" s="20" t="s">
        <v>40</v>
      </c>
      <c r="D592" s="40">
        <v>44057</v>
      </c>
      <c r="E592" s="29" t="s">
        <v>24</v>
      </c>
      <c r="F592" s="25">
        <v>6</v>
      </c>
      <c r="G592" s="21">
        <v>25.5</v>
      </c>
      <c r="H592" s="21">
        <f t="shared" si="9"/>
        <v>153</v>
      </c>
      <c r="I592" s="29" t="s">
        <v>25</v>
      </c>
      <c r="J592" s="29" t="s">
        <v>23</v>
      </c>
      <c r="K592" s="19" t="s">
        <v>37</v>
      </c>
    </row>
    <row r="593" spans="2:11" ht="19.899999999999999" customHeight="1">
      <c r="B593" s="29">
        <v>2500590</v>
      </c>
      <c r="C593" s="20" t="s">
        <v>48</v>
      </c>
      <c r="D593" s="40">
        <v>44058</v>
      </c>
      <c r="E593" s="29" t="s">
        <v>21</v>
      </c>
      <c r="F593" s="25">
        <v>1</v>
      </c>
      <c r="G593" s="21">
        <v>48</v>
      </c>
      <c r="H593" s="21">
        <f t="shared" si="9"/>
        <v>48</v>
      </c>
      <c r="I593" s="29" t="s">
        <v>10</v>
      </c>
      <c r="J593" s="29" t="s">
        <v>11</v>
      </c>
      <c r="K593" s="19" t="s">
        <v>32</v>
      </c>
    </row>
    <row r="594" spans="2:11" ht="19.899999999999999" customHeight="1">
      <c r="B594" s="29">
        <v>2500591</v>
      </c>
      <c r="C594" s="20" t="s">
        <v>48</v>
      </c>
      <c r="D594" s="40">
        <v>44059</v>
      </c>
      <c r="E594" s="29" t="s">
        <v>9</v>
      </c>
      <c r="F594" s="25">
        <v>8</v>
      </c>
      <c r="G594" s="21">
        <v>18.5</v>
      </c>
      <c r="H594" s="21">
        <f t="shared" si="9"/>
        <v>148</v>
      </c>
      <c r="I594" s="29" t="s">
        <v>28</v>
      </c>
      <c r="J594" s="29" t="s">
        <v>30</v>
      </c>
      <c r="K594" s="19" t="s">
        <v>33</v>
      </c>
    </row>
    <row r="595" spans="2:11" ht="19.899999999999999" customHeight="1">
      <c r="B595" s="29">
        <v>2500592</v>
      </c>
      <c r="C595" s="20" t="s">
        <v>48</v>
      </c>
      <c r="D595" s="40">
        <v>44060</v>
      </c>
      <c r="E595" s="29" t="s">
        <v>20</v>
      </c>
      <c r="F595" s="25">
        <v>10</v>
      </c>
      <c r="G595" s="21">
        <v>36</v>
      </c>
      <c r="H595" s="21">
        <f t="shared" si="9"/>
        <v>360</v>
      </c>
      <c r="I595" s="29" t="s">
        <v>22</v>
      </c>
      <c r="J595" s="29" t="s">
        <v>19</v>
      </c>
      <c r="K595" s="19" t="s">
        <v>36</v>
      </c>
    </row>
    <row r="596" spans="2:11" ht="19.899999999999999" customHeight="1">
      <c r="B596" s="29">
        <v>2500593</v>
      </c>
      <c r="C596" s="20" t="s">
        <v>47</v>
      </c>
      <c r="D596" s="40">
        <v>44061</v>
      </c>
      <c r="E596" s="29" t="s">
        <v>12</v>
      </c>
      <c r="F596" s="25">
        <v>1</v>
      </c>
      <c r="G596" s="21">
        <v>32</v>
      </c>
      <c r="H596" s="21">
        <f t="shared" si="9"/>
        <v>32</v>
      </c>
      <c r="I596" s="29" t="s">
        <v>25</v>
      </c>
      <c r="J596" s="29" t="s">
        <v>23</v>
      </c>
      <c r="K596" s="19" t="s">
        <v>37</v>
      </c>
    </row>
    <row r="597" spans="2:11" ht="19.899999999999999" customHeight="1">
      <c r="B597" s="29">
        <v>2500594</v>
      </c>
      <c r="C597" s="20" t="s">
        <v>49</v>
      </c>
      <c r="D597" s="40">
        <v>44062</v>
      </c>
      <c r="E597" s="29" t="s">
        <v>20</v>
      </c>
      <c r="F597" s="25">
        <v>7</v>
      </c>
      <c r="G597" s="21">
        <v>36</v>
      </c>
      <c r="H597" s="21">
        <f t="shared" si="9"/>
        <v>252</v>
      </c>
      <c r="I597" s="29" t="s">
        <v>13</v>
      </c>
      <c r="J597" s="29" t="s">
        <v>14</v>
      </c>
      <c r="K597" s="19" t="s">
        <v>33</v>
      </c>
    </row>
    <row r="598" spans="2:11" ht="19.899999999999999" customHeight="1">
      <c r="B598" s="29">
        <v>2500595</v>
      </c>
      <c r="C598" s="20" t="s">
        <v>43</v>
      </c>
      <c r="D598" s="40">
        <v>44063</v>
      </c>
      <c r="E598" s="29" t="s">
        <v>9</v>
      </c>
      <c r="F598" s="25">
        <v>8</v>
      </c>
      <c r="G598" s="21">
        <v>18.5</v>
      </c>
      <c r="H598" s="21">
        <f t="shared" si="9"/>
        <v>148</v>
      </c>
      <c r="I598" s="29" t="s">
        <v>25</v>
      </c>
      <c r="J598" s="29" t="s">
        <v>23</v>
      </c>
      <c r="K598" s="19" t="s">
        <v>37</v>
      </c>
    </row>
    <row r="599" spans="2:11" ht="19.899999999999999" customHeight="1">
      <c r="B599" s="29">
        <v>2500596</v>
      </c>
      <c r="C599" s="20" t="s">
        <v>46</v>
      </c>
      <c r="D599" s="40">
        <v>44064</v>
      </c>
      <c r="E599" s="29" t="s">
        <v>27</v>
      </c>
      <c r="F599" s="25">
        <v>1</v>
      </c>
      <c r="G599" s="21">
        <v>15.5</v>
      </c>
      <c r="H599" s="21">
        <f t="shared" si="9"/>
        <v>15.5</v>
      </c>
      <c r="I599" s="29" t="s">
        <v>10</v>
      </c>
      <c r="J599" s="29" t="s">
        <v>11</v>
      </c>
      <c r="K599" s="19" t="s">
        <v>32</v>
      </c>
    </row>
    <row r="600" spans="2:11" ht="19.899999999999999" customHeight="1">
      <c r="B600" s="29">
        <v>2500597</v>
      </c>
      <c r="C600" s="20" t="s">
        <v>46</v>
      </c>
      <c r="D600" s="40">
        <v>44065</v>
      </c>
      <c r="E600" s="29" t="s">
        <v>21</v>
      </c>
      <c r="F600" s="25">
        <v>4</v>
      </c>
      <c r="G600" s="21">
        <v>48</v>
      </c>
      <c r="H600" s="21">
        <f t="shared" si="9"/>
        <v>192</v>
      </c>
      <c r="I600" s="29" t="s">
        <v>26</v>
      </c>
      <c r="J600" s="29" t="s">
        <v>29</v>
      </c>
      <c r="K600" s="19" t="s">
        <v>38</v>
      </c>
    </row>
    <row r="601" spans="2:11" ht="19.899999999999999" customHeight="1">
      <c r="B601" s="29">
        <v>2500598</v>
      </c>
      <c r="C601" s="20" t="s">
        <v>40</v>
      </c>
      <c r="D601" s="40">
        <v>44066</v>
      </c>
      <c r="E601" s="29" t="s">
        <v>24</v>
      </c>
      <c r="F601" s="25">
        <v>10</v>
      </c>
      <c r="G601" s="21">
        <v>25.5</v>
      </c>
      <c r="H601" s="21">
        <f t="shared" si="9"/>
        <v>255</v>
      </c>
      <c r="I601" s="29" t="s">
        <v>26</v>
      </c>
      <c r="J601" s="29" t="s">
        <v>29</v>
      </c>
      <c r="K601" s="19" t="s">
        <v>38</v>
      </c>
    </row>
    <row r="602" spans="2:11" ht="19.899999999999999" customHeight="1">
      <c r="B602" s="29">
        <v>2500599</v>
      </c>
      <c r="C602" s="20" t="s">
        <v>47</v>
      </c>
      <c r="D602" s="40">
        <v>44067</v>
      </c>
      <c r="E602" s="29" t="s">
        <v>9</v>
      </c>
      <c r="F602" s="25">
        <v>1</v>
      </c>
      <c r="G602" s="21">
        <v>18.5</v>
      </c>
      <c r="H602" s="21">
        <f t="shared" si="9"/>
        <v>18.5</v>
      </c>
      <c r="I602" s="29" t="s">
        <v>13</v>
      </c>
      <c r="J602" s="29" t="s">
        <v>14</v>
      </c>
      <c r="K602" s="19" t="s">
        <v>33</v>
      </c>
    </row>
    <row r="603" spans="2:11" ht="19.899999999999999" customHeight="1">
      <c r="B603" s="29">
        <v>2500600</v>
      </c>
      <c r="C603" s="20" t="s">
        <v>49</v>
      </c>
      <c r="D603" s="40">
        <v>44068</v>
      </c>
      <c r="E603" s="29" t="s">
        <v>27</v>
      </c>
      <c r="F603" s="25">
        <v>10</v>
      </c>
      <c r="G603" s="21">
        <v>15.5</v>
      </c>
      <c r="H603" s="21">
        <f t="shared" si="9"/>
        <v>155</v>
      </c>
      <c r="I603" s="29" t="s">
        <v>13</v>
      </c>
      <c r="J603" s="29" t="s">
        <v>14</v>
      </c>
      <c r="K603" s="19" t="s">
        <v>33</v>
      </c>
    </row>
    <row r="604" spans="2:11" ht="19.899999999999999" customHeight="1">
      <c r="B604" s="29">
        <v>2500601</v>
      </c>
      <c r="C604" s="20" t="s">
        <v>45</v>
      </c>
      <c r="D604" s="40">
        <v>44069</v>
      </c>
      <c r="E604" s="29" t="s">
        <v>21</v>
      </c>
      <c r="F604" s="25">
        <v>10</v>
      </c>
      <c r="G604" s="21">
        <v>48</v>
      </c>
      <c r="H604" s="21">
        <f t="shared" si="9"/>
        <v>480</v>
      </c>
      <c r="I604" s="29" t="s">
        <v>17</v>
      </c>
      <c r="J604" s="29" t="s">
        <v>18</v>
      </c>
      <c r="K604" s="19" t="s">
        <v>35</v>
      </c>
    </row>
    <row r="605" spans="2:11" ht="19.899999999999999" customHeight="1">
      <c r="B605" s="29">
        <v>2500602</v>
      </c>
      <c r="C605" s="20" t="s">
        <v>42</v>
      </c>
      <c r="D605" s="40">
        <v>44070</v>
      </c>
      <c r="E605" s="29" t="s">
        <v>27</v>
      </c>
      <c r="F605" s="25">
        <v>10</v>
      </c>
      <c r="G605" s="21">
        <v>15.5</v>
      </c>
      <c r="H605" s="21">
        <f t="shared" si="9"/>
        <v>155</v>
      </c>
      <c r="I605" s="29" t="s">
        <v>17</v>
      </c>
      <c r="J605" s="29" t="s">
        <v>18</v>
      </c>
      <c r="K605" s="19" t="s">
        <v>35</v>
      </c>
    </row>
    <row r="606" spans="2:11" ht="19.899999999999999" customHeight="1">
      <c r="B606" s="29">
        <v>2500603</v>
      </c>
      <c r="C606" s="20" t="s">
        <v>47</v>
      </c>
      <c r="D606" s="40">
        <v>44071</v>
      </c>
      <c r="E606" s="29" t="s">
        <v>9</v>
      </c>
      <c r="F606" s="25">
        <v>8</v>
      </c>
      <c r="G606" s="21">
        <v>18.5</v>
      </c>
      <c r="H606" s="21">
        <f t="shared" si="9"/>
        <v>148</v>
      </c>
      <c r="I606" s="29" t="s">
        <v>28</v>
      </c>
      <c r="J606" s="29" t="s">
        <v>30</v>
      </c>
      <c r="K606" s="19" t="s">
        <v>33</v>
      </c>
    </row>
    <row r="607" spans="2:11" ht="19.899999999999999" customHeight="1">
      <c r="B607" s="29">
        <v>2500604</v>
      </c>
      <c r="C607" s="20" t="s">
        <v>42</v>
      </c>
      <c r="D607" s="40">
        <v>44072</v>
      </c>
      <c r="E607" s="29" t="s">
        <v>9</v>
      </c>
      <c r="F607" s="25">
        <v>6</v>
      </c>
      <c r="G607" s="21">
        <v>18.5</v>
      </c>
      <c r="H607" s="21">
        <f t="shared" si="9"/>
        <v>111</v>
      </c>
      <c r="I607" s="29" t="s">
        <v>10</v>
      </c>
      <c r="J607" s="29" t="s">
        <v>11</v>
      </c>
      <c r="K607" s="19" t="s">
        <v>32</v>
      </c>
    </row>
    <row r="608" spans="2:11" ht="19.899999999999999" customHeight="1">
      <c r="B608" s="29">
        <v>2500605</v>
      </c>
      <c r="C608" s="20" t="s">
        <v>46</v>
      </c>
      <c r="D608" s="40">
        <v>44073</v>
      </c>
      <c r="E608" s="29" t="s">
        <v>20</v>
      </c>
      <c r="F608" s="25">
        <v>10</v>
      </c>
      <c r="G608" s="21">
        <v>36</v>
      </c>
      <c r="H608" s="21">
        <f t="shared" si="9"/>
        <v>360</v>
      </c>
      <c r="I608" s="29" t="s">
        <v>26</v>
      </c>
      <c r="J608" s="29" t="s">
        <v>29</v>
      </c>
      <c r="K608" s="19" t="s">
        <v>38</v>
      </c>
    </row>
    <row r="609" spans="2:11" ht="19.899999999999999" customHeight="1">
      <c r="B609" s="29">
        <v>2500606</v>
      </c>
      <c r="C609" s="20" t="s">
        <v>49</v>
      </c>
      <c r="D609" s="40">
        <v>44074</v>
      </c>
      <c r="E609" s="29" t="s">
        <v>20</v>
      </c>
      <c r="F609" s="25">
        <v>3</v>
      </c>
      <c r="G609" s="21">
        <v>36</v>
      </c>
      <c r="H609" s="21">
        <f t="shared" si="9"/>
        <v>108</v>
      </c>
      <c r="I609" s="29" t="s">
        <v>15</v>
      </c>
      <c r="J609" s="29" t="s">
        <v>16</v>
      </c>
      <c r="K609" s="19" t="s">
        <v>34</v>
      </c>
    </row>
    <row r="610" spans="2:11" ht="19.899999999999999" customHeight="1">
      <c r="B610" s="29">
        <v>2500607</v>
      </c>
      <c r="C610" s="20" t="s">
        <v>45</v>
      </c>
      <c r="D610" s="40">
        <v>44075</v>
      </c>
      <c r="E610" s="29" t="s">
        <v>24</v>
      </c>
      <c r="F610" s="25">
        <v>2</v>
      </c>
      <c r="G610" s="21">
        <v>25.5</v>
      </c>
      <c r="H610" s="21">
        <f t="shared" si="9"/>
        <v>51</v>
      </c>
      <c r="I610" s="29" t="s">
        <v>26</v>
      </c>
      <c r="J610" s="29" t="s">
        <v>29</v>
      </c>
      <c r="K610" s="19" t="s">
        <v>38</v>
      </c>
    </row>
    <row r="611" spans="2:11" ht="19.899999999999999" customHeight="1">
      <c r="B611" s="29">
        <v>2500608</v>
      </c>
      <c r="C611" s="20" t="s">
        <v>49</v>
      </c>
      <c r="D611" s="40">
        <v>44076</v>
      </c>
      <c r="E611" s="29" t="s">
        <v>27</v>
      </c>
      <c r="F611" s="25">
        <v>10</v>
      </c>
      <c r="G611" s="21">
        <v>15.5</v>
      </c>
      <c r="H611" s="21">
        <f t="shared" si="9"/>
        <v>155</v>
      </c>
      <c r="I611" s="29" t="s">
        <v>10</v>
      </c>
      <c r="J611" s="29" t="s">
        <v>11</v>
      </c>
      <c r="K611" s="19" t="s">
        <v>32</v>
      </c>
    </row>
    <row r="612" spans="2:11" ht="19.899999999999999" customHeight="1">
      <c r="B612" s="29">
        <v>2500609</v>
      </c>
      <c r="C612" s="20" t="s">
        <v>41</v>
      </c>
      <c r="D612" s="40">
        <v>44077</v>
      </c>
      <c r="E612" s="29" t="s">
        <v>27</v>
      </c>
      <c r="F612" s="25">
        <v>9</v>
      </c>
      <c r="G612" s="21">
        <v>15.5</v>
      </c>
      <c r="H612" s="21">
        <f t="shared" si="9"/>
        <v>139.5</v>
      </c>
      <c r="I612" s="29" t="s">
        <v>22</v>
      </c>
      <c r="J612" s="29" t="s">
        <v>19</v>
      </c>
      <c r="K612" s="19" t="s">
        <v>36</v>
      </c>
    </row>
    <row r="613" spans="2:11" ht="19.899999999999999" customHeight="1">
      <c r="B613" s="29">
        <v>2500610</v>
      </c>
      <c r="C613" s="20" t="s">
        <v>49</v>
      </c>
      <c r="D613" s="40">
        <v>44078</v>
      </c>
      <c r="E613" s="29" t="s">
        <v>27</v>
      </c>
      <c r="F613" s="25">
        <v>4</v>
      </c>
      <c r="G613" s="21">
        <v>15.5</v>
      </c>
      <c r="H613" s="21">
        <f t="shared" si="9"/>
        <v>62</v>
      </c>
      <c r="I613" s="29" t="s">
        <v>25</v>
      </c>
      <c r="J613" s="29" t="s">
        <v>23</v>
      </c>
      <c r="K613" s="19" t="s">
        <v>37</v>
      </c>
    </row>
    <row r="614" spans="2:11" ht="19.899999999999999" customHeight="1">
      <c r="B614" s="29">
        <v>2500611</v>
      </c>
      <c r="C614" s="20" t="s">
        <v>42</v>
      </c>
      <c r="D614" s="40">
        <v>44079</v>
      </c>
      <c r="E614" s="29" t="s">
        <v>20</v>
      </c>
      <c r="F614" s="25">
        <v>6</v>
      </c>
      <c r="G614" s="21">
        <v>36</v>
      </c>
      <c r="H614" s="21">
        <f t="shared" si="9"/>
        <v>216</v>
      </c>
      <c r="I614" s="29" t="s">
        <v>22</v>
      </c>
      <c r="J614" s="29" t="s">
        <v>19</v>
      </c>
      <c r="K614" s="19" t="s">
        <v>36</v>
      </c>
    </row>
    <row r="615" spans="2:11" ht="19.899999999999999" customHeight="1">
      <c r="B615" s="29">
        <v>2500612</v>
      </c>
      <c r="C615" s="20" t="s">
        <v>47</v>
      </c>
      <c r="D615" s="40">
        <v>44080</v>
      </c>
      <c r="E615" s="29" t="s">
        <v>24</v>
      </c>
      <c r="F615" s="25">
        <v>9</v>
      </c>
      <c r="G615" s="21">
        <v>25.5</v>
      </c>
      <c r="H615" s="21">
        <f t="shared" si="9"/>
        <v>229.5</v>
      </c>
      <c r="I615" s="29" t="s">
        <v>28</v>
      </c>
      <c r="J615" s="29" t="s">
        <v>30</v>
      </c>
      <c r="K615" s="19" t="s">
        <v>33</v>
      </c>
    </row>
    <row r="616" spans="2:11" ht="19.899999999999999" customHeight="1">
      <c r="B616" s="29">
        <v>2500613</v>
      </c>
      <c r="C616" s="20" t="s">
        <v>43</v>
      </c>
      <c r="D616" s="40">
        <v>44081</v>
      </c>
      <c r="E616" s="29" t="s">
        <v>24</v>
      </c>
      <c r="F616" s="25">
        <v>2</v>
      </c>
      <c r="G616" s="21">
        <v>25.5</v>
      </c>
      <c r="H616" s="21">
        <f t="shared" si="9"/>
        <v>51</v>
      </c>
      <c r="I616" s="29" t="s">
        <v>28</v>
      </c>
      <c r="J616" s="29" t="s">
        <v>30</v>
      </c>
      <c r="K616" s="19" t="s">
        <v>33</v>
      </c>
    </row>
    <row r="617" spans="2:11" ht="19.899999999999999" customHeight="1">
      <c r="B617" s="29">
        <v>2500614</v>
      </c>
      <c r="C617" s="20" t="s">
        <v>47</v>
      </c>
      <c r="D617" s="40">
        <v>44082</v>
      </c>
      <c r="E617" s="29" t="s">
        <v>21</v>
      </c>
      <c r="F617" s="25">
        <v>1</v>
      </c>
      <c r="G617" s="21">
        <v>48</v>
      </c>
      <c r="H617" s="21">
        <f t="shared" si="9"/>
        <v>48</v>
      </c>
      <c r="I617" s="29" t="s">
        <v>13</v>
      </c>
      <c r="J617" s="29" t="s">
        <v>14</v>
      </c>
      <c r="K617" s="19" t="s">
        <v>33</v>
      </c>
    </row>
    <row r="618" spans="2:11" ht="19.899999999999999" customHeight="1">
      <c r="B618" s="29">
        <v>2500615</v>
      </c>
      <c r="C618" s="20" t="s">
        <v>43</v>
      </c>
      <c r="D618" s="40">
        <v>44083</v>
      </c>
      <c r="E618" s="29" t="s">
        <v>24</v>
      </c>
      <c r="F618" s="25">
        <v>3</v>
      </c>
      <c r="G618" s="21">
        <v>25.5</v>
      </c>
      <c r="H618" s="21">
        <f t="shared" si="9"/>
        <v>76.5</v>
      </c>
      <c r="I618" s="29" t="s">
        <v>15</v>
      </c>
      <c r="J618" s="29" t="s">
        <v>16</v>
      </c>
      <c r="K618" s="19" t="s">
        <v>34</v>
      </c>
    </row>
    <row r="619" spans="2:11" ht="19.899999999999999" customHeight="1">
      <c r="B619" s="29">
        <v>2500616</v>
      </c>
      <c r="C619" s="20" t="s">
        <v>43</v>
      </c>
      <c r="D619" s="40">
        <v>44084</v>
      </c>
      <c r="E619" s="29" t="s">
        <v>24</v>
      </c>
      <c r="F619" s="25">
        <v>2</v>
      </c>
      <c r="G619" s="21">
        <v>25.5</v>
      </c>
      <c r="H619" s="21">
        <f t="shared" si="9"/>
        <v>51</v>
      </c>
      <c r="I619" s="29" t="s">
        <v>22</v>
      </c>
      <c r="J619" s="29" t="s">
        <v>19</v>
      </c>
      <c r="K619" s="19" t="s">
        <v>36</v>
      </c>
    </row>
    <row r="620" spans="2:11" ht="19.899999999999999" customHeight="1">
      <c r="B620" s="29">
        <v>2500617</v>
      </c>
      <c r="C620" s="20" t="s">
        <v>44</v>
      </c>
      <c r="D620" s="40">
        <v>44085</v>
      </c>
      <c r="E620" s="29" t="s">
        <v>9</v>
      </c>
      <c r="F620" s="25">
        <v>10</v>
      </c>
      <c r="G620" s="21">
        <v>18.5</v>
      </c>
      <c r="H620" s="21">
        <f t="shared" si="9"/>
        <v>185</v>
      </c>
      <c r="I620" s="29" t="s">
        <v>25</v>
      </c>
      <c r="J620" s="29" t="s">
        <v>23</v>
      </c>
      <c r="K620" s="19" t="s">
        <v>37</v>
      </c>
    </row>
    <row r="621" spans="2:11" ht="19.899999999999999" customHeight="1">
      <c r="B621" s="29">
        <v>2500618</v>
      </c>
      <c r="C621" s="20" t="s">
        <v>43</v>
      </c>
      <c r="D621" s="40">
        <v>44086</v>
      </c>
      <c r="E621" s="29" t="s">
        <v>27</v>
      </c>
      <c r="F621" s="25">
        <v>6</v>
      </c>
      <c r="G621" s="21">
        <v>15.5</v>
      </c>
      <c r="H621" s="21">
        <f t="shared" si="9"/>
        <v>93</v>
      </c>
      <c r="I621" s="29" t="s">
        <v>13</v>
      </c>
      <c r="J621" s="29" t="s">
        <v>14</v>
      </c>
      <c r="K621" s="19" t="s">
        <v>33</v>
      </c>
    </row>
    <row r="622" spans="2:11" ht="19.899999999999999" customHeight="1">
      <c r="B622" s="29">
        <v>2500619</v>
      </c>
      <c r="C622" s="20" t="s">
        <v>42</v>
      </c>
      <c r="D622" s="40">
        <v>44087</v>
      </c>
      <c r="E622" s="29" t="s">
        <v>27</v>
      </c>
      <c r="F622" s="25">
        <v>4</v>
      </c>
      <c r="G622" s="21">
        <v>15.5</v>
      </c>
      <c r="H622" s="21">
        <f t="shared" si="9"/>
        <v>62</v>
      </c>
      <c r="I622" s="29" t="s">
        <v>15</v>
      </c>
      <c r="J622" s="29" t="s">
        <v>16</v>
      </c>
      <c r="K622" s="19" t="s">
        <v>34</v>
      </c>
    </row>
    <row r="623" spans="2:11" ht="19.899999999999999" customHeight="1">
      <c r="B623" s="29">
        <v>2500620</v>
      </c>
      <c r="C623" s="20" t="s">
        <v>42</v>
      </c>
      <c r="D623" s="40">
        <v>44088</v>
      </c>
      <c r="E623" s="29" t="s">
        <v>20</v>
      </c>
      <c r="F623" s="25">
        <v>5</v>
      </c>
      <c r="G623" s="21">
        <v>36</v>
      </c>
      <c r="H623" s="21">
        <f t="shared" si="9"/>
        <v>180</v>
      </c>
      <c r="I623" s="29" t="s">
        <v>25</v>
      </c>
      <c r="J623" s="29" t="s">
        <v>23</v>
      </c>
      <c r="K623" s="19" t="s">
        <v>37</v>
      </c>
    </row>
    <row r="624" spans="2:11" ht="19.899999999999999" customHeight="1">
      <c r="B624" s="29">
        <v>2500621</v>
      </c>
      <c r="C624" s="20" t="s">
        <v>44</v>
      </c>
      <c r="D624" s="40">
        <v>44089</v>
      </c>
      <c r="E624" s="29" t="s">
        <v>21</v>
      </c>
      <c r="F624" s="25">
        <v>7</v>
      </c>
      <c r="G624" s="21">
        <v>48</v>
      </c>
      <c r="H624" s="21">
        <f t="shared" si="9"/>
        <v>336</v>
      </c>
      <c r="I624" s="29" t="s">
        <v>10</v>
      </c>
      <c r="J624" s="29" t="s">
        <v>11</v>
      </c>
      <c r="K624" s="19" t="s">
        <v>32</v>
      </c>
    </row>
    <row r="625" spans="2:11" ht="19.899999999999999" customHeight="1">
      <c r="B625" s="29">
        <v>2500622</v>
      </c>
      <c r="C625" s="20" t="s">
        <v>45</v>
      </c>
      <c r="D625" s="40">
        <v>44090</v>
      </c>
      <c r="E625" s="29" t="s">
        <v>24</v>
      </c>
      <c r="F625" s="25">
        <v>5</v>
      </c>
      <c r="G625" s="21">
        <v>25.5</v>
      </c>
      <c r="H625" s="21">
        <f t="shared" si="9"/>
        <v>127.5</v>
      </c>
      <c r="I625" s="29" t="s">
        <v>17</v>
      </c>
      <c r="J625" s="29" t="s">
        <v>18</v>
      </c>
      <c r="K625" s="19" t="s">
        <v>35</v>
      </c>
    </row>
    <row r="626" spans="2:11" ht="19.899999999999999" customHeight="1">
      <c r="B626" s="29">
        <v>2500623</v>
      </c>
      <c r="C626" s="20" t="s">
        <v>44</v>
      </c>
      <c r="D626" s="40">
        <v>44091</v>
      </c>
      <c r="E626" s="29" t="s">
        <v>21</v>
      </c>
      <c r="F626" s="25">
        <v>10</v>
      </c>
      <c r="G626" s="21">
        <v>48</v>
      </c>
      <c r="H626" s="21">
        <f t="shared" si="9"/>
        <v>480</v>
      </c>
      <c r="I626" s="29" t="s">
        <v>22</v>
      </c>
      <c r="J626" s="29" t="s">
        <v>19</v>
      </c>
      <c r="K626" s="19" t="s">
        <v>36</v>
      </c>
    </row>
    <row r="627" spans="2:11" ht="19.899999999999999" customHeight="1">
      <c r="B627" s="29">
        <v>2500624</v>
      </c>
      <c r="C627" s="20" t="s">
        <v>43</v>
      </c>
      <c r="D627" s="40">
        <v>44092</v>
      </c>
      <c r="E627" s="29" t="s">
        <v>21</v>
      </c>
      <c r="F627" s="25">
        <v>9</v>
      </c>
      <c r="G627" s="21">
        <v>48</v>
      </c>
      <c r="H627" s="21">
        <f t="shared" si="9"/>
        <v>432</v>
      </c>
      <c r="I627" s="29" t="s">
        <v>17</v>
      </c>
      <c r="J627" s="29" t="s">
        <v>18</v>
      </c>
      <c r="K627" s="19" t="s">
        <v>35</v>
      </c>
    </row>
    <row r="628" spans="2:11" ht="19.899999999999999" customHeight="1">
      <c r="B628" s="29">
        <v>2500625</v>
      </c>
      <c r="C628" s="20" t="s">
        <v>48</v>
      </c>
      <c r="D628" s="40">
        <v>44093</v>
      </c>
      <c r="E628" s="29" t="s">
        <v>27</v>
      </c>
      <c r="F628" s="25">
        <v>2</v>
      </c>
      <c r="G628" s="21">
        <v>15.5</v>
      </c>
      <c r="H628" s="21">
        <f t="shared" si="9"/>
        <v>31</v>
      </c>
      <c r="I628" s="29" t="s">
        <v>13</v>
      </c>
      <c r="J628" s="29" t="s">
        <v>14</v>
      </c>
      <c r="K628" s="19" t="s">
        <v>33</v>
      </c>
    </row>
    <row r="629" spans="2:11" ht="19.899999999999999" customHeight="1">
      <c r="B629" s="29">
        <v>2500626</v>
      </c>
      <c r="C629" s="20" t="s">
        <v>49</v>
      </c>
      <c r="D629" s="40">
        <v>44094</v>
      </c>
      <c r="E629" s="29" t="s">
        <v>9</v>
      </c>
      <c r="F629" s="25">
        <v>6</v>
      </c>
      <c r="G629" s="21">
        <v>18.5</v>
      </c>
      <c r="H629" s="21">
        <f t="shared" si="9"/>
        <v>111</v>
      </c>
      <c r="I629" s="29" t="s">
        <v>13</v>
      </c>
      <c r="J629" s="29" t="s">
        <v>14</v>
      </c>
      <c r="K629" s="19" t="s">
        <v>33</v>
      </c>
    </row>
    <row r="630" spans="2:11" ht="19.899999999999999" customHeight="1">
      <c r="B630" s="29">
        <v>2500627</v>
      </c>
      <c r="C630" s="20" t="s">
        <v>48</v>
      </c>
      <c r="D630" s="40">
        <v>44095</v>
      </c>
      <c r="E630" s="29" t="s">
        <v>21</v>
      </c>
      <c r="F630" s="25">
        <v>5</v>
      </c>
      <c r="G630" s="21">
        <v>48</v>
      </c>
      <c r="H630" s="21">
        <f t="shared" si="9"/>
        <v>240</v>
      </c>
      <c r="I630" s="29" t="s">
        <v>15</v>
      </c>
      <c r="J630" s="29" t="s">
        <v>16</v>
      </c>
      <c r="K630" s="19" t="s">
        <v>34</v>
      </c>
    </row>
    <row r="631" spans="2:11" ht="19.899999999999999" customHeight="1">
      <c r="B631" s="29">
        <v>2500628</v>
      </c>
      <c r="C631" s="20" t="s">
        <v>41</v>
      </c>
      <c r="D631" s="40">
        <v>44096</v>
      </c>
      <c r="E631" s="29" t="s">
        <v>24</v>
      </c>
      <c r="F631" s="25">
        <v>5</v>
      </c>
      <c r="G631" s="21">
        <v>25.5</v>
      </c>
      <c r="H631" s="21">
        <f t="shared" si="9"/>
        <v>127.5</v>
      </c>
      <c r="I631" s="29" t="s">
        <v>17</v>
      </c>
      <c r="J631" s="29" t="s">
        <v>18</v>
      </c>
      <c r="K631" s="19" t="s">
        <v>35</v>
      </c>
    </row>
    <row r="632" spans="2:11" ht="19.899999999999999" customHeight="1">
      <c r="B632" s="29">
        <v>2500629</v>
      </c>
      <c r="C632" s="20" t="s">
        <v>48</v>
      </c>
      <c r="D632" s="40">
        <v>44097</v>
      </c>
      <c r="E632" s="29" t="s">
        <v>27</v>
      </c>
      <c r="F632" s="25">
        <v>4</v>
      </c>
      <c r="G632" s="21">
        <v>15.5</v>
      </c>
      <c r="H632" s="21">
        <f t="shared" si="9"/>
        <v>62</v>
      </c>
      <c r="I632" s="29" t="s">
        <v>26</v>
      </c>
      <c r="J632" s="29" t="s">
        <v>29</v>
      </c>
      <c r="K632" s="19" t="s">
        <v>38</v>
      </c>
    </row>
    <row r="633" spans="2:11" ht="19.899999999999999" customHeight="1">
      <c r="B633" s="29">
        <v>2500630</v>
      </c>
      <c r="C633" s="20" t="s">
        <v>40</v>
      </c>
      <c r="D633" s="40">
        <v>44098</v>
      </c>
      <c r="E633" s="29" t="s">
        <v>24</v>
      </c>
      <c r="F633" s="25">
        <v>4</v>
      </c>
      <c r="G633" s="21">
        <v>25.5</v>
      </c>
      <c r="H633" s="21">
        <f t="shared" si="9"/>
        <v>102</v>
      </c>
      <c r="I633" s="29" t="s">
        <v>22</v>
      </c>
      <c r="J633" s="29" t="s">
        <v>19</v>
      </c>
      <c r="K633" s="19" t="s">
        <v>36</v>
      </c>
    </row>
    <row r="634" spans="2:11" ht="19.899999999999999" customHeight="1">
      <c r="B634" s="29">
        <v>2500631</v>
      </c>
      <c r="C634" s="20" t="s">
        <v>44</v>
      </c>
      <c r="D634" s="40">
        <v>44099</v>
      </c>
      <c r="E634" s="29" t="s">
        <v>9</v>
      </c>
      <c r="F634" s="25">
        <v>9</v>
      </c>
      <c r="G634" s="21">
        <v>18.5</v>
      </c>
      <c r="H634" s="21">
        <f t="shared" si="9"/>
        <v>166.5</v>
      </c>
      <c r="I634" s="29" t="s">
        <v>28</v>
      </c>
      <c r="J634" s="29" t="s">
        <v>30</v>
      </c>
      <c r="K634" s="19" t="s">
        <v>33</v>
      </c>
    </row>
    <row r="635" spans="2:11" ht="19.899999999999999" customHeight="1">
      <c r="B635" s="29">
        <v>2500632</v>
      </c>
      <c r="C635" s="20" t="s">
        <v>46</v>
      </c>
      <c r="D635" s="40">
        <v>44100</v>
      </c>
      <c r="E635" s="29" t="s">
        <v>21</v>
      </c>
      <c r="F635" s="25">
        <v>8</v>
      </c>
      <c r="G635" s="21">
        <v>48</v>
      </c>
      <c r="H635" s="21">
        <f t="shared" si="9"/>
        <v>384</v>
      </c>
      <c r="I635" s="29" t="s">
        <v>17</v>
      </c>
      <c r="J635" s="29" t="s">
        <v>18</v>
      </c>
      <c r="K635" s="19" t="s">
        <v>35</v>
      </c>
    </row>
    <row r="636" spans="2:11" ht="19.899999999999999" customHeight="1">
      <c r="B636" s="29">
        <v>2500633</v>
      </c>
      <c r="C636" s="20" t="s">
        <v>46</v>
      </c>
      <c r="D636" s="40">
        <v>44101</v>
      </c>
      <c r="E636" s="29" t="s">
        <v>21</v>
      </c>
      <c r="F636" s="25">
        <v>3</v>
      </c>
      <c r="G636" s="21">
        <v>48</v>
      </c>
      <c r="H636" s="21">
        <f t="shared" si="9"/>
        <v>144</v>
      </c>
      <c r="I636" s="29" t="s">
        <v>17</v>
      </c>
      <c r="J636" s="29" t="s">
        <v>18</v>
      </c>
      <c r="K636" s="19" t="s">
        <v>35</v>
      </c>
    </row>
    <row r="637" spans="2:11" ht="19.899999999999999" customHeight="1">
      <c r="B637" s="29">
        <v>2500634</v>
      </c>
      <c r="C637" s="20" t="s">
        <v>43</v>
      </c>
      <c r="D637" s="40">
        <v>44102</v>
      </c>
      <c r="E637" s="29" t="s">
        <v>9</v>
      </c>
      <c r="F637" s="25">
        <v>1</v>
      </c>
      <c r="G637" s="21">
        <v>18.5</v>
      </c>
      <c r="H637" s="21">
        <f t="shared" si="9"/>
        <v>18.5</v>
      </c>
      <c r="I637" s="29" t="s">
        <v>13</v>
      </c>
      <c r="J637" s="29" t="s">
        <v>14</v>
      </c>
      <c r="K637" s="19" t="s">
        <v>33</v>
      </c>
    </row>
    <row r="638" spans="2:11" ht="19.899999999999999" customHeight="1">
      <c r="B638" s="29">
        <v>2500635</v>
      </c>
      <c r="C638" s="20" t="s">
        <v>44</v>
      </c>
      <c r="D638" s="40">
        <v>44103</v>
      </c>
      <c r="E638" s="29" t="s">
        <v>9</v>
      </c>
      <c r="F638" s="25">
        <v>10</v>
      </c>
      <c r="G638" s="21">
        <v>18.5</v>
      </c>
      <c r="H638" s="21">
        <f t="shared" si="9"/>
        <v>185</v>
      </c>
      <c r="I638" s="29" t="s">
        <v>10</v>
      </c>
      <c r="J638" s="29" t="s">
        <v>11</v>
      </c>
      <c r="K638" s="19" t="s">
        <v>32</v>
      </c>
    </row>
    <row r="639" spans="2:11" ht="19.899999999999999" customHeight="1">
      <c r="B639" s="29">
        <v>2500636</v>
      </c>
      <c r="C639" s="20" t="s">
        <v>43</v>
      </c>
      <c r="D639" s="40">
        <v>44104</v>
      </c>
      <c r="E639" s="29" t="s">
        <v>20</v>
      </c>
      <c r="F639" s="25">
        <v>6</v>
      </c>
      <c r="G639" s="21">
        <v>36</v>
      </c>
      <c r="H639" s="21">
        <f t="shared" si="9"/>
        <v>216</v>
      </c>
      <c r="I639" s="29" t="s">
        <v>10</v>
      </c>
      <c r="J639" s="29" t="s">
        <v>11</v>
      </c>
      <c r="K639" s="19" t="s">
        <v>32</v>
      </c>
    </row>
    <row r="640" spans="2:11" ht="19.899999999999999" customHeight="1">
      <c r="B640" s="29">
        <v>2500637</v>
      </c>
      <c r="C640" s="20" t="s">
        <v>41</v>
      </c>
      <c r="D640" s="40">
        <v>44105</v>
      </c>
      <c r="E640" s="29" t="s">
        <v>12</v>
      </c>
      <c r="F640" s="25">
        <v>1</v>
      </c>
      <c r="G640" s="21">
        <v>32</v>
      </c>
      <c r="H640" s="21">
        <f t="shared" si="9"/>
        <v>32</v>
      </c>
      <c r="I640" s="29" t="s">
        <v>25</v>
      </c>
      <c r="J640" s="29" t="s">
        <v>23</v>
      </c>
      <c r="K640" s="19" t="s">
        <v>37</v>
      </c>
    </row>
    <row r="641" spans="2:11" ht="19.899999999999999" customHeight="1">
      <c r="B641" s="29">
        <v>2500638</v>
      </c>
      <c r="C641" s="20" t="s">
        <v>43</v>
      </c>
      <c r="D641" s="40">
        <v>44106</v>
      </c>
      <c r="E641" s="29" t="s">
        <v>21</v>
      </c>
      <c r="F641" s="25">
        <v>9</v>
      </c>
      <c r="G641" s="21">
        <v>48</v>
      </c>
      <c r="H641" s="21">
        <f t="shared" si="9"/>
        <v>432</v>
      </c>
      <c r="I641" s="29" t="s">
        <v>13</v>
      </c>
      <c r="J641" s="29" t="s">
        <v>14</v>
      </c>
      <c r="K641" s="19" t="s">
        <v>33</v>
      </c>
    </row>
    <row r="642" spans="2:11" ht="19.899999999999999" customHeight="1">
      <c r="B642" s="29">
        <v>2500639</v>
      </c>
      <c r="C642" s="20" t="s">
        <v>46</v>
      </c>
      <c r="D642" s="40">
        <v>44107</v>
      </c>
      <c r="E642" s="29" t="s">
        <v>24</v>
      </c>
      <c r="F642" s="25">
        <v>9</v>
      </c>
      <c r="G642" s="21">
        <v>25.5</v>
      </c>
      <c r="H642" s="21">
        <f t="shared" si="9"/>
        <v>229.5</v>
      </c>
      <c r="I642" s="29" t="s">
        <v>17</v>
      </c>
      <c r="J642" s="29" t="s">
        <v>18</v>
      </c>
      <c r="K642" s="19" t="s">
        <v>35</v>
      </c>
    </row>
    <row r="643" spans="2:11" ht="19.899999999999999" customHeight="1">
      <c r="B643" s="29">
        <v>2500640</v>
      </c>
      <c r="C643" s="20" t="s">
        <v>42</v>
      </c>
      <c r="D643" s="40">
        <v>44108</v>
      </c>
      <c r="E643" s="29" t="s">
        <v>12</v>
      </c>
      <c r="F643" s="25">
        <v>5</v>
      </c>
      <c r="G643" s="21">
        <v>32</v>
      </c>
      <c r="H643" s="21">
        <f t="shared" si="9"/>
        <v>160</v>
      </c>
      <c r="I643" s="29" t="s">
        <v>15</v>
      </c>
      <c r="J643" s="29" t="s">
        <v>16</v>
      </c>
      <c r="K643" s="19" t="s">
        <v>34</v>
      </c>
    </row>
    <row r="644" spans="2:11" ht="19.899999999999999" customHeight="1">
      <c r="B644" s="29">
        <v>2500641</v>
      </c>
      <c r="C644" s="20" t="s">
        <v>40</v>
      </c>
      <c r="D644" s="40">
        <v>44109</v>
      </c>
      <c r="E644" s="29" t="s">
        <v>27</v>
      </c>
      <c r="F644" s="25">
        <v>9</v>
      </c>
      <c r="G644" s="21">
        <v>15.5</v>
      </c>
      <c r="H644" s="21">
        <f t="shared" si="9"/>
        <v>139.5</v>
      </c>
      <c r="I644" s="29" t="s">
        <v>25</v>
      </c>
      <c r="J644" s="29" t="s">
        <v>23</v>
      </c>
      <c r="K644" s="19" t="s">
        <v>37</v>
      </c>
    </row>
    <row r="645" spans="2:11" ht="19.899999999999999" customHeight="1">
      <c r="B645" s="29">
        <v>2500642</v>
      </c>
      <c r="C645" s="20" t="s">
        <v>40</v>
      </c>
      <c r="D645" s="40">
        <v>44110</v>
      </c>
      <c r="E645" s="29" t="s">
        <v>12</v>
      </c>
      <c r="F645" s="25">
        <v>2</v>
      </c>
      <c r="G645" s="21">
        <v>32</v>
      </c>
      <c r="H645" s="21">
        <f t="shared" si="9"/>
        <v>64</v>
      </c>
      <c r="I645" s="29" t="s">
        <v>26</v>
      </c>
      <c r="J645" s="29" t="s">
        <v>29</v>
      </c>
      <c r="K645" s="19" t="s">
        <v>38</v>
      </c>
    </row>
    <row r="646" spans="2:11" ht="19.899999999999999" customHeight="1">
      <c r="B646" s="29">
        <v>2500643</v>
      </c>
      <c r="C646" s="20" t="s">
        <v>43</v>
      </c>
      <c r="D646" s="40">
        <v>44111</v>
      </c>
      <c r="E646" s="29" t="s">
        <v>27</v>
      </c>
      <c r="F646" s="25">
        <v>5</v>
      </c>
      <c r="G646" s="21">
        <v>15.5</v>
      </c>
      <c r="H646" s="21">
        <f t="shared" ref="H646:H709" si="10">+G646*F646</f>
        <v>77.5</v>
      </c>
      <c r="I646" s="29" t="s">
        <v>28</v>
      </c>
      <c r="J646" s="29" t="s">
        <v>30</v>
      </c>
      <c r="K646" s="19" t="s">
        <v>33</v>
      </c>
    </row>
    <row r="647" spans="2:11" ht="19.899999999999999" customHeight="1">
      <c r="B647" s="29">
        <v>2500644</v>
      </c>
      <c r="C647" s="20" t="s">
        <v>43</v>
      </c>
      <c r="D647" s="40">
        <v>44112</v>
      </c>
      <c r="E647" s="29" t="s">
        <v>12</v>
      </c>
      <c r="F647" s="25">
        <v>6</v>
      </c>
      <c r="G647" s="21">
        <v>32</v>
      </c>
      <c r="H647" s="21">
        <f t="shared" si="10"/>
        <v>192</v>
      </c>
      <c r="I647" s="29" t="s">
        <v>17</v>
      </c>
      <c r="J647" s="29" t="s">
        <v>18</v>
      </c>
      <c r="K647" s="19" t="s">
        <v>35</v>
      </c>
    </row>
    <row r="648" spans="2:11" ht="19.899999999999999" customHeight="1">
      <c r="B648" s="29">
        <v>2500645</v>
      </c>
      <c r="C648" s="20" t="s">
        <v>40</v>
      </c>
      <c r="D648" s="40">
        <v>44113</v>
      </c>
      <c r="E648" s="29" t="s">
        <v>12</v>
      </c>
      <c r="F648" s="25">
        <v>1</v>
      </c>
      <c r="G648" s="21">
        <v>32</v>
      </c>
      <c r="H648" s="21">
        <f t="shared" si="10"/>
        <v>32</v>
      </c>
      <c r="I648" s="29" t="s">
        <v>15</v>
      </c>
      <c r="J648" s="29" t="s">
        <v>16</v>
      </c>
      <c r="K648" s="19" t="s">
        <v>34</v>
      </c>
    </row>
    <row r="649" spans="2:11" ht="19.899999999999999" customHeight="1">
      <c r="B649" s="29">
        <v>2500646</v>
      </c>
      <c r="C649" s="20" t="s">
        <v>48</v>
      </c>
      <c r="D649" s="40">
        <v>44114</v>
      </c>
      <c r="E649" s="29" t="s">
        <v>9</v>
      </c>
      <c r="F649" s="25">
        <v>6</v>
      </c>
      <c r="G649" s="21">
        <v>18.5</v>
      </c>
      <c r="H649" s="21">
        <f t="shared" si="10"/>
        <v>111</v>
      </c>
      <c r="I649" s="29" t="s">
        <v>13</v>
      </c>
      <c r="J649" s="29" t="s">
        <v>14</v>
      </c>
      <c r="K649" s="19" t="s">
        <v>33</v>
      </c>
    </row>
    <row r="650" spans="2:11" ht="19.899999999999999" customHeight="1">
      <c r="B650" s="29">
        <v>2500647</v>
      </c>
      <c r="C650" s="20" t="s">
        <v>45</v>
      </c>
      <c r="D650" s="40">
        <v>44115</v>
      </c>
      <c r="E650" s="29" t="s">
        <v>12</v>
      </c>
      <c r="F650" s="25">
        <v>9</v>
      </c>
      <c r="G650" s="21">
        <v>32</v>
      </c>
      <c r="H650" s="21">
        <f t="shared" si="10"/>
        <v>288</v>
      </c>
      <c r="I650" s="29" t="s">
        <v>22</v>
      </c>
      <c r="J650" s="29" t="s">
        <v>19</v>
      </c>
      <c r="K650" s="19" t="s">
        <v>36</v>
      </c>
    </row>
    <row r="651" spans="2:11" ht="19.899999999999999" customHeight="1">
      <c r="B651" s="29">
        <v>2500648</v>
      </c>
      <c r="C651" s="20" t="s">
        <v>43</v>
      </c>
      <c r="D651" s="40">
        <v>44116</v>
      </c>
      <c r="E651" s="29" t="s">
        <v>12</v>
      </c>
      <c r="F651" s="25">
        <v>1</v>
      </c>
      <c r="G651" s="21">
        <v>32</v>
      </c>
      <c r="H651" s="21">
        <f t="shared" si="10"/>
        <v>32</v>
      </c>
      <c r="I651" s="29" t="s">
        <v>13</v>
      </c>
      <c r="J651" s="29" t="s">
        <v>14</v>
      </c>
      <c r="K651" s="19" t="s">
        <v>33</v>
      </c>
    </row>
    <row r="652" spans="2:11" ht="19.899999999999999" customHeight="1">
      <c r="B652" s="29">
        <v>2500649</v>
      </c>
      <c r="C652" s="20" t="s">
        <v>43</v>
      </c>
      <c r="D652" s="40">
        <v>44117</v>
      </c>
      <c r="E652" s="29" t="s">
        <v>12</v>
      </c>
      <c r="F652" s="25">
        <v>10</v>
      </c>
      <c r="G652" s="21">
        <v>32</v>
      </c>
      <c r="H652" s="21">
        <f t="shared" si="10"/>
        <v>320</v>
      </c>
      <c r="I652" s="29" t="s">
        <v>22</v>
      </c>
      <c r="J652" s="29" t="s">
        <v>19</v>
      </c>
      <c r="K652" s="19" t="s">
        <v>36</v>
      </c>
    </row>
    <row r="653" spans="2:11" ht="19.899999999999999" customHeight="1">
      <c r="B653" s="29">
        <v>2500650</v>
      </c>
      <c r="C653" s="20" t="s">
        <v>44</v>
      </c>
      <c r="D653" s="40">
        <v>44118</v>
      </c>
      <c r="E653" s="29" t="s">
        <v>20</v>
      </c>
      <c r="F653" s="25">
        <v>3</v>
      </c>
      <c r="G653" s="21">
        <v>36</v>
      </c>
      <c r="H653" s="21">
        <f t="shared" si="10"/>
        <v>108</v>
      </c>
      <c r="I653" s="29" t="s">
        <v>10</v>
      </c>
      <c r="J653" s="29" t="s">
        <v>11</v>
      </c>
      <c r="K653" s="19" t="s">
        <v>32</v>
      </c>
    </row>
    <row r="654" spans="2:11" ht="19.899999999999999" customHeight="1">
      <c r="B654" s="29">
        <v>2500651</v>
      </c>
      <c r="C654" s="20" t="s">
        <v>40</v>
      </c>
      <c r="D654" s="40">
        <v>44119</v>
      </c>
      <c r="E654" s="29" t="s">
        <v>12</v>
      </c>
      <c r="F654" s="25">
        <v>10</v>
      </c>
      <c r="G654" s="21">
        <v>32</v>
      </c>
      <c r="H654" s="21">
        <f t="shared" si="10"/>
        <v>320</v>
      </c>
      <c r="I654" s="29" t="s">
        <v>26</v>
      </c>
      <c r="J654" s="29" t="s">
        <v>29</v>
      </c>
      <c r="K654" s="19" t="s">
        <v>38</v>
      </c>
    </row>
    <row r="655" spans="2:11" ht="19.899999999999999" customHeight="1">
      <c r="B655" s="29">
        <v>2500652</v>
      </c>
      <c r="C655" s="20" t="s">
        <v>43</v>
      </c>
      <c r="D655" s="40">
        <v>44120</v>
      </c>
      <c r="E655" s="29" t="s">
        <v>9</v>
      </c>
      <c r="F655" s="25">
        <v>2</v>
      </c>
      <c r="G655" s="21">
        <v>18.5</v>
      </c>
      <c r="H655" s="21">
        <f t="shared" si="10"/>
        <v>37</v>
      </c>
      <c r="I655" s="29" t="s">
        <v>25</v>
      </c>
      <c r="J655" s="29" t="s">
        <v>23</v>
      </c>
      <c r="K655" s="19" t="s">
        <v>37</v>
      </c>
    </row>
    <row r="656" spans="2:11" ht="19.899999999999999" customHeight="1">
      <c r="B656" s="29">
        <v>2500653</v>
      </c>
      <c r="C656" s="20" t="s">
        <v>46</v>
      </c>
      <c r="D656" s="40">
        <v>44121</v>
      </c>
      <c r="E656" s="29" t="s">
        <v>24</v>
      </c>
      <c r="F656" s="25">
        <v>6</v>
      </c>
      <c r="G656" s="21">
        <v>25.5</v>
      </c>
      <c r="H656" s="21">
        <f t="shared" si="10"/>
        <v>153</v>
      </c>
      <c r="I656" s="29" t="s">
        <v>22</v>
      </c>
      <c r="J656" s="29" t="s">
        <v>19</v>
      </c>
      <c r="K656" s="19" t="s">
        <v>36</v>
      </c>
    </row>
    <row r="657" spans="2:11" ht="19.899999999999999" customHeight="1">
      <c r="B657" s="29">
        <v>2500654</v>
      </c>
      <c r="C657" s="20" t="s">
        <v>44</v>
      </c>
      <c r="D657" s="40">
        <v>44122</v>
      </c>
      <c r="E657" s="29" t="s">
        <v>24</v>
      </c>
      <c r="F657" s="25">
        <v>1</v>
      </c>
      <c r="G657" s="21">
        <v>25.5</v>
      </c>
      <c r="H657" s="21">
        <f t="shared" si="10"/>
        <v>25.5</v>
      </c>
      <c r="I657" s="29" t="s">
        <v>28</v>
      </c>
      <c r="J657" s="29" t="s">
        <v>30</v>
      </c>
      <c r="K657" s="19" t="s">
        <v>33</v>
      </c>
    </row>
    <row r="658" spans="2:11" ht="19.899999999999999" customHeight="1">
      <c r="B658" s="29">
        <v>2500655</v>
      </c>
      <c r="C658" s="20" t="s">
        <v>49</v>
      </c>
      <c r="D658" s="40">
        <v>44123</v>
      </c>
      <c r="E658" s="29" t="s">
        <v>21</v>
      </c>
      <c r="F658" s="25">
        <v>2</v>
      </c>
      <c r="G658" s="21">
        <v>48</v>
      </c>
      <c r="H658" s="21">
        <f t="shared" si="10"/>
        <v>96</v>
      </c>
      <c r="I658" s="29" t="s">
        <v>26</v>
      </c>
      <c r="J658" s="29" t="s">
        <v>29</v>
      </c>
      <c r="K658" s="19" t="s">
        <v>38</v>
      </c>
    </row>
    <row r="659" spans="2:11" ht="19.899999999999999" customHeight="1">
      <c r="B659" s="29">
        <v>2500656</v>
      </c>
      <c r="C659" s="20" t="s">
        <v>45</v>
      </c>
      <c r="D659" s="40">
        <v>44124</v>
      </c>
      <c r="E659" s="29" t="s">
        <v>20</v>
      </c>
      <c r="F659" s="25">
        <v>10</v>
      </c>
      <c r="G659" s="21">
        <v>36</v>
      </c>
      <c r="H659" s="21">
        <f t="shared" si="10"/>
        <v>360</v>
      </c>
      <c r="I659" s="29" t="s">
        <v>15</v>
      </c>
      <c r="J659" s="29" t="s">
        <v>16</v>
      </c>
      <c r="K659" s="19" t="s">
        <v>34</v>
      </c>
    </row>
    <row r="660" spans="2:11" ht="19.899999999999999" customHeight="1">
      <c r="B660" s="29">
        <v>2500657</v>
      </c>
      <c r="C660" s="20" t="s">
        <v>41</v>
      </c>
      <c r="D660" s="40">
        <v>44125</v>
      </c>
      <c r="E660" s="29" t="s">
        <v>9</v>
      </c>
      <c r="F660" s="25">
        <v>8</v>
      </c>
      <c r="G660" s="21">
        <v>18.5</v>
      </c>
      <c r="H660" s="21">
        <f t="shared" si="10"/>
        <v>148</v>
      </c>
      <c r="I660" s="29" t="s">
        <v>15</v>
      </c>
      <c r="J660" s="29" t="s">
        <v>16</v>
      </c>
      <c r="K660" s="19" t="s">
        <v>34</v>
      </c>
    </row>
    <row r="661" spans="2:11" ht="19.899999999999999" customHeight="1">
      <c r="B661" s="29">
        <v>2500658</v>
      </c>
      <c r="C661" s="20" t="s">
        <v>43</v>
      </c>
      <c r="D661" s="40">
        <v>44126</v>
      </c>
      <c r="E661" s="29" t="s">
        <v>24</v>
      </c>
      <c r="F661" s="25">
        <v>9</v>
      </c>
      <c r="G661" s="21">
        <v>25.5</v>
      </c>
      <c r="H661" s="21">
        <f t="shared" si="10"/>
        <v>229.5</v>
      </c>
      <c r="I661" s="29" t="s">
        <v>25</v>
      </c>
      <c r="J661" s="29" t="s">
        <v>23</v>
      </c>
      <c r="K661" s="19" t="s">
        <v>37</v>
      </c>
    </row>
    <row r="662" spans="2:11" ht="19.899999999999999" customHeight="1">
      <c r="B662" s="29">
        <v>2500659</v>
      </c>
      <c r="C662" s="20" t="s">
        <v>46</v>
      </c>
      <c r="D662" s="40">
        <v>44127</v>
      </c>
      <c r="E662" s="29" t="s">
        <v>12</v>
      </c>
      <c r="F662" s="25">
        <v>3</v>
      </c>
      <c r="G662" s="21">
        <v>32</v>
      </c>
      <c r="H662" s="21">
        <f t="shared" si="10"/>
        <v>96</v>
      </c>
      <c r="I662" s="29" t="s">
        <v>26</v>
      </c>
      <c r="J662" s="29" t="s">
        <v>29</v>
      </c>
      <c r="K662" s="19" t="s">
        <v>38</v>
      </c>
    </row>
    <row r="663" spans="2:11" ht="19.899999999999999" customHeight="1">
      <c r="B663" s="29">
        <v>2500660</v>
      </c>
      <c r="C663" s="20" t="s">
        <v>48</v>
      </c>
      <c r="D663" s="40">
        <v>44128</v>
      </c>
      <c r="E663" s="29" t="s">
        <v>21</v>
      </c>
      <c r="F663" s="25">
        <v>9</v>
      </c>
      <c r="G663" s="21">
        <v>48</v>
      </c>
      <c r="H663" s="21">
        <f t="shared" si="10"/>
        <v>432</v>
      </c>
      <c r="I663" s="29" t="s">
        <v>13</v>
      </c>
      <c r="J663" s="29" t="s">
        <v>14</v>
      </c>
      <c r="K663" s="19" t="s">
        <v>33</v>
      </c>
    </row>
    <row r="664" spans="2:11" ht="19.899999999999999" customHeight="1">
      <c r="B664" s="29">
        <v>2500661</v>
      </c>
      <c r="C664" s="20" t="s">
        <v>45</v>
      </c>
      <c r="D664" s="40">
        <v>44129</v>
      </c>
      <c r="E664" s="29" t="s">
        <v>12</v>
      </c>
      <c r="F664" s="25">
        <v>7</v>
      </c>
      <c r="G664" s="21">
        <v>32</v>
      </c>
      <c r="H664" s="21">
        <f t="shared" si="10"/>
        <v>224</v>
      </c>
      <c r="I664" s="29" t="s">
        <v>17</v>
      </c>
      <c r="J664" s="29" t="s">
        <v>18</v>
      </c>
      <c r="K664" s="19" t="s">
        <v>35</v>
      </c>
    </row>
    <row r="665" spans="2:11" ht="19.899999999999999" customHeight="1">
      <c r="B665" s="29">
        <v>2500662</v>
      </c>
      <c r="C665" s="20" t="s">
        <v>40</v>
      </c>
      <c r="D665" s="40">
        <v>44130</v>
      </c>
      <c r="E665" s="29" t="s">
        <v>24</v>
      </c>
      <c r="F665" s="25">
        <v>7</v>
      </c>
      <c r="G665" s="21">
        <v>25.5</v>
      </c>
      <c r="H665" s="21">
        <f t="shared" si="10"/>
        <v>178.5</v>
      </c>
      <c r="I665" s="29" t="s">
        <v>26</v>
      </c>
      <c r="J665" s="29" t="s">
        <v>29</v>
      </c>
      <c r="K665" s="19" t="s">
        <v>38</v>
      </c>
    </row>
    <row r="666" spans="2:11" ht="19.899999999999999" customHeight="1">
      <c r="B666" s="29">
        <v>2500663</v>
      </c>
      <c r="C666" s="20" t="s">
        <v>48</v>
      </c>
      <c r="D666" s="40">
        <v>44131</v>
      </c>
      <c r="E666" s="29" t="s">
        <v>20</v>
      </c>
      <c r="F666" s="25">
        <v>7</v>
      </c>
      <c r="G666" s="21">
        <v>36</v>
      </c>
      <c r="H666" s="21">
        <f t="shared" si="10"/>
        <v>252</v>
      </c>
      <c r="I666" s="29" t="s">
        <v>17</v>
      </c>
      <c r="J666" s="29" t="s">
        <v>18</v>
      </c>
      <c r="K666" s="19" t="s">
        <v>35</v>
      </c>
    </row>
    <row r="667" spans="2:11" ht="19.899999999999999" customHeight="1">
      <c r="B667" s="29">
        <v>2500664</v>
      </c>
      <c r="C667" s="20" t="s">
        <v>42</v>
      </c>
      <c r="D667" s="40">
        <v>44132</v>
      </c>
      <c r="E667" s="29" t="s">
        <v>21</v>
      </c>
      <c r="F667" s="25">
        <v>10</v>
      </c>
      <c r="G667" s="21">
        <v>48</v>
      </c>
      <c r="H667" s="21">
        <f t="shared" si="10"/>
        <v>480</v>
      </c>
      <c r="I667" s="29" t="s">
        <v>17</v>
      </c>
      <c r="J667" s="29" t="s">
        <v>18</v>
      </c>
      <c r="K667" s="19" t="s">
        <v>35</v>
      </c>
    </row>
    <row r="668" spans="2:11" ht="19.899999999999999" customHeight="1">
      <c r="B668" s="29">
        <v>2500665</v>
      </c>
      <c r="C668" s="20" t="s">
        <v>47</v>
      </c>
      <c r="D668" s="40">
        <v>44133</v>
      </c>
      <c r="E668" s="29" t="s">
        <v>21</v>
      </c>
      <c r="F668" s="25">
        <v>7</v>
      </c>
      <c r="G668" s="21">
        <v>48</v>
      </c>
      <c r="H668" s="21">
        <f t="shared" si="10"/>
        <v>336</v>
      </c>
      <c r="I668" s="29" t="s">
        <v>25</v>
      </c>
      <c r="J668" s="29" t="s">
        <v>23</v>
      </c>
      <c r="K668" s="19" t="s">
        <v>37</v>
      </c>
    </row>
    <row r="669" spans="2:11" ht="19.899999999999999" customHeight="1">
      <c r="B669" s="29">
        <v>2500666</v>
      </c>
      <c r="C669" s="20" t="s">
        <v>46</v>
      </c>
      <c r="D669" s="40">
        <v>44134</v>
      </c>
      <c r="E669" s="29" t="s">
        <v>27</v>
      </c>
      <c r="F669" s="25">
        <v>7</v>
      </c>
      <c r="G669" s="21">
        <v>15.5</v>
      </c>
      <c r="H669" s="21">
        <f t="shared" si="10"/>
        <v>108.5</v>
      </c>
      <c r="I669" s="29" t="s">
        <v>28</v>
      </c>
      <c r="J669" s="29" t="s">
        <v>30</v>
      </c>
      <c r="K669" s="19" t="s">
        <v>33</v>
      </c>
    </row>
    <row r="670" spans="2:11" ht="19.899999999999999" customHeight="1">
      <c r="B670" s="29">
        <v>2500667</v>
      </c>
      <c r="C670" s="20" t="s">
        <v>46</v>
      </c>
      <c r="D670" s="40">
        <v>44135</v>
      </c>
      <c r="E670" s="29" t="s">
        <v>12</v>
      </c>
      <c r="F670" s="25">
        <v>7</v>
      </c>
      <c r="G670" s="21">
        <v>32</v>
      </c>
      <c r="H670" s="21">
        <f t="shared" si="10"/>
        <v>224</v>
      </c>
      <c r="I670" s="29" t="s">
        <v>26</v>
      </c>
      <c r="J670" s="29" t="s">
        <v>29</v>
      </c>
      <c r="K670" s="19" t="s">
        <v>38</v>
      </c>
    </row>
    <row r="671" spans="2:11" ht="19.899999999999999" customHeight="1">
      <c r="B671" s="29">
        <v>2500668</v>
      </c>
      <c r="C671" s="20" t="s">
        <v>40</v>
      </c>
      <c r="D671" s="40">
        <v>44136</v>
      </c>
      <c r="E671" s="29" t="s">
        <v>12</v>
      </c>
      <c r="F671" s="25">
        <v>9</v>
      </c>
      <c r="G671" s="21">
        <v>32</v>
      </c>
      <c r="H671" s="21">
        <f t="shared" si="10"/>
        <v>288</v>
      </c>
      <c r="I671" s="29" t="s">
        <v>26</v>
      </c>
      <c r="J671" s="29" t="s">
        <v>29</v>
      </c>
      <c r="K671" s="19" t="s">
        <v>38</v>
      </c>
    </row>
    <row r="672" spans="2:11" ht="19.899999999999999" customHeight="1">
      <c r="B672" s="29">
        <v>2500669</v>
      </c>
      <c r="C672" s="20" t="s">
        <v>40</v>
      </c>
      <c r="D672" s="40">
        <v>44137</v>
      </c>
      <c r="E672" s="29" t="s">
        <v>21</v>
      </c>
      <c r="F672" s="25">
        <v>8</v>
      </c>
      <c r="G672" s="21">
        <v>48</v>
      </c>
      <c r="H672" s="21">
        <f t="shared" si="10"/>
        <v>384</v>
      </c>
      <c r="I672" s="29" t="s">
        <v>13</v>
      </c>
      <c r="J672" s="29" t="s">
        <v>14</v>
      </c>
      <c r="K672" s="19" t="s">
        <v>33</v>
      </c>
    </row>
    <row r="673" spans="2:11" ht="19.899999999999999" customHeight="1">
      <c r="B673" s="29">
        <v>2500670</v>
      </c>
      <c r="C673" s="20" t="s">
        <v>49</v>
      </c>
      <c r="D673" s="40">
        <v>44138</v>
      </c>
      <c r="E673" s="29" t="s">
        <v>20</v>
      </c>
      <c r="F673" s="25">
        <v>7</v>
      </c>
      <c r="G673" s="21">
        <v>36</v>
      </c>
      <c r="H673" s="21">
        <f t="shared" si="10"/>
        <v>252</v>
      </c>
      <c r="I673" s="29" t="s">
        <v>17</v>
      </c>
      <c r="J673" s="29" t="s">
        <v>18</v>
      </c>
      <c r="K673" s="19" t="s">
        <v>35</v>
      </c>
    </row>
    <row r="674" spans="2:11" ht="19.899999999999999" customHeight="1">
      <c r="B674" s="29">
        <v>2500671</v>
      </c>
      <c r="C674" s="20" t="s">
        <v>42</v>
      </c>
      <c r="D674" s="40">
        <v>44139</v>
      </c>
      <c r="E674" s="29" t="s">
        <v>12</v>
      </c>
      <c r="F674" s="25">
        <v>9</v>
      </c>
      <c r="G674" s="21">
        <v>32</v>
      </c>
      <c r="H674" s="21">
        <f t="shared" si="10"/>
        <v>288</v>
      </c>
      <c r="I674" s="29" t="s">
        <v>26</v>
      </c>
      <c r="J674" s="29" t="s">
        <v>29</v>
      </c>
      <c r="K674" s="19" t="s">
        <v>38</v>
      </c>
    </row>
    <row r="675" spans="2:11" ht="19.899999999999999" customHeight="1">
      <c r="B675" s="29">
        <v>2500672</v>
      </c>
      <c r="C675" s="20" t="s">
        <v>49</v>
      </c>
      <c r="D675" s="40">
        <v>44140</v>
      </c>
      <c r="E675" s="29" t="s">
        <v>20</v>
      </c>
      <c r="F675" s="25">
        <v>4</v>
      </c>
      <c r="G675" s="21">
        <v>36</v>
      </c>
      <c r="H675" s="21">
        <f t="shared" si="10"/>
        <v>144</v>
      </c>
      <c r="I675" s="29" t="s">
        <v>17</v>
      </c>
      <c r="J675" s="29" t="s">
        <v>18</v>
      </c>
      <c r="K675" s="19" t="s">
        <v>35</v>
      </c>
    </row>
    <row r="676" spans="2:11" ht="19.899999999999999" customHeight="1">
      <c r="B676" s="29">
        <v>2500673</v>
      </c>
      <c r="C676" s="20" t="s">
        <v>43</v>
      </c>
      <c r="D676" s="40">
        <v>44141</v>
      </c>
      <c r="E676" s="29" t="s">
        <v>24</v>
      </c>
      <c r="F676" s="25">
        <v>10</v>
      </c>
      <c r="G676" s="21">
        <v>25.5</v>
      </c>
      <c r="H676" s="21">
        <f t="shared" si="10"/>
        <v>255</v>
      </c>
      <c r="I676" s="29" t="s">
        <v>13</v>
      </c>
      <c r="J676" s="29" t="s">
        <v>14</v>
      </c>
      <c r="K676" s="19" t="s">
        <v>33</v>
      </c>
    </row>
    <row r="677" spans="2:11" ht="19.899999999999999" customHeight="1">
      <c r="B677" s="29">
        <v>2500674</v>
      </c>
      <c r="C677" s="20" t="s">
        <v>49</v>
      </c>
      <c r="D677" s="40">
        <v>44142</v>
      </c>
      <c r="E677" s="29" t="s">
        <v>21</v>
      </c>
      <c r="F677" s="25">
        <v>3</v>
      </c>
      <c r="G677" s="21">
        <v>48</v>
      </c>
      <c r="H677" s="21">
        <f t="shared" si="10"/>
        <v>144</v>
      </c>
      <c r="I677" s="29" t="s">
        <v>22</v>
      </c>
      <c r="J677" s="29" t="s">
        <v>19</v>
      </c>
      <c r="K677" s="19" t="s">
        <v>36</v>
      </c>
    </row>
    <row r="678" spans="2:11" ht="19.899999999999999" customHeight="1">
      <c r="B678" s="29">
        <v>2500675</v>
      </c>
      <c r="C678" s="20" t="s">
        <v>45</v>
      </c>
      <c r="D678" s="40">
        <v>44143</v>
      </c>
      <c r="E678" s="29" t="s">
        <v>24</v>
      </c>
      <c r="F678" s="25">
        <v>2</v>
      </c>
      <c r="G678" s="21">
        <v>25.5</v>
      </c>
      <c r="H678" s="21">
        <f t="shared" si="10"/>
        <v>51</v>
      </c>
      <c r="I678" s="29" t="s">
        <v>17</v>
      </c>
      <c r="J678" s="29" t="s">
        <v>18</v>
      </c>
      <c r="K678" s="19" t="s">
        <v>35</v>
      </c>
    </row>
    <row r="679" spans="2:11" ht="19.899999999999999" customHeight="1">
      <c r="B679" s="29">
        <v>2500676</v>
      </c>
      <c r="C679" s="20" t="s">
        <v>48</v>
      </c>
      <c r="D679" s="40">
        <v>44144</v>
      </c>
      <c r="E679" s="29" t="s">
        <v>21</v>
      </c>
      <c r="F679" s="25">
        <v>7</v>
      </c>
      <c r="G679" s="21">
        <v>48</v>
      </c>
      <c r="H679" s="21">
        <f t="shared" si="10"/>
        <v>336</v>
      </c>
      <c r="I679" s="29" t="s">
        <v>22</v>
      </c>
      <c r="J679" s="29" t="s">
        <v>19</v>
      </c>
      <c r="K679" s="19" t="s">
        <v>36</v>
      </c>
    </row>
    <row r="680" spans="2:11" ht="19.899999999999999" customHeight="1">
      <c r="B680" s="29">
        <v>2500677</v>
      </c>
      <c r="C680" s="20" t="s">
        <v>45</v>
      </c>
      <c r="D680" s="40">
        <v>44145</v>
      </c>
      <c r="E680" s="29" t="s">
        <v>21</v>
      </c>
      <c r="F680" s="25">
        <v>8</v>
      </c>
      <c r="G680" s="21">
        <v>48</v>
      </c>
      <c r="H680" s="21">
        <f t="shared" si="10"/>
        <v>384</v>
      </c>
      <c r="I680" s="29" t="s">
        <v>17</v>
      </c>
      <c r="J680" s="29" t="s">
        <v>18</v>
      </c>
      <c r="K680" s="19" t="s">
        <v>35</v>
      </c>
    </row>
    <row r="681" spans="2:11" ht="19.899999999999999" customHeight="1">
      <c r="B681" s="29">
        <v>2500678</v>
      </c>
      <c r="C681" s="20" t="s">
        <v>47</v>
      </c>
      <c r="D681" s="40">
        <v>44146</v>
      </c>
      <c r="E681" s="29" t="s">
        <v>21</v>
      </c>
      <c r="F681" s="25">
        <v>1</v>
      </c>
      <c r="G681" s="21">
        <v>48</v>
      </c>
      <c r="H681" s="21">
        <f t="shared" si="10"/>
        <v>48</v>
      </c>
      <c r="I681" s="29" t="s">
        <v>10</v>
      </c>
      <c r="J681" s="29" t="s">
        <v>11</v>
      </c>
      <c r="K681" s="19" t="s">
        <v>32</v>
      </c>
    </row>
    <row r="682" spans="2:11" ht="19.899999999999999" customHeight="1">
      <c r="B682" s="29">
        <v>2500679</v>
      </c>
      <c r="C682" s="20" t="s">
        <v>40</v>
      </c>
      <c r="D682" s="40">
        <v>44147</v>
      </c>
      <c r="E682" s="29" t="s">
        <v>21</v>
      </c>
      <c r="F682" s="25">
        <v>3</v>
      </c>
      <c r="G682" s="21">
        <v>48</v>
      </c>
      <c r="H682" s="21">
        <f t="shared" si="10"/>
        <v>144</v>
      </c>
      <c r="I682" s="29" t="s">
        <v>26</v>
      </c>
      <c r="J682" s="29" t="s">
        <v>29</v>
      </c>
      <c r="K682" s="19" t="s">
        <v>38</v>
      </c>
    </row>
    <row r="683" spans="2:11" ht="19.899999999999999" customHeight="1">
      <c r="B683" s="29">
        <v>2500680</v>
      </c>
      <c r="C683" s="20" t="s">
        <v>46</v>
      </c>
      <c r="D683" s="40">
        <v>44148</v>
      </c>
      <c r="E683" s="29" t="s">
        <v>12</v>
      </c>
      <c r="F683" s="25">
        <v>4</v>
      </c>
      <c r="G683" s="21">
        <v>32</v>
      </c>
      <c r="H683" s="21">
        <f t="shared" si="10"/>
        <v>128</v>
      </c>
      <c r="I683" s="29" t="s">
        <v>10</v>
      </c>
      <c r="J683" s="29" t="s">
        <v>11</v>
      </c>
      <c r="K683" s="19" t="s">
        <v>32</v>
      </c>
    </row>
    <row r="684" spans="2:11" ht="19.899999999999999" customHeight="1">
      <c r="B684" s="29">
        <v>2500681</v>
      </c>
      <c r="C684" s="20" t="s">
        <v>42</v>
      </c>
      <c r="D684" s="40">
        <v>44149</v>
      </c>
      <c r="E684" s="29" t="s">
        <v>27</v>
      </c>
      <c r="F684" s="25">
        <v>8</v>
      </c>
      <c r="G684" s="21">
        <v>15.5</v>
      </c>
      <c r="H684" s="21">
        <f t="shared" si="10"/>
        <v>124</v>
      </c>
      <c r="I684" s="29" t="s">
        <v>17</v>
      </c>
      <c r="J684" s="29" t="s">
        <v>18</v>
      </c>
      <c r="K684" s="19" t="s">
        <v>35</v>
      </c>
    </row>
    <row r="685" spans="2:11" ht="19.899999999999999" customHeight="1">
      <c r="B685" s="29">
        <v>2500682</v>
      </c>
      <c r="C685" s="20" t="s">
        <v>46</v>
      </c>
      <c r="D685" s="40">
        <v>44150</v>
      </c>
      <c r="E685" s="29" t="s">
        <v>20</v>
      </c>
      <c r="F685" s="25">
        <v>10</v>
      </c>
      <c r="G685" s="21">
        <v>36</v>
      </c>
      <c r="H685" s="21">
        <f t="shared" si="10"/>
        <v>360</v>
      </c>
      <c r="I685" s="29" t="s">
        <v>10</v>
      </c>
      <c r="J685" s="29" t="s">
        <v>11</v>
      </c>
      <c r="K685" s="19" t="s">
        <v>32</v>
      </c>
    </row>
    <row r="686" spans="2:11" ht="19.899999999999999" customHeight="1">
      <c r="B686" s="29">
        <v>2500683</v>
      </c>
      <c r="C686" s="20" t="s">
        <v>44</v>
      </c>
      <c r="D686" s="40">
        <v>44151</v>
      </c>
      <c r="E686" s="29" t="s">
        <v>20</v>
      </c>
      <c r="F686" s="25">
        <v>6</v>
      </c>
      <c r="G686" s="21">
        <v>36</v>
      </c>
      <c r="H686" s="21">
        <f t="shared" si="10"/>
        <v>216</v>
      </c>
      <c r="I686" s="29" t="s">
        <v>17</v>
      </c>
      <c r="J686" s="29" t="s">
        <v>18</v>
      </c>
      <c r="K686" s="19" t="s">
        <v>35</v>
      </c>
    </row>
    <row r="687" spans="2:11" ht="19.899999999999999" customHeight="1">
      <c r="B687" s="29">
        <v>2500684</v>
      </c>
      <c r="C687" s="20" t="s">
        <v>41</v>
      </c>
      <c r="D687" s="40">
        <v>44152</v>
      </c>
      <c r="E687" s="29" t="s">
        <v>20</v>
      </c>
      <c r="F687" s="25">
        <v>2</v>
      </c>
      <c r="G687" s="21">
        <v>36</v>
      </c>
      <c r="H687" s="21">
        <f t="shared" si="10"/>
        <v>72</v>
      </c>
      <c r="I687" s="29" t="s">
        <v>26</v>
      </c>
      <c r="J687" s="29" t="s">
        <v>29</v>
      </c>
      <c r="K687" s="19" t="s">
        <v>38</v>
      </c>
    </row>
    <row r="688" spans="2:11" ht="19.899999999999999" customHeight="1">
      <c r="B688" s="29">
        <v>2500685</v>
      </c>
      <c r="C688" s="20" t="s">
        <v>49</v>
      </c>
      <c r="D688" s="40">
        <v>44153</v>
      </c>
      <c r="E688" s="29" t="s">
        <v>20</v>
      </c>
      <c r="F688" s="25">
        <v>5</v>
      </c>
      <c r="G688" s="21">
        <v>36</v>
      </c>
      <c r="H688" s="21">
        <f t="shared" si="10"/>
        <v>180</v>
      </c>
      <c r="I688" s="29" t="s">
        <v>25</v>
      </c>
      <c r="J688" s="29" t="s">
        <v>23</v>
      </c>
      <c r="K688" s="19" t="s">
        <v>37</v>
      </c>
    </row>
    <row r="689" spans="2:11" ht="19.899999999999999" customHeight="1">
      <c r="B689" s="29">
        <v>2500686</v>
      </c>
      <c r="C689" s="20" t="s">
        <v>45</v>
      </c>
      <c r="D689" s="40">
        <v>44154</v>
      </c>
      <c r="E689" s="29" t="s">
        <v>27</v>
      </c>
      <c r="F689" s="25">
        <v>1</v>
      </c>
      <c r="G689" s="21">
        <v>15.5</v>
      </c>
      <c r="H689" s="21">
        <f t="shared" si="10"/>
        <v>15.5</v>
      </c>
      <c r="I689" s="29" t="s">
        <v>15</v>
      </c>
      <c r="J689" s="29" t="s">
        <v>16</v>
      </c>
      <c r="K689" s="19" t="s">
        <v>34</v>
      </c>
    </row>
    <row r="690" spans="2:11" ht="19.899999999999999" customHeight="1">
      <c r="B690" s="29">
        <v>2500687</v>
      </c>
      <c r="C690" s="20" t="s">
        <v>44</v>
      </c>
      <c r="D690" s="40">
        <v>44155</v>
      </c>
      <c r="E690" s="29" t="s">
        <v>20</v>
      </c>
      <c r="F690" s="25">
        <v>8</v>
      </c>
      <c r="G690" s="21">
        <v>36</v>
      </c>
      <c r="H690" s="21">
        <f t="shared" si="10"/>
        <v>288</v>
      </c>
      <c r="I690" s="29" t="s">
        <v>25</v>
      </c>
      <c r="J690" s="29" t="s">
        <v>23</v>
      </c>
      <c r="K690" s="19" t="s">
        <v>37</v>
      </c>
    </row>
    <row r="691" spans="2:11" ht="19.899999999999999" customHeight="1">
      <c r="B691" s="29">
        <v>2500688</v>
      </c>
      <c r="C691" s="20" t="s">
        <v>48</v>
      </c>
      <c r="D691" s="40">
        <v>44156</v>
      </c>
      <c r="E691" s="29" t="s">
        <v>27</v>
      </c>
      <c r="F691" s="25">
        <v>3</v>
      </c>
      <c r="G691" s="21">
        <v>15.5</v>
      </c>
      <c r="H691" s="21">
        <f t="shared" si="10"/>
        <v>46.5</v>
      </c>
      <c r="I691" s="29" t="s">
        <v>13</v>
      </c>
      <c r="J691" s="29" t="s">
        <v>14</v>
      </c>
      <c r="K691" s="19" t="s">
        <v>33</v>
      </c>
    </row>
    <row r="692" spans="2:11" ht="19.899999999999999" customHeight="1">
      <c r="B692" s="29">
        <v>2500689</v>
      </c>
      <c r="C692" s="20" t="s">
        <v>45</v>
      </c>
      <c r="D692" s="40">
        <v>44157</v>
      </c>
      <c r="E692" s="29" t="s">
        <v>24</v>
      </c>
      <c r="F692" s="25">
        <v>10</v>
      </c>
      <c r="G692" s="21">
        <v>25.5</v>
      </c>
      <c r="H692" s="21">
        <f t="shared" si="10"/>
        <v>255</v>
      </c>
      <c r="I692" s="29" t="s">
        <v>17</v>
      </c>
      <c r="J692" s="29" t="s">
        <v>18</v>
      </c>
      <c r="K692" s="19" t="s">
        <v>35</v>
      </c>
    </row>
    <row r="693" spans="2:11" ht="19.899999999999999" customHeight="1">
      <c r="B693" s="29">
        <v>2500690</v>
      </c>
      <c r="C693" s="20" t="s">
        <v>48</v>
      </c>
      <c r="D693" s="40">
        <v>44158</v>
      </c>
      <c r="E693" s="29" t="s">
        <v>12</v>
      </c>
      <c r="F693" s="25">
        <v>3</v>
      </c>
      <c r="G693" s="21">
        <v>32</v>
      </c>
      <c r="H693" s="21">
        <f t="shared" si="10"/>
        <v>96</v>
      </c>
      <c r="I693" s="29" t="s">
        <v>26</v>
      </c>
      <c r="J693" s="29" t="s">
        <v>29</v>
      </c>
      <c r="K693" s="19" t="s">
        <v>38</v>
      </c>
    </row>
    <row r="694" spans="2:11" ht="19.899999999999999" customHeight="1">
      <c r="B694" s="29">
        <v>2500691</v>
      </c>
      <c r="C694" s="20" t="s">
        <v>46</v>
      </c>
      <c r="D694" s="40">
        <v>44159</v>
      </c>
      <c r="E694" s="29" t="s">
        <v>21</v>
      </c>
      <c r="F694" s="25">
        <v>10</v>
      </c>
      <c r="G694" s="21">
        <v>48</v>
      </c>
      <c r="H694" s="21">
        <f t="shared" si="10"/>
        <v>480</v>
      </c>
      <c r="I694" s="29" t="s">
        <v>25</v>
      </c>
      <c r="J694" s="29" t="s">
        <v>23</v>
      </c>
      <c r="K694" s="19" t="s">
        <v>37</v>
      </c>
    </row>
    <row r="695" spans="2:11" ht="19.899999999999999" customHeight="1">
      <c r="B695" s="29">
        <v>2500692</v>
      </c>
      <c r="C695" s="20" t="s">
        <v>49</v>
      </c>
      <c r="D695" s="40">
        <v>44160</v>
      </c>
      <c r="E695" s="29" t="s">
        <v>27</v>
      </c>
      <c r="F695" s="25">
        <v>10</v>
      </c>
      <c r="G695" s="21">
        <v>15.5</v>
      </c>
      <c r="H695" s="21">
        <f t="shared" si="10"/>
        <v>155</v>
      </c>
      <c r="I695" s="29" t="s">
        <v>15</v>
      </c>
      <c r="J695" s="29" t="s">
        <v>16</v>
      </c>
      <c r="K695" s="19" t="s">
        <v>34</v>
      </c>
    </row>
    <row r="696" spans="2:11" ht="19.899999999999999" customHeight="1">
      <c r="B696" s="29">
        <v>2500693</v>
      </c>
      <c r="C696" s="20" t="s">
        <v>41</v>
      </c>
      <c r="D696" s="40">
        <v>44161</v>
      </c>
      <c r="E696" s="29" t="s">
        <v>24</v>
      </c>
      <c r="F696" s="25">
        <v>3</v>
      </c>
      <c r="G696" s="21">
        <v>25.5</v>
      </c>
      <c r="H696" s="21">
        <f t="shared" si="10"/>
        <v>76.5</v>
      </c>
      <c r="I696" s="29" t="s">
        <v>22</v>
      </c>
      <c r="J696" s="29" t="s">
        <v>19</v>
      </c>
      <c r="K696" s="19" t="s">
        <v>36</v>
      </c>
    </row>
    <row r="697" spans="2:11" ht="19.899999999999999" customHeight="1">
      <c r="B697" s="29">
        <v>2500694</v>
      </c>
      <c r="C697" s="20" t="s">
        <v>45</v>
      </c>
      <c r="D697" s="40">
        <v>44162</v>
      </c>
      <c r="E697" s="29" t="s">
        <v>12</v>
      </c>
      <c r="F697" s="25">
        <v>9</v>
      </c>
      <c r="G697" s="21">
        <v>32</v>
      </c>
      <c r="H697" s="21">
        <f t="shared" si="10"/>
        <v>288</v>
      </c>
      <c r="I697" s="29" t="s">
        <v>10</v>
      </c>
      <c r="J697" s="29" t="s">
        <v>11</v>
      </c>
      <c r="K697" s="19" t="s">
        <v>32</v>
      </c>
    </row>
    <row r="698" spans="2:11" ht="19.899999999999999" customHeight="1">
      <c r="B698" s="29">
        <v>2500695</v>
      </c>
      <c r="C698" s="20" t="s">
        <v>46</v>
      </c>
      <c r="D698" s="40">
        <v>44163</v>
      </c>
      <c r="E698" s="29" t="s">
        <v>20</v>
      </c>
      <c r="F698" s="25">
        <v>7</v>
      </c>
      <c r="G698" s="21">
        <v>36</v>
      </c>
      <c r="H698" s="21">
        <f t="shared" si="10"/>
        <v>252</v>
      </c>
      <c r="I698" s="29" t="s">
        <v>13</v>
      </c>
      <c r="J698" s="29" t="s">
        <v>14</v>
      </c>
      <c r="K698" s="19" t="s">
        <v>33</v>
      </c>
    </row>
    <row r="699" spans="2:11" ht="19.899999999999999" customHeight="1">
      <c r="B699" s="29">
        <v>2500696</v>
      </c>
      <c r="C699" s="20" t="s">
        <v>44</v>
      </c>
      <c r="D699" s="40">
        <v>44164</v>
      </c>
      <c r="E699" s="29" t="s">
        <v>12</v>
      </c>
      <c r="F699" s="25">
        <v>6</v>
      </c>
      <c r="G699" s="21">
        <v>32</v>
      </c>
      <c r="H699" s="21">
        <f t="shared" si="10"/>
        <v>192</v>
      </c>
      <c r="I699" s="29" t="s">
        <v>22</v>
      </c>
      <c r="J699" s="29" t="s">
        <v>19</v>
      </c>
      <c r="K699" s="19" t="s">
        <v>36</v>
      </c>
    </row>
    <row r="700" spans="2:11" ht="19.899999999999999" customHeight="1">
      <c r="B700" s="29">
        <v>2500697</v>
      </c>
      <c r="C700" s="20" t="s">
        <v>41</v>
      </c>
      <c r="D700" s="40">
        <v>44165</v>
      </c>
      <c r="E700" s="29" t="s">
        <v>24</v>
      </c>
      <c r="F700" s="25">
        <v>8</v>
      </c>
      <c r="G700" s="21">
        <v>25.5</v>
      </c>
      <c r="H700" s="21">
        <f t="shared" si="10"/>
        <v>204</v>
      </c>
      <c r="I700" s="29" t="s">
        <v>22</v>
      </c>
      <c r="J700" s="29" t="s">
        <v>19</v>
      </c>
      <c r="K700" s="19" t="s">
        <v>36</v>
      </c>
    </row>
    <row r="701" spans="2:11" ht="19.899999999999999" customHeight="1">
      <c r="B701" s="29">
        <v>2500698</v>
      </c>
      <c r="C701" s="20" t="s">
        <v>45</v>
      </c>
      <c r="D701" s="40">
        <v>44166</v>
      </c>
      <c r="E701" s="29" t="s">
        <v>20</v>
      </c>
      <c r="F701" s="25">
        <v>9</v>
      </c>
      <c r="G701" s="21">
        <v>36</v>
      </c>
      <c r="H701" s="21">
        <f t="shared" si="10"/>
        <v>324</v>
      </c>
      <c r="I701" s="29" t="s">
        <v>17</v>
      </c>
      <c r="J701" s="29" t="s">
        <v>18</v>
      </c>
      <c r="K701" s="19" t="s">
        <v>35</v>
      </c>
    </row>
    <row r="702" spans="2:11" ht="19.899999999999999" customHeight="1">
      <c r="B702" s="29">
        <v>2500699</v>
      </c>
      <c r="C702" s="20" t="s">
        <v>47</v>
      </c>
      <c r="D702" s="40">
        <v>44167</v>
      </c>
      <c r="E702" s="29" t="s">
        <v>20</v>
      </c>
      <c r="F702" s="25">
        <v>3</v>
      </c>
      <c r="G702" s="21">
        <v>36</v>
      </c>
      <c r="H702" s="21">
        <f t="shared" si="10"/>
        <v>108</v>
      </c>
      <c r="I702" s="29" t="s">
        <v>10</v>
      </c>
      <c r="J702" s="29" t="s">
        <v>11</v>
      </c>
      <c r="K702" s="19" t="s">
        <v>32</v>
      </c>
    </row>
    <row r="703" spans="2:11" ht="19.899999999999999" customHeight="1">
      <c r="B703" s="29">
        <v>2500700</v>
      </c>
      <c r="C703" s="20" t="s">
        <v>46</v>
      </c>
      <c r="D703" s="40">
        <v>44168</v>
      </c>
      <c r="E703" s="29" t="s">
        <v>20</v>
      </c>
      <c r="F703" s="25">
        <v>7</v>
      </c>
      <c r="G703" s="21">
        <v>36</v>
      </c>
      <c r="H703" s="21">
        <f t="shared" si="10"/>
        <v>252</v>
      </c>
      <c r="I703" s="29" t="s">
        <v>28</v>
      </c>
      <c r="J703" s="29" t="s">
        <v>30</v>
      </c>
      <c r="K703" s="19" t="s">
        <v>33</v>
      </c>
    </row>
    <row r="704" spans="2:11" ht="19.899999999999999" customHeight="1">
      <c r="B704" s="29">
        <v>2500701</v>
      </c>
      <c r="C704" s="20" t="s">
        <v>43</v>
      </c>
      <c r="D704" s="40">
        <v>44169</v>
      </c>
      <c r="E704" s="29" t="s">
        <v>27</v>
      </c>
      <c r="F704" s="25">
        <v>4</v>
      </c>
      <c r="G704" s="21">
        <v>15.5</v>
      </c>
      <c r="H704" s="21">
        <f t="shared" si="10"/>
        <v>62</v>
      </c>
      <c r="I704" s="29" t="s">
        <v>25</v>
      </c>
      <c r="J704" s="29" t="s">
        <v>23</v>
      </c>
      <c r="K704" s="19" t="s">
        <v>37</v>
      </c>
    </row>
    <row r="705" spans="2:11" ht="19.899999999999999" customHeight="1">
      <c r="B705" s="29">
        <v>2500702</v>
      </c>
      <c r="C705" s="20" t="s">
        <v>45</v>
      </c>
      <c r="D705" s="40">
        <v>44170</v>
      </c>
      <c r="E705" s="29" t="s">
        <v>21</v>
      </c>
      <c r="F705" s="25">
        <v>3</v>
      </c>
      <c r="G705" s="21">
        <v>48</v>
      </c>
      <c r="H705" s="21">
        <f t="shared" si="10"/>
        <v>144</v>
      </c>
      <c r="I705" s="29" t="s">
        <v>17</v>
      </c>
      <c r="J705" s="29" t="s">
        <v>18</v>
      </c>
      <c r="K705" s="19" t="s">
        <v>35</v>
      </c>
    </row>
    <row r="706" spans="2:11" ht="19.899999999999999" customHeight="1">
      <c r="B706" s="29">
        <v>2500703</v>
      </c>
      <c r="C706" s="20" t="s">
        <v>40</v>
      </c>
      <c r="D706" s="40">
        <v>44171</v>
      </c>
      <c r="E706" s="29" t="s">
        <v>12</v>
      </c>
      <c r="F706" s="25">
        <v>2</v>
      </c>
      <c r="G706" s="21">
        <v>32</v>
      </c>
      <c r="H706" s="21">
        <f t="shared" si="10"/>
        <v>64</v>
      </c>
      <c r="I706" s="29" t="s">
        <v>26</v>
      </c>
      <c r="J706" s="29" t="s">
        <v>29</v>
      </c>
      <c r="K706" s="19" t="s">
        <v>38</v>
      </c>
    </row>
    <row r="707" spans="2:11" ht="19.899999999999999" customHeight="1">
      <c r="B707" s="29">
        <v>2500704</v>
      </c>
      <c r="C707" s="20" t="s">
        <v>41</v>
      </c>
      <c r="D707" s="40">
        <v>44172</v>
      </c>
      <c r="E707" s="29" t="s">
        <v>24</v>
      </c>
      <c r="F707" s="25">
        <v>4</v>
      </c>
      <c r="G707" s="21">
        <v>25.5</v>
      </c>
      <c r="H707" s="21">
        <f t="shared" si="10"/>
        <v>102</v>
      </c>
      <c r="I707" s="29" t="s">
        <v>13</v>
      </c>
      <c r="J707" s="29" t="s">
        <v>14</v>
      </c>
      <c r="K707" s="19" t="s">
        <v>33</v>
      </c>
    </row>
    <row r="708" spans="2:11" ht="19.899999999999999" customHeight="1">
      <c r="B708" s="29">
        <v>2500705</v>
      </c>
      <c r="C708" s="20" t="s">
        <v>45</v>
      </c>
      <c r="D708" s="40">
        <v>44173</v>
      </c>
      <c r="E708" s="29" t="s">
        <v>21</v>
      </c>
      <c r="F708" s="25">
        <v>3</v>
      </c>
      <c r="G708" s="21">
        <v>48</v>
      </c>
      <c r="H708" s="21">
        <f t="shared" si="10"/>
        <v>144</v>
      </c>
      <c r="I708" s="29" t="s">
        <v>25</v>
      </c>
      <c r="J708" s="29" t="s">
        <v>23</v>
      </c>
      <c r="K708" s="19" t="s">
        <v>37</v>
      </c>
    </row>
    <row r="709" spans="2:11" ht="19.899999999999999" customHeight="1">
      <c r="B709" s="29">
        <v>2500706</v>
      </c>
      <c r="C709" s="20" t="s">
        <v>48</v>
      </c>
      <c r="D709" s="40">
        <v>44174</v>
      </c>
      <c r="E709" s="29" t="s">
        <v>12</v>
      </c>
      <c r="F709" s="25">
        <v>1</v>
      </c>
      <c r="G709" s="21">
        <v>32</v>
      </c>
      <c r="H709" s="21">
        <f t="shared" si="10"/>
        <v>32</v>
      </c>
      <c r="I709" s="29" t="s">
        <v>22</v>
      </c>
      <c r="J709" s="29" t="s">
        <v>19</v>
      </c>
      <c r="K709" s="19" t="s">
        <v>36</v>
      </c>
    </row>
    <row r="710" spans="2:11" ht="19.899999999999999" customHeight="1">
      <c r="B710" s="29">
        <v>2500707</v>
      </c>
      <c r="C710" s="20" t="s">
        <v>49</v>
      </c>
      <c r="D710" s="40">
        <v>44175</v>
      </c>
      <c r="E710" s="29" t="s">
        <v>27</v>
      </c>
      <c r="F710" s="25">
        <v>8</v>
      </c>
      <c r="G710" s="21">
        <v>15.5</v>
      </c>
      <c r="H710" s="21">
        <f t="shared" ref="H710:H773" si="11">+G710*F710</f>
        <v>124</v>
      </c>
      <c r="I710" s="29" t="s">
        <v>13</v>
      </c>
      <c r="J710" s="29" t="s">
        <v>14</v>
      </c>
      <c r="K710" s="19" t="s">
        <v>33</v>
      </c>
    </row>
    <row r="711" spans="2:11" ht="19.899999999999999" customHeight="1">
      <c r="B711" s="29">
        <v>2500708</v>
      </c>
      <c r="C711" s="20" t="s">
        <v>43</v>
      </c>
      <c r="D711" s="40">
        <v>44176</v>
      </c>
      <c r="E711" s="29" t="s">
        <v>12</v>
      </c>
      <c r="F711" s="25">
        <v>2</v>
      </c>
      <c r="G711" s="21">
        <v>32</v>
      </c>
      <c r="H711" s="21">
        <f t="shared" si="11"/>
        <v>64</v>
      </c>
      <c r="I711" s="29" t="s">
        <v>15</v>
      </c>
      <c r="J711" s="29" t="s">
        <v>16</v>
      </c>
      <c r="K711" s="19" t="s">
        <v>34</v>
      </c>
    </row>
    <row r="712" spans="2:11" ht="19.899999999999999" customHeight="1">
      <c r="B712" s="29">
        <v>2500709</v>
      </c>
      <c r="C712" s="20" t="s">
        <v>43</v>
      </c>
      <c r="D712" s="40">
        <v>44177</v>
      </c>
      <c r="E712" s="29" t="s">
        <v>21</v>
      </c>
      <c r="F712" s="25">
        <v>9</v>
      </c>
      <c r="G712" s="21">
        <v>48</v>
      </c>
      <c r="H712" s="21">
        <f t="shared" si="11"/>
        <v>432</v>
      </c>
      <c r="I712" s="29" t="s">
        <v>15</v>
      </c>
      <c r="J712" s="29" t="s">
        <v>16</v>
      </c>
      <c r="K712" s="19" t="s">
        <v>34</v>
      </c>
    </row>
    <row r="713" spans="2:11" ht="19.899999999999999" customHeight="1">
      <c r="B713" s="29">
        <v>2500710</v>
      </c>
      <c r="C713" s="20" t="s">
        <v>45</v>
      </c>
      <c r="D713" s="40">
        <v>44178</v>
      </c>
      <c r="E713" s="29" t="s">
        <v>9</v>
      </c>
      <c r="F713" s="25">
        <v>1</v>
      </c>
      <c r="G713" s="21">
        <v>18.5</v>
      </c>
      <c r="H713" s="21">
        <f t="shared" si="11"/>
        <v>18.5</v>
      </c>
      <c r="I713" s="29" t="s">
        <v>13</v>
      </c>
      <c r="J713" s="29" t="s">
        <v>14</v>
      </c>
      <c r="K713" s="19" t="s">
        <v>33</v>
      </c>
    </row>
    <row r="714" spans="2:11" ht="19.899999999999999" customHeight="1">
      <c r="B714" s="29">
        <v>2500711</v>
      </c>
      <c r="C714" s="20" t="s">
        <v>49</v>
      </c>
      <c r="D714" s="40">
        <v>44179</v>
      </c>
      <c r="E714" s="29" t="s">
        <v>12</v>
      </c>
      <c r="F714" s="25">
        <v>4</v>
      </c>
      <c r="G714" s="21">
        <v>32</v>
      </c>
      <c r="H714" s="21">
        <f t="shared" si="11"/>
        <v>128</v>
      </c>
      <c r="I714" s="29" t="s">
        <v>15</v>
      </c>
      <c r="J714" s="29" t="s">
        <v>16</v>
      </c>
      <c r="K714" s="19" t="s">
        <v>34</v>
      </c>
    </row>
    <row r="715" spans="2:11" ht="19.899999999999999" customHeight="1">
      <c r="B715" s="29">
        <v>2500712</v>
      </c>
      <c r="C715" s="20" t="s">
        <v>45</v>
      </c>
      <c r="D715" s="40">
        <v>44180</v>
      </c>
      <c r="E715" s="29" t="s">
        <v>27</v>
      </c>
      <c r="F715" s="25">
        <v>8</v>
      </c>
      <c r="G715" s="21">
        <v>15.5</v>
      </c>
      <c r="H715" s="21">
        <f t="shared" si="11"/>
        <v>124</v>
      </c>
      <c r="I715" s="29" t="s">
        <v>22</v>
      </c>
      <c r="J715" s="29" t="s">
        <v>19</v>
      </c>
      <c r="K715" s="19" t="s">
        <v>36</v>
      </c>
    </row>
    <row r="716" spans="2:11" ht="19.899999999999999" customHeight="1">
      <c r="B716" s="29">
        <v>2500713</v>
      </c>
      <c r="C716" s="20" t="s">
        <v>47</v>
      </c>
      <c r="D716" s="40">
        <v>44181</v>
      </c>
      <c r="E716" s="29" t="s">
        <v>24</v>
      </c>
      <c r="F716" s="25">
        <v>2</v>
      </c>
      <c r="G716" s="21">
        <v>25.5</v>
      </c>
      <c r="H716" s="21">
        <f t="shared" si="11"/>
        <v>51</v>
      </c>
      <c r="I716" s="29" t="s">
        <v>25</v>
      </c>
      <c r="J716" s="29" t="s">
        <v>23</v>
      </c>
      <c r="K716" s="19" t="s">
        <v>37</v>
      </c>
    </row>
    <row r="717" spans="2:11" ht="19.899999999999999" customHeight="1">
      <c r="B717" s="29">
        <v>2500714</v>
      </c>
      <c r="C717" s="20" t="s">
        <v>49</v>
      </c>
      <c r="D717" s="40">
        <v>44182</v>
      </c>
      <c r="E717" s="29" t="s">
        <v>12</v>
      </c>
      <c r="F717" s="25">
        <v>7</v>
      </c>
      <c r="G717" s="21">
        <v>32</v>
      </c>
      <c r="H717" s="21">
        <f t="shared" si="11"/>
        <v>224</v>
      </c>
      <c r="I717" s="29" t="s">
        <v>17</v>
      </c>
      <c r="J717" s="29" t="s">
        <v>18</v>
      </c>
      <c r="K717" s="19" t="s">
        <v>35</v>
      </c>
    </row>
    <row r="718" spans="2:11" ht="19.899999999999999" customHeight="1">
      <c r="B718" s="29">
        <v>2500715</v>
      </c>
      <c r="C718" s="20" t="s">
        <v>48</v>
      </c>
      <c r="D718" s="40">
        <v>44183</v>
      </c>
      <c r="E718" s="29" t="s">
        <v>21</v>
      </c>
      <c r="F718" s="25">
        <v>3</v>
      </c>
      <c r="G718" s="21">
        <v>48</v>
      </c>
      <c r="H718" s="21">
        <f t="shared" si="11"/>
        <v>144</v>
      </c>
      <c r="I718" s="29" t="s">
        <v>26</v>
      </c>
      <c r="J718" s="29" t="s">
        <v>29</v>
      </c>
      <c r="K718" s="19" t="s">
        <v>38</v>
      </c>
    </row>
    <row r="719" spans="2:11" ht="19.899999999999999" customHeight="1">
      <c r="B719" s="29">
        <v>2500716</v>
      </c>
      <c r="C719" s="20" t="s">
        <v>45</v>
      </c>
      <c r="D719" s="40">
        <v>44184</v>
      </c>
      <c r="E719" s="29" t="s">
        <v>20</v>
      </c>
      <c r="F719" s="25">
        <v>4</v>
      </c>
      <c r="G719" s="21">
        <v>36</v>
      </c>
      <c r="H719" s="21">
        <f t="shared" si="11"/>
        <v>144</v>
      </c>
      <c r="I719" s="29" t="s">
        <v>22</v>
      </c>
      <c r="J719" s="29" t="s">
        <v>19</v>
      </c>
      <c r="K719" s="19" t="s">
        <v>36</v>
      </c>
    </row>
    <row r="720" spans="2:11" ht="19.899999999999999" customHeight="1">
      <c r="B720" s="29">
        <v>2500717</v>
      </c>
      <c r="C720" s="20" t="s">
        <v>49</v>
      </c>
      <c r="D720" s="40">
        <v>44185</v>
      </c>
      <c r="E720" s="29" t="s">
        <v>12</v>
      </c>
      <c r="F720" s="25">
        <v>9</v>
      </c>
      <c r="G720" s="21">
        <v>32</v>
      </c>
      <c r="H720" s="21">
        <f t="shared" si="11"/>
        <v>288</v>
      </c>
      <c r="I720" s="29" t="s">
        <v>22</v>
      </c>
      <c r="J720" s="29" t="s">
        <v>19</v>
      </c>
      <c r="K720" s="19" t="s">
        <v>36</v>
      </c>
    </row>
    <row r="721" spans="2:11" ht="19.899999999999999" customHeight="1">
      <c r="B721" s="29">
        <v>2500718</v>
      </c>
      <c r="C721" s="20" t="s">
        <v>46</v>
      </c>
      <c r="D721" s="40">
        <v>44186</v>
      </c>
      <c r="E721" s="29" t="s">
        <v>12</v>
      </c>
      <c r="F721" s="25">
        <v>3</v>
      </c>
      <c r="G721" s="21">
        <v>32</v>
      </c>
      <c r="H721" s="21">
        <f t="shared" si="11"/>
        <v>96</v>
      </c>
      <c r="I721" s="29" t="s">
        <v>10</v>
      </c>
      <c r="J721" s="29" t="s">
        <v>11</v>
      </c>
      <c r="K721" s="19" t="s">
        <v>32</v>
      </c>
    </row>
    <row r="722" spans="2:11" ht="19.899999999999999" customHeight="1">
      <c r="B722" s="29">
        <v>2500719</v>
      </c>
      <c r="C722" s="20" t="s">
        <v>43</v>
      </c>
      <c r="D722" s="40">
        <v>44187</v>
      </c>
      <c r="E722" s="29" t="s">
        <v>24</v>
      </c>
      <c r="F722" s="25">
        <v>6</v>
      </c>
      <c r="G722" s="21">
        <v>25.5</v>
      </c>
      <c r="H722" s="21">
        <f t="shared" si="11"/>
        <v>153</v>
      </c>
      <c r="I722" s="29" t="s">
        <v>10</v>
      </c>
      <c r="J722" s="29" t="s">
        <v>11</v>
      </c>
      <c r="K722" s="19" t="s">
        <v>32</v>
      </c>
    </row>
    <row r="723" spans="2:11" ht="19.899999999999999" customHeight="1">
      <c r="B723" s="29">
        <v>2500720</v>
      </c>
      <c r="C723" s="20" t="s">
        <v>47</v>
      </c>
      <c r="D723" s="40">
        <v>44188</v>
      </c>
      <c r="E723" s="29" t="s">
        <v>9</v>
      </c>
      <c r="F723" s="25">
        <v>6</v>
      </c>
      <c r="G723" s="21">
        <v>18.5</v>
      </c>
      <c r="H723" s="21">
        <f t="shared" si="11"/>
        <v>111</v>
      </c>
      <c r="I723" s="29" t="s">
        <v>17</v>
      </c>
      <c r="J723" s="29" t="s">
        <v>18</v>
      </c>
      <c r="K723" s="19" t="s">
        <v>35</v>
      </c>
    </row>
    <row r="724" spans="2:11" ht="19.899999999999999" customHeight="1">
      <c r="B724" s="29">
        <v>2500721</v>
      </c>
      <c r="C724" s="20" t="s">
        <v>47</v>
      </c>
      <c r="D724" s="40">
        <v>44189</v>
      </c>
      <c r="E724" s="29" t="s">
        <v>27</v>
      </c>
      <c r="F724" s="25">
        <v>6</v>
      </c>
      <c r="G724" s="21">
        <v>15.5</v>
      </c>
      <c r="H724" s="21">
        <f t="shared" si="11"/>
        <v>93</v>
      </c>
      <c r="I724" s="29" t="s">
        <v>13</v>
      </c>
      <c r="J724" s="29" t="s">
        <v>14</v>
      </c>
      <c r="K724" s="19" t="s">
        <v>33</v>
      </c>
    </row>
    <row r="725" spans="2:11" ht="19.899999999999999" customHeight="1">
      <c r="B725" s="29">
        <v>2500722</v>
      </c>
      <c r="C725" s="20" t="s">
        <v>43</v>
      </c>
      <c r="D725" s="40">
        <v>44190</v>
      </c>
      <c r="E725" s="29" t="s">
        <v>12</v>
      </c>
      <c r="F725" s="25">
        <v>10</v>
      </c>
      <c r="G725" s="21">
        <v>32</v>
      </c>
      <c r="H725" s="21">
        <f t="shared" si="11"/>
        <v>320</v>
      </c>
      <c r="I725" s="29" t="s">
        <v>10</v>
      </c>
      <c r="J725" s="29" t="s">
        <v>11</v>
      </c>
      <c r="K725" s="19" t="s">
        <v>32</v>
      </c>
    </row>
    <row r="726" spans="2:11" ht="19.899999999999999" customHeight="1">
      <c r="B726" s="29">
        <v>2500723</v>
      </c>
      <c r="C726" s="20" t="s">
        <v>49</v>
      </c>
      <c r="D726" s="40">
        <v>44191</v>
      </c>
      <c r="E726" s="29" t="s">
        <v>24</v>
      </c>
      <c r="F726" s="25">
        <v>5</v>
      </c>
      <c r="G726" s="21">
        <v>25.5</v>
      </c>
      <c r="H726" s="21">
        <f t="shared" si="11"/>
        <v>127.5</v>
      </c>
      <c r="I726" s="29" t="s">
        <v>26</v>
      </c>
      <c r="J726" s="29" t="s">
        <v>29</v>
      </c>
      <c r="K726" s="19" t="s">
        <v>38</v>
      </c>
    </row>
    <row r="727" spans="2:11" ht="19.899999999999999" customHeight="1">
      <c r="B727" s="29">
        <v>2500724</v>
      </c>
      <c r="C727" s="20" t="s">
        <v>44</v>
      </c>
      <c r="D727" s="40">
        <v>44192</v>
      </c>
      <c r="E727" s="29" t="s">
        <v>9</v>
      </c>
      <c r="F727" s="25">
        <v>5</v>
      </c>
      <c r="G727" s="21">
        <v>18.5</v>
      </c>
      <c r="H727" s="21">
        <f t="shared" si="11"/>
        <v>92.5</v>
      </c>
      <c r="I727" s="29" t="s">
        <v>13</v>
      </c>
      <c r="J727" s="29" t="s">
        <v>14</v>
      </c>
      <c r="K727" s="19" t="s">
        <v>33</v>
      </c>
    </row>
    <row r="728" spans="2:11" ht="19.899999999999999" customHeight="1">
      <c r="B728" s="29">
        <v>2500725</v>
      </c>
      <c r="C728" s="20" t="s">
        <v>49</v>
      </c>
      <c r="D728" s="40">
        <v>44193</v>
      </c>
      <c r="E728" s="29" t="s">
        <v>9</v>
      </c>
      <c r="F728" s="25">
        <v>7</v>
      </c>
      <c r="G728" s="21">
        <v>18.5</v>
      </c>
      <c r="H728" s="21">
        <f t="shared" si="11"/>
        <v>129.5</v>
      </c>
      <c r="I728" s="29" t="s">
        <v>15</v>
      </c>
      <c r="J728" s="29" t="s">
        <v>16</v>
      </c>
      <c r="K728" s="19" t="s">
        <v>34</v>
      </c>
    </row>
    <row r="729" spans="2:11" ht="19.899999999999999" customHeight="1">
      <c r="B729" s="29">
        <v>2500726</v>
      </c>
      <c r="C729" s="20" t="s">
        <v>48</v>
      </c>
      <c r="D729" s="40">
        <v>44194</v>
      </c>
      <c r="E729" s="29" t="s">
        <v>20</v>
      </c>
      <c r="F729" s="25">
        <v>4</v>
      </c>
      <c r="G729" s="21">
        <v>36</v>
      </c>
      <c r="H729" s="21">
        <f t="shared" si="11"/>
        <v>144</v>
      </c>
      <c r="I729" s="29" t="s">
        <v>17</v>
      </c>
      <c r="J729" s="29" t="s">
        <v>18</v>
      </c>
      <c r="K729" s="19" t="s">
        <v>35</v>
      </c>
    </row>
    <row r="730" spans="2:11" ht="19.899999999999999" customHeight="1">
      <c r="B730" s="29">
        <v>2500727</v>
      </c>
      <c r="C730" s="20" t="s">
        <v>47</v>
      </c>
      <c r="D730" s="40">
        <v>44195</v>
      </c>
      <c r="E730" s="29" t="s">
        <v>21</v>
      </c>
      <c r="F730" s="25">
        <v>6</v>
      </c>
      <c r="G730" s="21">
        <v>48</v>
      </c>
      <c r="H730" s="21">
        <f t="shared" si="11"/>
        <v>288</v>
      </c>
      <c r="I730" s="29" t="s">
        <v>17</v>
      </c>
      <c r="J730" s="29" t="s">
        <v>18</v>
      </c>
      <c r="K730" s="19" t="s">
        <v>35</v>
      </c>
    </row>
    <row r="731" spans="2:11" ht="19.899999999999999" customHeight="1">
      <c r="B731" s="29">
        <v>2500728</v>
      </c>
      <c r="C731" s="20" t="s">
        <v>43</v>
      </c>
      <c r="D731" s="40">
        <v>44196</v>
      </c>
      <c r="E731" s="29" t="s">
        <v>20</v>
      </c>
      <c r="F731" s="25">
        <v>1</v>
      </c>
      <c r="G731" s="21">
        <v>36</v>
      </c>
      <c r="H731" s="21">
        <f t="shared" si="11"/>
        <v>36</v>
      </c>
      <c r="I731" s="29" t="s">
        <v>26</v>
      </c>
      <c r="J731" s="29" t="s">
        <v>29</v>
      </c>
      <c r="K731" s="19" t="s">
        <v>38</v>
      </c>
    </row>
    <row r="732" spans="2:11" ht="19.899999999999999" customHeight="1">
      <c r="B732" s="29">
        <v>2500729</v>
      </c>
      <c r="C732" s="20" t="s">
        <v>46</v>
      </c>
      <c r="D732" s="40">
        <v>44197</v>
      </c>
      <c r="E732" s="29" t="s">
        <v>21</v>
      </c>
      <c r="F732" s="25">
        <v>6</v>
      </c>
      <c r="G732" s="21">
        <v>48</v>
      </c>
      <c r="H732" s="21">
        <f t="shared" si="11"/>
        <v>288</v>
      </c>
      <c r="I732" s="29" t="s">
        <v>22</v>
      </c>
      <c r="J732" s="29" t="s">
        <v>19</v>
      </c>
      <c r="K732" s="19" t="s">
        <v>36</v>
      </c>
    </row>
    <row r="733" spans="2:11" ht="19.899999999999999" customHeight="1">
      <c r="B733" s="29">
        <v>2500730</v>
      </c>
      <c r="C733" s="20" t="s">
        <v>42</v>
      </c>
      <c r="D733" s="40">
        <v>44198</v>
      </c>
      <c r="E733" s="29" t="s">
        <v>24</v>
      </c>
      <c r="F733" s="25">
        <v>3</v>
      </c>
      <c r="G733" s="21">
        <v>25.5</v>
      </c>
      <c r="H733" s="21">
        <f t="shared" si="11"/>
        <v>76.5</v>
      </c>
      <c r="I733" s="29" t="s">
        <v>15</v>
      </c>
      <c r="J733" s="29" t="s">
        <v>16</v>
      </c>
      <c r="K733" s="19" t="s">
        <v>34</v>
      </c>
    </row>
    <row r="734" spans="2:11" ht="19.899999999999999" customHeight="1">
      <c r="B734" s="29">
        <v>2500731</v>
      </c>
      <c r="C734" s="20" t="s">
        <v>42</v>
      </c>
      <c r="D734" s="40">
        <v>44199</v>
      </c>
      <c r="E734" s="29" t="s">
        <v>12</v>
      </c>
      <c r="F734" s="25">
        <v>5</v>
      </c>
      <c r="G734" s="21">
        <v>32</v>
      </c>
      <c r="H734" s="21">
        <f t="shared" si="11"/>
        <v>160</v>
      </c>
      <c r="I734" s="29" t="s">
        <v>25</v>
      </c>
      <c r="J734" s="29" t="s">
        <v>23</v>
      </c>
      <c r="K734" s="19" t="s">
        <v>37</v>
      </c>
    </row>
    <row r="735" spans="2:11" ht="19.899999999999999" customHeight="1">
      <c r="B735" s="29">
        <v>2500732</v>
      </c>
      <c r="C735" s="20" t="s">
        <v>41</v>
      </c>
      <c r="D735" s="40">
        <v>44200</v>
      </c>
      <c r="E735" s="29" t="s">
        <v>27</v>
      </c>
      <c r="F735" s="25">
        <v>9</v>
      </c>
      <c r="G735" s="21">
        <v>15.5</v>
      </c>
      <c r="H735" s="21">
        <f t="shared" si="11"/>
        <v>139.5</v>
      </c>
      <c r="I735" s="29" t="s">
        <v>17</v>
      </c>
      <c r="J735" s="29" t="s">
        <v>18</v>
      </c>
      <c r="K735" s="19" t="s">
        <v>35</v>
      </c>
    </row>
    <row r="736" spans="2:11" ht="19.899999999999999" customHeight="1">
      <c r="B736" s="29">
        <v>2500733</v>
      </c>
      <c r="C736" s="20" t="s">
        <v>47</v>
      </c>
      <c r="D736" s="40">
        <v>44201</v>
      </c>
      <c r="E736" s="29" t="s">
        <v>20</v>
      </c>
      <c r="F736" s="25">
        <v>9</v>
      </c>
      <c r="G736" s="21">
        <v>36</v>
      </c>
      <c r="H736" s="21">
        <f t="shared" si="11"/>
        <v>324</v>
      </c>
      <c r="I736" s="29" t="s">
        <v>28</v>
      </c>
      <c r="J736" s="29" t="s">
        <v>30</v>
      </c>
      <c r="K736" s="19" t="s">
        <v>33</v>
      </c>
    </row>
    <row r="737" spans="2:11" ht="19.899999999999999" customHeight="1">
      <c r="B737" s="29">
        <v>2500734</v>
      </c>
      <c r="C737" s="20" t="s">
        <v>40</v>
      </c>
      <c r="D737" s="40">
        <v>44202</v>
      </c>
      <c r="E737" s="29" t="s">
        <v>21</v>
      </c>
      <c r="F737" s="25">
        <v>10</v>
      </c>
      <c r="G737" s="21">
        <v>48</v>
      </c>
      <c r="H737" s="21">
        <f t="shared" si="11"/>
        <v>480</v>
      </c>
      <c r="I737" s="29" t="s">
        <v>15</v>
      </c>
      <c r="J737" s="29" t="s">
        <v>16</v>
      </c>
      <c r="K737" s="19" t="s">
        <v>34</v>
      </c>
    </row>
    <row r="738" spans="2:11" ht="19.899999999999999" customHeight="1">
      <c r="B738" s="29">
        <v>2500735</v>
      </c>
      <c r="C738" s="20" t="s">
        <v>47</v>
      </c>
      <c r="D738" s="40">
        <v>44203</v>
      </c>
      <c r="E738" s="29" t="s">
        <v>21</v>
      </c>
      <c r="F738" s="25">
        <v>1</v>
      </c>
      <c r="G738" s="21">
        <v>48</v>
      </c>
      <c r="H738" s="21">
        <f t="shared" si="11"/>
        <v>48</v>
      </c>
      <c r="I738" s="29" t="s">
        <v>15</v>
      </c>
      <c r="J738" s="29" t="s">
        <v>16</v>
      </c>
      <c r="K738" s="19" t="s">
        <v>34</v>
      </c>
    </row>
    <row r="739" spans="2:11" ht="19.899999999999999" customHeight="1">
      <c r="B739" s="29">
        <v>2500736</v>
      </c>
      <c r="C739" s="20" t="s">
        <v>45</v>
      </c>
      <c r="D739" s="40">
        <v>44204</v>
      </c>
      <c r="E739" s="29" t="s">
        <v>21</v>
      </c>
      <c r="F739" s="25">
        <v>3</v>
      </c>
      <c r="G739" s="21">
        <v>48</v>
      </c>
      <c r="H739" s="21">
        <f t="shared" si="11"/>
        <v>144</v>
      </c>
      <c r="I739" s="29" t="s">
        <v>25</v>
      </c>
      <c r="J739" s="29" t="s">
        <v>23</v>
      </c>
      <c r="K739" s="19" t="s">
        <v>37</v>
      </c>
    </row>
    <row r="740" spans="2:11" ht="19.899999999999999" customHeight="1">
      <c r="B740" s="29">
        <v>2500737</v>
      </c>
      <c r="C740" s="20" t="s">
        <v>43</v>
      </c>
      <c r="D740" s="40">
        <v>44205</v>
      </c>
      <c r="E740" s="29" t="s">
        <v>20</v>
      </c>
      <c r="F740" s="25">
        <v>8</v>
      </c>
      <c r="G740" s="21">
        <v>36</v>
      </c>
      <c r="H740" s="21">
        <f t="shared" si="11"/>
        <v>288</v>
      </c>
      <c r="I740" s="29" t="s">
        <v>13</v>
      </c>
      <c r="J740" s="29" t="s">
        <v>14</v>
      </c>
      <c r="K740" s="19" t="s">
        <v>33</v>
      </c>
    </row>
    <row r="741" spans="2:11" ht="19.899999999999999" customHeight="1">
      <c r="B741" s="29">
        <v>2500738</v>
      </c>
      <c r="C741" s="20" t="s">
        <v>41</v>
      </c>
      <c r="D741" s="40">
        <v>44206</v>
      </c>
      <c r="E741" s="29" t="s">
        <v>9</v>
      </c>
      <c r="F741" s="25">
        <v>4</v>
      </c>
      <c r="G741" s="21">
        <v>18.5</v>
      </c>
      <c r="H741" s="21">
        <f t="shared" si="11"/>
        <v>74</v>
      </c>
      <c r="I741" s="29" t="s">
        <v>25</v>
      </c>
      <c r="J741" s="29" t="s">
        <v>23</v>
      </c>
      <c r="K741" s="19" t="s">
        <v>37</v>
      </c>
    </row>
    <row r="742" spans="2:11" ht="19.899999999999999" customHeight="1">
      <c r="B742" s="29">
        <v>2500739</v>
      </c>
      <c r="C742" s="20" t="s">
        <v>41</v>
      </c>
      <c r="D742" s="40">
        <v>44207</v>
      </c>
      <c r="E742" s="29" t="s">
        <v>20</v>
      </c>
      <c r="F742" s="25">
        <v>2</v>
      </c>
      <c r="G742" s="21">
        <v>36</v>
      </c>
      <c r="H742" s="21">
        <f t="shared" si="11"/>
        <v>72</v>
      </c>
      <c r="I742" s="29" t="s">
        <v>15</v>
      </c>
      <c r="J742" s="29" t="s">
        <v>16</v>
      </c>
      <c r="K742" s="19" t="s">
        <v>34</v>
      </c>
    </row>
    <row r="743" spans="2:11" ht="19.899999999999999" customHeight="1">
      <c r="B743" s="29">
        <v>2500740</v>
      </c>
      <c r="C743" s="20" t="s">
        <v>49</v>
      </c>
      <c r="D743" s="40">
        <v>44208</v>
      </c>
      <c r="E743" s="29" t="s">
        <v>12</v>
      </c>
      <c r="F743" s="25">
        <v>7</v>
      </c>
      <c r="G743" s="21">
        <v>32</v>
      </c>
      <c r="H743" s="21">
        <f t="shared" si="11"/>
        <v>224</v>
      </c>
      <c r="I743" s="29" t="s">
        <v>28</v>
      </c>
      <c r="J743" s="29" t="s">
        <v>30</v>
      </c>
      <c r="K743" s="19" t="s">
        <v>33</v>
      </c>
    </row>
    <row r="744" spans="2:11" ht="19.899999999999999" customHeight="1">
      <c r="B744" s="29">
        <v>2500741</v>
      </c>
      <c r="C744" s="20" t="s">
        <v>40</v>
      </c>
      <c r="D744" s="40">
        <v>44209</v>
      </c>
      <c r="E744" s="29" t="s">
        <v>21</v>
      </c>
      <c r="F744" s="25">
        <v>1</v>
      </c>
      <c r="G744" s="21">
        <v>48</v>
      </c>
      <c r="H744" s="21">
        <f t="shared" si="11"/>
        <v>48</v>
      </c>
      <c r="I744" s="29" t="s">
        <v>25</v>
      </c>
      <c r="J744" s="29" t="s">
        <v>23</v>
      </c>
      <c r="K744" s="19" t="s">
        <v>37</v>
      </c>
    </row>
    <row r="745" spans="2:11" ht="19.899999999999999" customHeight="1">
      <c r="B745" s="29">
        <v>2500742</v>
      </c>
      <c r="C745" s="20" t="s">
        <v>42</v>
      </c>
      <c r="D745" s="40">
        <v>44210</v>
      </c>
      <c r="E745" s="29" t="s">
        <v>9</v>
      </c>
      <c r="F745" s="25">
        <v>3</v>
      </c>
      <c r="G745" s="21">
        <v>18.5</v>
      </c>
      <c r="H745" s="21">
        <f t="shared" si="11"/>
        <v>55.5</v>
      </c>
      <c r="I745" s="29" t="s">
        <v>28</v>
      </c>
      <c r="J745" s="29" t="s">
        <v>30</v>
      </c>
      <c r="K745" s="19" t="s">
        <v>33</v>
      </c>
    </row>
    <row r="746" spans="2:11" ht="19.899999999999999" customHeight="1">
      <c r="B746" s="29">
        <v>2500743</v>
      </c>
      <c r="C746" s="20" t="s">
        <v>48</v>
      </c>
      <c r="D746" s="40">
        <v>44211</v>
      </c>
      <c r="E746" s="29" t="s">
        <v>9</v>
      </c>
      <c r="F746" s="25">
        <v>5</v>
      </c>
      <c r="G746" s="21">
        <v>18.5</v>
      </c>
      <c r="H746" s="21">
        <f t="shared" si="11"/>
        <v>92.5</v>
      </c>
      <c r="I746" s="29" t="s">
        <v>15</v>
      </c>
      <c r="J746" s="29" t="s">
        <v>16</v>
      </c>
      <c r="K746" s="19" t="s">
        <v>34</v>
      </c>
    </row>
    <row r="747" spans="2:11" ht="19.899999999999999" customHeight="1">
      <c r="B747" s="29">
        <v>2500744</v>
      </c>
      <c r="C747" s="20" t="s">
        <v>41</v>
      </c>
      <c r="D747" s="40">
        <v>44212</v>
      </c>
      <c r="E747" s="29" t="s">
        <v>24</v>
      </c>
      <c r="F747" s="25">
        <v>9</v>
      </c>
      <c r="G747" s="21">
        <v>25.5</v>
      </c>
      <c r="H747" s="21">
        <f t="shared" si="11"/>
        <v>229.5</v>
      </c>
      <c r="I747" s="29" t="s">
        <v>26</v>
      </c>
      <c r="J747" s="29" t="s">
        <v>29</v>
      </c>
      <c r="K747" s="19" t="s">
        <v>38</v>
      </c>
    </row>
    <row r="748" spans="2:11" ht="19.899999999999999" customHeight="1">
      <c r="B748" s="29">
        <v>2500745</v>
      </c>
      <c r="C748" s="20" t="s">
        <v>46</v>
      </c>
      <c r="D748" s="40">
        <v>44213</v>
      </c>
      <c r="E748" s="29" t="s">
        <v>27</v>
      </c>
      <c r="F748" s="25">
        <v>10</v>
      </c>
      <c r="G748" s="21">
        <v>15.5</v>
      </c>
      <c r="H748" s="21">
        <f t="shared" si="11"/>
        <v>155</v>
      </c>
      <c r="I748" s="29" t="s">
        <v>10</v>
      </c>
      <c r="J748" s="29" t="s">
        <v>11</v>
      </c>
      <c r="K748" s="19" t="s">
        <v>32</v>
      </c>
    </row>
    <row r="749" spans="2:11" ht="19.899999999999999" customHeight="1">
      <c r="B749" s="29">
        <v>2500746</v>
      </c>
      <c r="C749" s="20" t="s">
        <v>48</v>
      </c>
      <c r="D749" s="40">
        <v>44214</v>
      </c>
      <c r="E749" s="29" t="s">
        <v>9</v>
      </c>
      <c r="F749" s="25">
        <v>1</v>
      </c>
      <c r="G749" s="21">
        <v>18.5</v>
      </c>
      <c r="H749" s="21">
        <f t="shared" si="11"/>
        <v>18.5</v>
      </c>
      <c r="I749" s="29" t="s">
        <v>26</v>
      </c>
      <c r="J749" s="29" t="s">
        <v>29</v>
      </c>
      <c r="K749" s="19" t="s">
        <v>38</v>
      </c>
    </row>
    <row r="750" spans="2:11" ht="19.899999999999999" customHeight="1">
      <c r="B750" s="29">
        <v>2500747</v>
      </c>
      <c r="C750" s="20" t="s">
        <v>45</v>
      </c>
      <c r="D750" s="40">
        <v>44215</v>
      </c>
      <c r="E750" s="29" t="s">
        <v>12</v>
      </c>
      <c r="F750" s="25">
        <v>10</v>
      </c>
      <c r="G750" s="21">
        <v>32</v>
      </c>
      <c r="H750" s="21">
        <f t="shared" si="11"/>
        <v>320</v>
      </c>
      <c r="I750" s="29" t="s">
        <v>13</v>
      </c>
      <c r="J750" s="29" t="s">
        <v>14</v>
      </c>
      <c r="K750" s="19" t="s">
        <v>33</v>
      </c>
    </row>
    <row r="751" spans="2:11" ht="19.899999999999999" customHeight="1">
      <c r="B751" s="29">
        <v>2500748</v>
      </c>
      <c r="C751" s="20" t="s">
        <v>42</v>
      </c>
      <c r="D751" s="40">
        <v>44216</v>
      </c>
      <c r="E751" s="29" t="s">
        <v>21</v>
      </c>
      <c r="F751" s="25">
        <v>5</v>
      </c>
      <c r="G751" s="21">
        <v>48</v>
      </c>
      <c r="H751" s="21">
        <f t="shared" si="11"/>
        <v>240</v>
      </c>
      <c r="I751" s="29" t="s">
        <v>22</v>
      </c>
      <c r="J751" s="29" t="s">
        <v>19</v>
      </c>
      <c r="K751" s="19" t="s">
        <v>36</v>
      </c>
    </row>
    <row r="752" spans="2:11" ht="19.899999999999999" customHeight="1">
      <c r="B752" s="29">
        <v>2500749</v>
      </c>
      <c r="C752" s="20" t="s">
        <v>41</v>
      </c>
      <c r="D752" s="40">
        <v>44217</v>
      </c>
      <c r="E752" s="29" t="s">
        <v>24</v>
      </c>
      <c r="F752" s="25">
        <v>7</v>
      </c>
      <c r="G752" s="21">
        <v>25.5</v>
      </c>
      <c r="H752" s="21">
        <f t="shared" si="11"/>
        <v>178.5</v>
      </c>
      <c r="I752" s="29" t="s">
        <v>26</v>
      </c>
      <c r="J752" s="29" t="s">
        <v>29</v>
      </c>
      <c r="K752" s="19" t="s">
        <v>38</v>
      </c>
    </row>
    <row r="753" spans="2:11" ht="19.899999999999999" customHeight="1">
      <c r="B753" s="29">
        <v>2500750</v>
      </c>
      <c r="C753" s="20" t="s">
        <v>46</v>
      </c>
      <c r="D753" s="40">
        <v>44218</v>
      </c>
      <c r="E753" s="29" t="s">
        <v>20</v>
      </c>
      <c r="F753" s="25">
        <v>4</v>
      </c>
      <c r="G753" s="21">
        <v>36</v>
      </c>
      <c r="H753" s="21">
        <f t="shared" si="11"/>
        <v>144</v>
      </c>
      <c r="I753" s="29" t="s">
        <v>25</v>
      </c>
      <c r="J753" s="29" t="s">
        <v>23</v>
      </c>
      <c r="K753" s="19" t="s">
        <v>37</v>
      </c>
    </row>
    <row r="754" spans="2:11" ht="19.899999999999999" customHeight="1">
      <c r="B754" s="29">
        <v>2500751</v>
      </c>
      <c r="C754" s="20" t="s">
        <v>49</v>
      </c>
      <c r="D754" s="40">
        <v>44219</v>
      </c>
      <c r="E754" s="29" t="s">
        <v>24</v>
      </c>
      <c r="F754" s="25">
        <v>2</v>
      </c>
      <c r="G754" s="21">
        <v>25.5</v>
      </c>
      <c r="H754" s="21">
        <f t="shared" si="11"/>
        <v>51</v>
      </c>
      <c r="I754" s="29" t="s">
        <v>13</v>
      </c>
      <c r="J754" s="29" t="s">
        <v>14</v>
      </c>
      <c r="K754" s="19" t="s">
        <v>33</v>
      </c>
    </row>
    <row r="755" spans="2:11" ht="19.899999999999999" customHeight="1">
      <c r="B755" s="29">
        <v>2500752</v>
      </c>
      <c r="C755" s="20" t="s">
        <v>41</v>
      </c>
      <c r="D755" s="40">
        <v>44220</v>
      </c>
      <c r="E755" s="29" t="s">
        <v>27</v>
      </c>
      <c r="F755" s="25">
        <v>7</v>
      </c>
      <c r="G755" s="21">
        <v>15.5</v>
      </c>
      <c r="H755" s="21">
        <f t="shared" si="11"/>
        <v>108.5</v>
      </c>
      <c r="I755" s="29" t="s">
        <v>13</v>
      </c>
      <c r="J755" s="29" t="s">
        <v>14</v>
      </c>
      <c r="K755" s="19" t="s">
        <v>33</v>
      </c>
    </row>
    <row r="756" spans="2:11" ht="19.899999999999999" customHeight="1">
      <c r="B756" s="29">
        <v>2500753</v>
      </c>
      <c r="C756" s="20" t="s">
        <v>48</v>
      </c>
      <c r="D756" s="40">
        <v>44221</v>
      </c>
      <c r="E756" s="29" t="s">
        <v>21</v>
      </c>
      <c r="F756" s="25">
        <v>10</v>
      </c>
      <c r="G756" s="21">
        <v>48</v>
      </c>
      <c r="H756" s="21">
        <f t="shared" si="11"/>
        <v>480</v>
      </c>
      <c r="I756" s="29" t="s">
        <v>28</v>
      </c>
      <c r="J756" s="29" t="s">
        <v>30</v>
      </c>
      <c r="K756" s="19" t="s">
        <v>33</v>
      </c>
    </row>
    <row r="757" spans="2:11" ht="19.899999999999999" customHeight="1">
      <c r="B757" s="29">
        <v>2500754</v>
      </c>
      <c r="C757" s="20" t="s">
        <v>43</v>
      </c>
      <c r="D757" s="40">
        <v>44222</v>
      </c>
      <c r="E757" s="29" t="s">
        <v>9</v>
      </c>
      <c r="F757" s="25">
        <v>2</v>
      </c>
      <c r="G757" s="21">
        <v>18.5</v>
      </c>
      <c r="H757" s="21">
        <f t="shared" si="11"/>
        <v>37</v>
      </c>
      <c r="I757" s="29" t="s">
        <v>10</v>
      </c>
      <c r="J757" s="29" t="s">
        <v>11</v>
      </c>
      <c r="K757" s="19" t="s">
        <v>32</v>
      </c>
    </row>
    <row r="758" spans="2:11" ht="19.899999999999999" customHeight="1">
      <c r="B758" s="29">
        <v>2500755</v>
      </c>
      <c r="C758" s="20" t="s">
        <v>47</v>
      </c>
      <c r="D758" s="40">
        <v>44223</v>
      </c>
      <c r="E758" s="29" t="s">
        <v>20</v>
      </c>
      <c r="F758" s="25">
        <v>7</v>
      </c>
      <c r="G758" s="21">
        <v>36</v>
      </c>
      <c r="H758" s="21">
        <f t="shared" si="11"/>
        <v>252</v>
      </c>
      <c r="I758" s="29" t="s">
        <v>17</v>
      </c>
      <c r="J758" s="29" t="s">
        <v>18</v>
      </c>
      <c r="K758" s="19" t="s">
        <v>35</v>
      </c>
    </row>
    <row r="759" spans="2:11" ht="19.899999999999999" customHeight="1">
      <c r="B759" s="29">
        <v>2500756</v>
      </c>
      <c r="C759" s="20" t="s">
        <v>49</v>
      </c>
      <c r="D759" s="40">
        <v>44224</v>
      </c>
      <c r="E759" s="29" t="s">
        <v>24</v>
      </c>
      <c r="F759" s="25">
        <v>7</v>
      </c>
      <c r="G759" s="21">
        <v>25.5</v>
      </c>
      <c r="H759" s="21">
        <f t="shared" si="11"/>
        <v>178.5</v>
      </c>
      <c r="I759" s="29" t="s">
        <v>22</v>
      </c>
      <c r="J759" s="29" t="s">
        <v>19</v>
      </c>
      <c r="K759" s="19" t="s">
        <v>36</v>
      </c>
    </row>
    <row r="760" spans="2:11" ht="19.899999999999999" customHeight="1">
      <c r="B760" s="29">
        <v>2500757</v>
      </c>
      <c r="C760" s="20" t="s">
        <v>45</v>
      </c>
      <c r="D760" s="40">
        <v>44225</v>
      </c>
      <c r="E760" s="29" t="s">
        <v>21</v>
      </c>
      <c r="F760" s="25">
        <v>10</v>
      </c>
      <c r="G760" s="21">
        <v>48</v>
      </c>
      <c r="H760" s="21">
        <f t="shared" si="11"/>
        <v>480</v>
      </c>
      <c r="I760" s="29" t="s">
        <v>17</v>
      </c>
      <c r="J760" s="29" t="s">
        <v>18</v>
      </c>
      <c r="K760" s="19" t="s">
        <v>35</v>
      </c>
    </row>
    <row r="761" spans="2:11" ht="19.899999999999999" customHeight="1">
      <c r="B761" s="29">
        <v>2500758</v>
      </c>
      <c r="C761" s="20" t="s">
        <v>43</v>
      </c>
      <c r="D761" s="40">
        <v>44226</v>
      </c>
      <c r="E761" s="29" t="s">
        <v>20</v>
      </c>
      <c r="F761" s="25">
        <v>4</v>
      </c>
      <c r="G761" s="21">
        <v>36</v>
      </c>
      <c r="H761" s="21">
        <f t="shared" si="11"/>
        <v>144</v>
      </c>
      <c r="I761" s="29" t="s">
        <v>22</v>
      </c>
      <c r="J761" s="29" t="s">
        <v>19</v>
      </c>
      <c r="K761" s="19" t="s">
        <v>36</v>
      </c>
    </row>
    <row r="762" spans="2:11" ht="19.899999999999999" customHeight="1">
      <c r="B762" s="29">
        <v>2500759</v>
      </c>
      <c r="C762" s="20" t="s">
        <v>48</v>
      </c>
      <c r="D762" s="40">
        <v>44227</v>
      </c>
      <c r="E762" s="29" t="s">
        <v>24</v>
      </c>
      <c r="F762" s="25">
        <v>1</v>
      </c>
      <c r="G762" s="21">
        <v>25.5</v>
      </c>
      <c r="H762" s="21">
        <f t="shared" si="11"/>
        <v>25.5</v>
      </c>
      <c r="I762" s="29" t="s">
        <v>17</v>
      </c>
      <c r="J762" s="29" t="s">
        <v>18</v>
      </c>
      <c r="K762" s="19" t="s">
        <v>35</v>
      </c>
    </row>
    <row r="763" spans="2:11" ht="19.899999999999999" customHeight="1">
      <c r="B763" s="29">
        <v>2500760</v>
      </c>
      <c r="C763" s="20" t="s">
        <v>42</v>
      </c>
      <c r="D763" s="40">
        <v>44228</v>
      </c>
      <c r="E763" s="29" t="s">
        <v>24</v>
      </c>
      <c r="F763" s="25">
        <v>4</v>
      </c>
      <c r="G763" s="21">
        <v>25.5</v>
      </c>
      <c r="H763" s="21">
        <f t="shared" si="11"/>
        <v>102</v>
      </c>
      <c r="I763" s="29" t="s">
        <v>28</v>
      </c>
      <c r="J763" s="29" t="s">
        <v>30</v>
      </c>
      <c r="K763" s="19" t="s">
        <v>33</v>
      </c>
    </row>
    <row r="764" spans="2:11" ht="19.899999999999999" customHeight="1">
      <c r="B764" s="29">
        <v>2500761</v>
      </c>
      <c r="C764" s="20" t="s">
        <v>44</v>
      </c>
      <c r="D764" s="40">
        <v>44229</v>
      </c>
      <c r="E764" s="29" t="s">
        <v>20</v>
      </c>
      <c r="F764" s="25">
        <v>10</v>
      </c>
      <c r="G764" s="21">
        <v>36</v>
      </c>
      <c r="H764" s="21">
        <f t="shared" si="11"/>
        <v>360</v>
      </c>
      <c r="I764" s="29" t="s">
        <v>26</v>
      </c>
      <c r="J764" s="29" t="s">
        <v>29</v>
      </c>
      <c r="K764" s="19" t="s">
        <v>38</v>
      </c>
    </row>
    <row r="765" spans="2:11" ht="19.899999999999999" customHeight="1">
      <c r="B765" s="29">
        <v>2500762</v>
      </c>
      <c r="C765" s="20" t="s">
        <v>43</v>
      </c>
      <c r="D765" s="40">
        <v>44230</v>
      </c>
      <c r="E765" s="29" t="s">
        <v>24</v>
      </c>
      <c r="F765" s="25">
        <v>8</v>
      </c>
      <c r="G765" s="21">
        <v>25.5</v>
      </c>
      <c r="H765" s="21">
        <f t="shared" si="11"/>
        <v>204</v>
      </c>
      <c r="I765" s="29" t="s">
        <v>13</v>
      </c>
      <c r="J765" s="29" t="s">
        <v>14</v>
      </c>
      <c r="K765" s="19" t="s">
        <v>33</v>
      </c>
    </row>
    <row r="766" spans="2:11" ht="19.899999999999999" customHeight="1">
      <c r="B766" s="29">
        <v>2500763</v>
      </c>
      <c r="C766" s="20" t="s">
        <v>44</v>
      </c>
      <c r="D766" s="40">
        <v>44231</v>
      </c>
      <c r="E766" s="29" t="s">
        <v>12</v>
      </c>
      <c r="F766" s="25">
        <v>8</v>
      </c>
      <c r="G766" s="21">
        <v>32</v>
      </c>
      <c r="H766" s="21">
        <f t="shared" si="11"/>
        <v>256</v>
      </c>
      <c r="I766" s="29" t="s">
        <v>15</v>
      </c>
      <c r="J766" s="29" t="s">
        <v>16</v>
      </c>
      <c r="K766" s="19" t="s">
        <v>34</v>
      </c>
    </row>
    <row r="767" spans="2:11" ht="19.899999999999999" customHeight="1">
      <c r="B767" s="29">
        <v>2500764</v>
      </c>
      <c r="C767" s="20" t="s">
        <v>47</v>
      </c>
      <c r="D767" s="40">
        <v>44232</v>
      </c>
      <c r="E767" s="29" t="s">
        <v>20</v>
      </c>
      <c r="F767" s="25">
        <v>4</v>
      </c>
      <c r="G767" s="21">
        <v>36</v>
      </c>
      <c r="H767" s="21">
        <f t="shared" si="11"/>
        <v>144</v>
      </c>
      <c r="I767" s="29" t="s">
        <v>10</v>
      </c>
      <c r="J767" s="29" t="s">
        <v>11</v>
      </c>
      <c r="K767" s="19" t="s">
        <v>32</v>
      </c>
    </row>
    <row r="768" spans="2:11" ht="19.899999999999999" customHeight="1">
      <c r="B768" s="29">
        <v>2500765</v>
      </c>
      <c r="C768" s="20" t="s">
        <v>48</v>
      </c>
      <c r="D768" s="40">
        <v>44233</v>
      </c>
      <c r="E768" s="29" t="s">
        <v>24</v>
      </c>
      <c r="F768" s="25">
        <v>8</v>
      </c>
      <c r="G768" s="21">
        <v>25.5</v>
      </c>
      <c r="H768" s="21">
        <f t="shared" si="11"/>
        <v>204</v>
      </c>
      <c r="I768" s="29" t="s">
        <v>28</v>
      </c>
      <c r="J768" s="29" t="s">
        <v>30</v>
      </c>
      <c r="K768" s="19" t="s">
        <v>33</v>
      </c>
    </row>
    <row r="769" spans="2:11" ht="19.899999999999999" customHeight="1">
      <c r="B769" s="29">
        <v>2500766</v>
      </c>
      <c r="C769" s="20" t="s">
        <v>45</v>
      </c>
      <c r="D769" s="40">
        <v>44234</v>
      </c>
      <c r="E769" s="29" t="s">
        <v>27</v>
      </c>
      <c r="F769" s="25">
        <v>3</v>
      </c>
      <c r="G769" s="21">
        <v>15.5</v>
      </c>
      <c r="H769" s="21">
        <f t="shared" si="11"/>
        <v>46.5</v>
      </c>
      <c r="I769" s="29" t="s">
        <v>15</v>
      </c>
      <c r="J769" s="29" t="s">
        <v>16</v>
      </c>
      <c r="K769" s="19" t="s">
        <v>34</v>
      </c>
    </row>
    <row r="770" spans="2:11" ht="19.899999999999999" customHeight="1">
      <c r="B770" s="29">
        <v>2500767</v>
      </c>
      <c r="C770" s="20" t="s">
        <v>47</v>
      </c>
      <c r="D770" s="40">
        <v>44235</v>
      </c>
      <c r="E770" s="29" t="s">
        <v>9</v>
      </c>
      <c r="F770" s="25">
        <v>9</v>
      </c>
      <c r="G770" s="21">
        <v>18.5</v>
      </c>
      <c r="H770" s="21">
        <f t="shared" si="11"/>
        <v>166.5</v>
      </c>
      <c r="I770" s="29" t="s">
        <v>17</v>
      </c>
      <c r="J770" s="29" t="s">
        <v>18</v>
      </c>
      <c r="K770" s="19" t="s">
        <v>35</v>
      </c>
    </row>
    <row r="771" spans="2:11" ht="19.899999999999999" customHeight="1">
      <c r="B771" s="29">
        <v>2500768</v>
      </c>
      <c r="C771" s="20" t="s">
        <v>46</v>
      </c>
      <c r="D771" s="40">
        <v>44236</v>
      </c>
      <c r="E771" s="29" t="s">
        <v>24</v>
      </c>
      <c r="F771" s="25">
        <v>4</v>
      </c>
      <c r="G771" s="21">
        <v>25.5</v>
      </c>
      <c r="H771" s="21">
        <f t="shared" si="11"/>
        <v>102</v>
      </c>
      <c r="I771" s="29" t="s">
        <v>13</v>
      </c>
      <c r="J771" s="29" t="s">
        <v>14</v>
      </c>
      <c r="K771" s="19" t="s">
        <v>33</v>
      </c>
    </row>
    <row r="772" spans="2:11" ht="19.899999999999999" customHeight="1">
      <c r="B772" s="29">
        <v>2500769</v>
      </c>
      <c r="C772" s="20" t="s">
        <v>49</v>
      </c>
      <c r="D772" s="40">
        <v>44237</v>
      </c>
      <c r="E772" s="29" t="s">
        <v>21</v>
      </c>
      <c r="F772" s="25">
        <v>5</v>
      </c>
      <c r="G772" s="21">
        <v>48</v>
      </c>
      <c r="H772" s="21">
        <f t="shared" si="11"/>
        <v>240</v>
      </c>
      <c r="I772" s="29" t="s">
        <v>17</v>
      </c>
      <c r="J772" s="29" t="s">
        <v>18</v>
      </c>
      <c r="K772" s="19" t="s">
        <v>35</v>
      </c>
    </row>
    <row r="773" spans="2:11" ht="19.899999999999999" customHeight="1">
      <c r="B773" s="29">
        <v>2500770</v>
      </c>
      <c r="C773" s="20" t="s">
        <v>49</v>
      </c>
      <c r="D773" s="40">
        <v>44238</v>
      </c>
      <c r="E773" s="29" t="s">
        <v>21</v>
      </c>
      <c r="F773" s="25">
        <v>10</v>
      </c>
      <c r="G773" s="21">
        <v>48</v>
      </c>
      <c r="H773" s="21">
        <f t="shared" si="11"/>
        <v>480</v>
      </c>
      <c r="I773" s="29" t="s">
        <v>17</v>
      </c>
      <c r="J773" s="29" t="s">
        <v>18</v>
      </c>
      <c r="K773" s="19" t="s">
        <v>35</v>
      </c>
    </row>
    <row r="774" spans="2:11" ht="19.899999999999999" customHeight="1">
      <c r="B774" s="29">
        <v>2500771</v>
      </c>
      <c r="C774" s="20" t="s">
        <v>46</v>
      </c>
      <c r="D774" s="40">
        <v>44239</v>
      </c>
      <c r="E774" s="29" t="s">
        <v>21</v>
      </c>
      <c r="F774" s="25">
        <v>8</v>
      </c>
      <c r="G774" s="21">
        <v>48</v>
      </c>
      <c r="H774" s="21">
        <f t="shared" ref="H774:H837" si="12">+G774*F774</f>
        <v>384</v>
      </c>
      <c r="I774" s="29" t="s">
        <v>15</v>
      </c>
      <c r="J774" s="29" t="s">
        <v>16</v>
      </c>
      <c r="K774" s="19" t="s">
        <v>34</v>
      </c>
    </row>
    <row r="775" spans="2:11" ht="19.899999999999999" customHeight="1">
      <c r="B775" s="29">
        <v>2500772</v>
      </c>
      <c r="C775" s="20" t="s">
        <v>40</v>
      </c>
      <c r="D775" s="40">
        <v>44240</v>
      </c>
      <c r="E775" s="29" t="s">
        <v>9</v>
      </c>
      <c r="F775" s="25">
        <v>8</v>
      </c>
      <c r="G775" s="21">
        <v>18.5</v>
      </c>
      <c r="H775" s="21">
        <f t="shared" si="12"/>
        <v>148</v>
      </c>
      <c r="I775" s="29" t="s">
        <v>22</v>
      </c>
      <c r="J775" s="29" t="s">
        <v>19</v>
      </c>
      <c r="K775" s="19" t="s">
        <v>36</v>
      </c>
    </row>
    <row r="776" spans="2:11" ht="19.899999999999999" customHeight="1">
      <c r="B776" s="29">
        <v>2500773</v>
      </c>
      <c r="C776" s="20" t="s">
        <v>44</v>
      </c>
      <c r="D776" s="40">
        <v>44241</v>
      </c>
      <c r="E776" s="29" t="s">
        <v>21</v>
      </c>
      <c r="F776" s="25">
        <v>2</v>
      </c>
      <c r="G776" s="21">
        <v>48</v>
      </c>
      <c r="H776" s="21">
        <f t="shared" si="12"/>
        <v>96</v>
      </c>
      <c r="I776" s="29" t="s">
        <v>15</v>
      </c>
      <c r="J776" s="29" t="s">
        <v>16</v>
      </c>
      <c r="K776" s="19" t="s">
        <v>34</v>
      </c>
    </row>
    <row r="777" spans="2:11" ht="19.899999999999999" customHeight="1">
      <c r="B777" s="29">
        <v>2500774</v>
      </c>
      <c r="C777" s="20" t="s">
        <v>44</v>
      </c>
      <c r="D777" s="40">
        <v>44242</v>
      </c>
      <c r="E777" s="29" t="s">
        <v>27</v>
      </c>
      <c r="F777" s="25">
        <v>7</v>
      </c>
      <c r="G777" s="21">
        <v>15.5</v>
      </c>
      <c r="H777" s="21">
        <f t="shared" si="12"/>
        <v>108.5</v>
      </c>
      <c r="I777" s="29" t="s">
        <v>13</v>
      </c>
      <c r="J777" s="29" t="s">
        <v>14</v>
      </c>
      <c r="K777" s="19" t="s">
        <v>33</v>
      </c>
    </row>
    <row r="778" spans="2:11" ht="19.899999999999999" customHeight="1">
      <c r="B778" s="29">
        <v>2500775</v>
      </c>
      <c r="C778" s="20" t="s">
        <v>40</v>
      </c>
      <c r="D778" s="40">
        <v>44243</v>
      </c>
      <c r="E778" s="29" t="s">
        <v>24</v>
      </c>
      <c r="F778" s="25">
        <v>3</v>
      </c>
      <c r="G778" s="21">
        <v>25.5</v>
      </c>
      <c r="H778" s="21">
        <f t="shared" si="12"/>
        <v>76.5</v>
      </c>
      <c r="I778" s="29" t="s">
        <v>15</v>
      </c>
      <c r="J778" s="29" t="s">
        <v>16</v>
      </c>
      <c r="K778" s="19" t="s">
        <v>34</v>
      </c>
    </row>
    <row r="779" spans="2:11" ht="19.899999999999999" customHeight="1">
      <c r="B779" s="29">
        <v>2500776</v>
      </c>
      <c r="C779" s="20" t="s">
        <v>47</v>
      </c>
      <c r="D779" s="40">
        <v>44244</v>
      </c>
      <c r="E779" s="29" t="s">
        <v>20</v>
      </c>
      <c r="F779" s="25">
        <v>10</v>
      </c>
      <c r="G779" s="21">
        <v>36</v>
      </c>
      <c r="H779" s="21">
        <f t="shared" si="12"/>
        <v>360</v>
      </c>
      <c r="I779" s="29" t="s">
        <v>28</v>
      </c>
      <c r="J779" s="29" t="s">
        <v>30</v>
      </c>
      <c r="K779" s="19" t="s">
        <v>33</v>
      </c>
    </row>
    <row r="780" spans="2:11" ht="19.899999999999999" customHeight="1">
      <c r="B780" s="29">
        <v>2500777</v>
      </c>
      <c r="C780" s="20" t="s">
        <v>43</v>
      </c>
      <c r="D780" s="40">
        <v>44245</v>
      </c>
      <c r="E780" s="29" t="s">
        <v>24</v>
      </c>
      <c r="F780" s="25">
        <v>5</v>
      </c>
      <c r="G780" s="21">
        <v>25.5</v>
      </c>
      <c r="H780" s="21">
        <f t="shared" si="12"/>
        <v>127.5</v>
      </c>
      <c r="I780" s="29" t="s">
        <v>10</v>
      </c>
      <c r="J780" s="29" t="s">
        <v>11</v>
      </c>
      <c r="K780" s="19" t="s">
        <v>32</v>
      </c>
    </row>
    <row r="781" spans="2:11" ht="19.899999999999999" customHeight="1">
      <c r="B781" s="29">
        <v>2500778</v>
      </c>
      <c r="C781" s="20" t="s">
        <v>43</v>
      </c>
      <c r="D781" s="40">
        <v>44246</v>
      </c>
      <c r="E781" s="29" t="s">
        <v>12</v>
      </c>
      <c r="F781" s="25">
        <v>2</v>
      </c>
      <c r="G781" s="21">
        <v>32</v>
      </c>
      <c r="H781" s="21">
        <f t="shared" si="12"/>
        <v>64</v>
      </c>
      <c r="I781" s="29" t="s">
        <v>26</v>
      </c>
      <c r="J781" s="29" t="s">
        <v>29</v>
      </c>
      <c r="K781" s="19" t="s">
        <v>38</v>
      </c>
    </row>
    <row r="782" spans="2:11" ht="19.899999999999999" customHeight="1">
      <c r="B782" s="29">
        <v>2500779</v>
      </c>
      <c r="C782" s="20" t="s">
        <v>45</v>
      </c>
      <c r="D782" s="40">
        <v>44247</v>
      </c>
      <c r="E782" s="29" t="s">
        <v>24</v>
      </c>
      <c r="F782" s="25">
        <v>4</v>
      </c>
      <c r="G782" s="21">
        <v>25.5</v>
      </c>
      <c r="H782" s="21">
        <f t="shared" si="12"/>
        <v>102</v>
      </c>
      <c r="I782" s="29" t="s">
        <v>28</v>
      </c>
      <c r="J782" s="29" t="s">
        <v>30</v>
      </c>
      <c r="K782" s="19" t="s">
        <v>33</v>
      </c>
    </row>
    <row r="783" spans="2:11" ht="19.899999999999999" customHeight="1">
      <c r="B783" s="29">
        <v>2500780</v>
      </c>
      <c r="C783" s="20" t="s">
        <v>44</v>
      </c>
      <c r="D783" s="40">
        <v>44248</v>
      </c>
      <c r="E783" s="29" t="s">
        <v>27</v>
      </c>
      <c r="F783" s="25">
        <v>5</v>
      </c>
      <c r="G783" s="21">
        <v>15.5</v>
      </c>
      <c r="H783" s="21">
        <f t="shared" si="12"/>
        <v>77.5</v>
      </c>
      <c r="I783" s="29" t="s">
        <v>25</v>
      </c>
      <c r="J783" s="29" t="s">
        <v>23</v>
      </c>
      <c r="K783" s="19" t="s">
        <v>37</v>
      </c>
    </row>
    <row r="784" spans="2:11" ht="19.899999999999999" customHeight="1">
      <c r="B784" s="29">
        <v>2500781</v>
      </c>
      <c r="C784" s="20" t="s">
        <v>45</v>
      </c>
      <c r="D784" s="40">
        <v>44249</v>
      </c>
      <c r="E784" s="29" t="s">
        <v>21</v>
      </c>
      <c r="F784" s="25">
        <v>7</v>
      </c>
      <c r="G784" s="21">
        <v>48</v>
      </c>
      <c r="H784" s="21">
        <f t="shared" si="12"/>
        <v>336</v>
      </c>
      <c r="I784" s="29" t="s">
        <v>10</v>
      </c>
      <c r="J784" s="29" t="s">
        <v>11</v>
      </c>
      <c r="K784" s="19" t="s">
        <v>32</v>
      </c>
    </row>
    <row r="785" spans="2:11" ht="19.899999999999999" customHeight="1">
      <c r="B785" s="29">
        <v>2500782</v>
      </c>
      <c r="C785" s="20" t="s">
        <v>49</v>
      </c>
      <c r="D785" s="40">
        <v>44250</v>
      </c>
      <c r="E785" s="29" t="s">
        <v>21</v>
      </c>
      <c r="F785" s="25">
        <v>3</v>
      </c>
      <c r="G785" s="21">
        <v>48</v>
      </c>
      <c r="H785" s="21">
        <f t="shared" si="12"/>
        <v>144</v>
      </c>
      <c r="I785" s="29" t="s">
        <v>10</v>
      </c>
      <c r="J785" s="29" t="s">
        <v>11</v>
      </c>
      <c r="K785" s="19" t="s">
        <v>32</v>
      </c>
    </row>
    <row r="786" spans="2:11" ht="19.899999999999999" customHeight="1">
      <c r="B786" s="29">
        <v>2500783</v>
      </c>
      <c r="C786" s="20" t="s">
        <v>48</v>
      </c>
      <c r="D786" s="40">
        <v>44251</v>
      </c>
      <c r="E786" s="29" t="s">
        <v>27</v>
      </c>
      <c r="F786" s="25">
        <v>1</v>
      </c>
      <c r="G786" s="21">
        <v>15.5</v>
      </c>
      <c r="H786" s="21">
        <f t="shared" si="12"/>
        <v>15.5</v>
      </c>
      <c r="I786" s="29" t="s">
        <v>13</v>
      </c>
      <c r="J786" s="29" t="s">
        <v>14</v>
      </c>
      <c r="K786" s="19" t="s">
        <v>33</v>
      </c>
    </row>
    <row r="787" spans="2:11" ht="19.899999999999999" customHeight="1">
      <c r="B787" s="29">
        <v>2500784</v>
      </c>
      <c r="C787" s="20" t="s">
        <v>41</v>
      </c>
      <c r="D787" s="40">
        <v>44252</v>
      </c>
      <c r="E787" s="29" t="s">
        <v>24</v>
      </c>
      <c r="F787" s="25">
        <v>10</v>
      </c>
      <c r="G787" s="21">
        <v>25.5</v>
      </c>
      <c r="H787" s="21">
        <f t="shared" si="12"/>
        <v>255</v>
      </c>
      <c r="I787" s="29" t="s">
        <v>13</v>
      </c>
      <c r="J787" s="29" t="s">
        <v>14</v>
      </c>
      <c r="K787" s="19" t="s">
        <v>33</v>
      </c>
    </row>
    <row r="788" spans="2:11" ht="19.899999999999999" customHeight="1">
      <c r="B788" s="29">
        <v>2500785</v>
      </c>
      <c r="C788" s="20" t="s">
        <v>45</v>
      </c>
      <c r="D788" s="40">
        <v>44253</v>
      </c>
      <c r="E788" s="29" t="s">
        <v>27</v>
      </c>
      <c r="F788" s="25">
        <v>10</v>
      </c>
      <c r="G788" s="21">
        <v>15.5</v>
      </c>
      <c r="H788" s="21">
        <f t="shared" si="12"/>
        <v>155</v>
      </c>
      <c r="I788" s="29" t="s">
        <v>13</v>
      </c>
      <c r="J788" s="29" t="s">
        <v>14</v>
      </c>
      <c r="K788" s="19" t="s">
        <v>33</v>
      </c>
    </row>
    <row r="789" spans="2:11" ht="19.899999999999999" customHeight="1">
      <c r="B789" s="29">
        <v>2500786</v>
      </c>
      <c r="C789" s="20" t="s">
        <v>44</v>
      </c>
      <c r="D789" s="40">
        <v>44254</v>
      </c>
      <c r="E789" s="29" t="s">
        <v>12</v>
      </c>
      <c r="F789" s="25">
        <v>1</v>
      </c>
      <c r="G789" s="21">
        <v>32</v>
      </c>
      <c r="H789" s="21">
        <f t="shared" si="12"/>
        <v>32</v>
      </c>
      <c r="I789" s="29" t="s">
        <v>15</v>
      </c>
      <c r="J789" s="29" t="s">
        <v>16</v>
      </c>
      <c r="K789" s="19" t="s">
        <v>34</v>
      </c>
    </row>
    <row r="790" spans="2:11" ht="19.899999999999999" customHeight="1">
      <c r="B790" s="29">
        <v>2500787</v>
      </c>
      <c r="C790" s="20" t="s">
        <v>46</v>
      </c>
      <c r="D790" s="40">
        <v>44255</v>
      </c>
      <c r="E790" s="29" t="s">
        <v>21</v>
      </c>
      <c r="F790" s="25">
        <v>7</v>
      </c>
      <c r="G790" s="21">
        <v>48</v>
      </c>
      <c r="H790" s="21">
        <f t="shared" si="12"/>
        <v>336</v>
      </c>
      <c r="I790" s="29" t="s">
        <v>13</v>
      </c>
      <c r="J790" s="29" t="s">
        <v>14</v>
      </c>
      <c r="K790" s="19" t="s">
        <v>33</v>
      </c>
    </row>
    <row r="791" spans="2:11" ht="19.899999999999999" customHeight="1">
      <c r="B791" s="29">
        <v>2500788</v>
      </c>
      <c r="C791" s="20" t="s">
        <v>43</v>
      </c>
      <c r="D791" s="40">
        <v>44256</v>
      </c>
      <c r="E791" s="29" t="s">
        <v>12</v>
      </c>
      <c r="F791" s="25">
        <v>7</v>
      </c>
      <c r="G791" s="21">
        <v>32</v>
      </c>
      <c r="H791" s="21">
        <f t="shared" si="12"/>
        <v>224</v>
      </c>
      <c r="I791" s="29" t="s">
        <v>15</v>
      </c>
      <c r="J791" s="29" t="s">
        <v>16</v>
      </c>
      <c r="K791" s="19" t="s">
        <v>34</v>
      </c>
    </row>
    <row r="792" spans="2:11" ht="19.899999999999999" customHeight="1">
      <c r="B792" s="29">
        <v>2500789</v>
      </c>
      <c r="C792" s="20" t="s">
        <v>41</v>
      </c>
      <c r="D792" s="40">
        <v>44257</v>
      </c>
      <c r="E792" s="29" t="s">
        <v>24</v>
      </c>
      <c r="F792" s="25">
        <v>9</v>
      </c>
      <c r="G792" s="21">
        <v>25.5</v>
      </c>
      <c r="H792" s="21">
        <f t="shared" si="12"/>
        <v>229.5</v>
      </c>
      <c r="I792" s="29" t="s">
        <v>15</v>
      </c>
      <c r="J792" s="29" t="s">
        <v>16</v>
      </c>
      <c r="K792" s="19" t="s">
        <v>34</v>
      </c>
    </row>
    <row r="793" spans="2:11" ht="19.899999999999999" customHeight="1">
      <c r="B793" s="29">
        <v>2500790</v>
      </c>
      <c r="C793" s="20" t="s">
        <v>49</v>
      </c>
      <c r="D793" s="40">
        <v>44258</v>
      </c>
      <c r="E793" s="29" t="s">
        <v>21</v>
      </c>
      <c r="F793" s="25">
        <v>3</v>
      </c>
      <c r="G793" s="21">
        <v>48</v>
      </c>
      <c r="H793" s="21">
        <f t="shared" si="12"/>
        <v>144</v>
      </c>
      <c r="I793" s="29" t="s">
        <v>10</v>
      </c>
      <c r="J793" s="29" t="s">
        <v>11</v>
      </c>
      <c r="K793" s="19" t="s">
        <v>32</v>
      </c>
    </row>
    <row r="794" spans="2:11" ht="19.899999999999999" customHeight="1">
      <c r="B794" s="29">
        <v>2500791</v>
      </c>
      <c r="C794" s="20" t="s">
        <v>42</v>
      </c>
      <c r="D794" s="40">
        <v>44259</v>
      </c>
      <c r="E794" s="29" t="s">
        <v>24</v>
      </c>
      <c r="F794" s="25">
        <v>6</v>
      </c>
      <c r="G794" s="21">
        <v>25.5</v>
      </c>
      <c r="H794" s="21">
        <f t="shared" si="12"/>
        <v>153</v>
      </c>
      <c r="I794" s="29" t="s">
        <v>17</v>
      </c>
      <c r="J794" s="29" t="s">
        <v>18</v>
      </c>
      <c r="K794" s="19" t="s">
        <v>35</v>
      </c>
    </row>
    <row r="795" spans="2:11" ht="19.899999999999999" customHeight="1">
      <c r="B795" s="29">
        <v>2500792</v>
      </c>
      <c r="C795" s="20" t="s">
        <v>46</v>
      </c>
      <c r="D795" s="40">
        <v>44260</v>
      </c>
      <c r="E795" s="29" t="s">
        <v>21</v>
      </c>
      <c r="F795" s="25">
        <v>2</v>
      </c>
      <c r="G795" s="21">
        <v>48</v>
      </c>
      <c r="H795" s="21">
        <f t="shared" si="12"/>
        <v>96</v>
      </c>
      <c r="I795" s="29" t="s">
        <v>10</v>
      </c>
      <c r="J795" s="29" t="s">
        <v>11</v>
      </c>
      <c r="K795" s="19" t="s">
        <v>32</v>
      </c>
    </row>
    <row r="796" spans="2:11" ht="19.899999999999999" customHeight="1">
      <c r="B796" s="29">
        <v>2500793</v>
      </c>
      <c r="C796" s="20" t="s">
        <v>48</v>
      </c>
      <c r="D796" s="40">
        <v>44261</v>
      </c>
      <c r="E796" s="29" t="s">
        <v>20</v>
      </c>
      <c r="F796" s="25">
        <v>10</v>
      </c>
      <c r="G796" s="21">
        <v>36</v>
      </c>
      <c r="H796" s="21">
        <f t="shared" si="12"/>
        <v>360</v>
      </c>
      <c r="I796" s="29" t="s">
        <v>10</v>
      </c>
      <c r="J796" s="29" t="s">
        <v>11</v>
      </c>
      <c r="K796" s="19" t="s">
        <v>32</v>
      </c>
    </row>
    <row r="797" spans="2:11" ht="19.899999999999999" customHeight="1">
      <c r="B797" s="29">
        <v>2500794</v>
      </c>
      <c r="C797" s="20" t="s">
        <v>45</v>
      </c>
      <c r="D797" s="40">
        <v>44262</v>
      </c>
      <c r="E797" s="29" t="s">
        <v>24</v>
      </c>
      <c r="F797" s="25">
        <v>8</v>
      </c>
      <c r="G797" s="21">
        <v>25.5</v>
      </c>
      <c r="H797" s="21">
        <f t="shared" si="12"/>
        <v>204</v>
      </c>
      <c r="I797" s="29" t="s">
        <v>10</v>
      </c>
      <c r="J797" s="29" t="s">
        <v>11</v>
      </c>
      <c r="K797" s="19" t="s">
        <v>32</v>
      </c>
    </row>
    <row r="798" spans="2:11" ht="19.899999999999999" customHeight="1">
      <c r="B798" s="29">
        <v>2500795</v>
      </c>
      <c r="C798" s="20" t="s">
        <v>48</v>
      </c>
      <c r="D798" s="40">
        <v>44263</v>
      </c>
      <c r="E798" s="29" t="s">
        <v>20</v>
      </c>
      <c r="F798" s="25">
        <v>2</v>
      </c>
      <c r="G798" s="21">
        <v>36</v>
      </c>
      <c r="H798" s="21">
        <f t="shared" si="12"/>
        <v>72</v>
      </c>
      <c r="I798" s="29" t="s">
        <v>25</v>
      </c>
      <c r="J798" s="29" t="s">
        <v>23</v>
      </c>
      <c r="K798" s="19" t="s">
        <v>37</v>
      </c>
    </row>
    <row r="799" spans="2:11" ht="19.899999999999999" customHeight="1">
      <c r="B799" s="29">
        <v>2500796</v>
      </c>
      <c r="C799" s="20" t="s">
        <v>48</v>
      </c>
      <c r="D799" s="40">
        <v>44264</v>
      </c>
      <c r="E799" s="29" t="s">
        <v>21</v>
      </c>
      <c r="F799" s="25">
        <v>5</v>
      </c>
      <c r="G799" s="21">
        <v>48</v>
      </c>
      <c r="H799" s="21">
        <f t="shared" si="12"/>
        <v>240</v>
      </c>
      <c r="I799" s="29" t="s">
        <v>28</v>
      </c>
      <c r="J799" s="29" t="s">
        <v>30</v>
      </c>
      <c r="K799" s="19" t="s">
        <v>33</v>
      </c>
    </row>
    <row r="800" spans="2:11" ht="19.899999999999999" customHeight="1">
      <c r="B800" s="29">
        <v>2500797</v>
      </c>
      <c r="C800" s="20" t="s">
        <v>46</v>
      </c>
      <c r="D800" s="40">
        <v>44265</v>
      </c>
      <c r="E800" s="29" t="s">
        <v>20</v>
      </c>
      <c r="F800" s="25">
        <v>7</v>
      </c>
      <c r="G800" s="21">
        <v>36</v>
      </c>
      <c r="H800" s="21">
        <f t="shared" si="12"/>
        <v>252</v>
      </c>
      <c r="I800" s="29" t="s">
        <v>15</v>
      </c>
      <c r="J800" s="29" t="s">
        <v>16</v>
      </c>
      <c r="K800" s="19" t="s">
        <v>34</v>
      </c>
    </row>
    <row r="801" spans="2:11" ht="19.899999999999999" customHeight="1">
      <c r="B801" s="29">
        <v>2500798</v>
      </c>
      <c r="C801" s="20" t="s">
        <v>44</v>
      </c>
      <c r="D801" s="40">
        <v>44266</v>
      </c>
      <c r="E801" s="29" t="s">
        <v>27</v>
      </c>
      <c r="F801" s="25">
        <v>4</v>
      </c>
      <c r="G801" s="21">
        <v>15.5</v>
      </c>
      <c r="H801" s="21">
        <f t="shared" si="12"/>
        <v>62</v>
      </c>
      <c r="I801" s="29" t="s">
        <v>13</v>
      </c>
      <c r="J801" s="29" t="s">
        <v>14</v>
      </c>
      <c r="K801" s="19" t="s">
        <v>33</v>
      </c>
    </row>
    <row r="802" spans="2:11" ht="19.899999999999999" customHeight="1">
      <c r="B802" s="29">
        <v>2500799</v>
      </c>
      <c r="C802" s="20" t="s">
        <v>42</v>
      </c>
      <c r="D802" s="40">
        <v>44267</v>
      </c>
      <c r="E802" s="29" t="s">
        <v>21</v>
      </c>
      <c r="F802" s="25">
        <v>9</v>
      </c>
      <c r="G802" s="21">
        <v>48</v>
      </c>
      <c r="H802" s="21">
        <f t="shared" si="12"/>
        <v>432</v>
      </c>
      <c r="I802" s="29" t="s">
        <v>17</v>
      </c>
      <c r="J802" s="29" t="s">
        <v>18</v>
      </c>
      <c r="K802" s="19" t="s">
        <v>35</v>
      </c>
    </row>
    <row r="803" spans="2:11" ht="19.899999999999999" customHeight="1">
      <c r="B803" s="29">
        <v>2500800</v>
      </c>
      <c r="C803" s="20" t="s">
        <v>44</v>
      </c>
      <c r="D803" s="40">
        <v>44268</v>
      </c>
      <c r="E803" s="29" t="s">
        <v>27</v>
      </c>
      <c r="F803" s="25">
        <v>7</v>
      </c>
      <c r="G803" s="21">
        <v>15.5</v>
      </c>
      <c r="H803" s="21">
        <f t="shared" si="12"/>
        <v>108.5</v>
      </c>
      <c r="I803" s="29" t="s">
        <v>22</v>
      </c>
      <c r="J803" s="29" t="s">
        <v>19</v>
      </c>
      <c r="K803" s="19" t="s">
        <v>36</v>
      </c>
    </row>
    <row r="804" spans="2:11" ht="19.899999999999999" customHeight="1">
      <c r="B804" s="29">
        <v>2500801</v>
      </c>
      <c r="C804" s="20" t="s">
        <v>44</v>
      </c>
      <c r="D804" s="40">
        <v>44269</v>
      </c>
      <c r="E804" s="29" t="s">
        <v>9</v>
      </c>
      <c r="F804" s="25">
        <v>9</v>
      </c>
      <c r="G804" s="21">
        <v>18.5</v>
      </c>
      <c r="H804" s="21">
        <f t="shared" si="12"/>
        <v>166.5</v>
      </c>
      <c r="I804" s="29" t="s">
        <v>26</v>
      </c>
      <c r="J804" s="29" t="s">
        <v>29</v>
      </c>
      <c r="K804" s="19" t="s">
        <v>38</v>
      </c>
    </row>
    <row r="805" spans="2:11" ht="19.899999999999999" customHeight="1">
      <c r="B805" s="29">
        <v>2500802</v>
      </c>
      <c r="C805" s="20" t="s">
        <v>40</v>
      </c>
      <c r="D805" s="40">
        <v>44270</v>
      </c>
      <c r="E805" s="29" t="s">
        <v>9</v>
      </c>
      <c r="F805" s="25">
        <v>7</v>
      </c>
      <c r="G805" s="21">
        <v>18.5</v>
      </c>
      <c r="H805" s="21">
        <f t="shared" si="12"/>
        <v>129.5</v>
      </c>
      <c r="I805" s="29" t="s">
        <v>13</v>
      </c>
      <c r="J805" s="29" t="s">
        <v>14</v>
      </c>
      <c r="K805" s="19" t="s">
        <v>33</v>
      </c>
    </row>
    <row r="806" spans="2:11" ht="19.899999999999999" customHeight="1">
      <c r="B806" s="29">
        <v>2500803</v>
      </c>
      <c r="C806" s="20" t="s">
        <v>40</v>
      </c>
      <c r="D806" s="40">
        <v>44271</v>
      </c>
      <c r="E806" s="29" t="s">
        <v>27</v>
      </c>
      <c r="F806" s="25">
        <v>9</v>
      </c>
      <c r="G806" s="21">
        <v>15.5</v>
      </c>
      <c r="H806" s="21">
        <f t="shared" si="12"/>
        <v>139.5</v>
      </c>
      <c r="I806" s="29" t="s">
        <v>10</v>
      </c>
      <c r="J806" s="29" t="s">
        <v>11</v>
      </c>
      <c r="K806" s="19" t="s">
        <v>32</v>
      </c>
    </row>
    <row r="807" spans="2:11" ht="19.899999999999999" customHeight="1">
      <c r="B807" s="29">
        <v>2500804</v>
      </c>
      <c r="C807" s="20" t="s">
        <v>44</v>
      </c>
      <c r="D807" s="40">
        <v>44272</v>
      </c>
      <c r="E807" s="29" t="s">
        <v>21</v>
      </c>
      <c r="F807" s="25">
        <v>9</v>
      </c>
      <c r="G807" s="21">
        <v>48</v>
      </c>
      <c r="H807" s="21">
        <f t="shared" si="12"/>
        <v>432</v>
      </c>
      <c r="I807" s="29" t="s">
        <v>15</v>
      </c>
      <c r="J807" s="29" t="s">
        <v>16</v>
      </c>
      <c r="K807" s="19" t="s">
        <v>34</v>
      </c>
    </row>
    <row r="808" spans="2:11" ht="19.899999999999999" customHeight="1">
      <c r="B808" s="29">
        <v>2500805</v>
      </c>
      <c r="C808" s="20" t="s">
        <v>48</v>
      </c>
      <c r="D808" s="40">
        <v>44273</v>
      </c>
      <c r="E808" s="29" t="s">
        <v>20</v>
      </c>
      <c r="F808" s="25">
        <v>10</v>
      </c>
      <c r="G808" s="21">
        <v>36</v>
      </c>
      <c r="H808" s="21">
        <f t="shared" si="12"/>
        <v>360</v>
      </c>
      <c r="I808" s="29" t="s">
        <v>15</v>
      </c>
      <c r="J808" s="29" t="s">
        <v>16</v>
      </c>
      <c r="K808" s="19" t="s">
        <v>34</v>
      </c>
    </row>
    <row r="809" spans="2:11" ht="19.899999999999999" customHeight="1">
      <c r="B809" s="29">
        <v>2500806</v>
      </c>
      <c r="C809" s="20" t="s">
        <v>41</v>
      </c>
      <c r="D809" s="40">
        <v>44274</v>
      </c>
      <c r="E809" s="29" t="s">
        <v>12</v>
      </c>
      <c r="F809" s="25">
        <v>1</v>
      </c>
      <c r="G809" s="21">
        <v>32</v>
      </c>
      <c r="H809" s="21">
        <f t="shared" si="12"/>
        <v>32</v>
      </c>
      <c r="I809" s="29" t="s">
        <v>15</v>
      </c>
      <c r="J809" s="29" t="s">
        <v>16</v>
      </c>
      <c r="K809" s="19" t="s">
        <v>34</v>
      </c>
    </row>
    <row r="810" spans="2:11" ht="19.899999999999999" customHeight="1">
      <c r="B810" s="29">
        <v>2500807</v>
      </c>
      <c r="C810" s="20" t="s">
        <v>47</v>
      </c>
      <c r="D810" s="40">
        <v>44275</v>
      </c>
      <c r="E810" s="29" t="s">
        <v>21</v>
      </c>
      <c r="F810" s="25">
        <v>6</v>
      </c>
      <c r="G810" s="21">
        <v>48</v>
      </c>
      <c r="H810" s="21">
        <f t="shared" si="12"/>
        <v>288</v>
      </c>
      <c r="I810" s="29" t="s">
        <v>26</v>
      </c>
      <c r="J810" s="29" t="s">
        <v>29</v>
      </c>
      <c r="K810" s="19" t="s">
        <v>38</v>
      </c>
    </row>
    <row r="811" spans="2:11" ht="19.899999999999999" customHeight="1">
      <c r="B811" s="29">
        <v>2500808</v>
      </c>
      <c r="C811" s="20" t="s">
        <v>44</v>
      </c>
      <c r="D811" s="40">
        <v>44276</v>
      </c>
      <c r="E811" s="29" t="s">
        <v>24</v>
      </c>
      <c r="F811" s="25">
        <v>10</v>
      </c>
      <c r="G811" s="21">
        <v>25.5</v>
      </c>
      <c r="H811" s="21">
        <f t="shared" si="12"/>
        <v>255</v>
      </c>
      <c r="I811" s="29" t="s">
        <v>26</v>
      </c>
      <c r="J811" s="29" t="s">
        <v>29</v>
      </c>
      <c r="K811" s="19" t="s">
        <v>38</v>
      </c>
    </row>
    <row r="812" spans="2:11" ht="19.899999999999999" customHeight="1">
      <c r="B812" s="29">
        <v>2500809</v>
      </c>
      <c r="C812" s="20" t="s">
        <v>46</v>
      </c>
      <c r="D812" s="40">
        <v>44277</v>
      </c>
      <c r="E812" s="29" t="s">
        <v>21</v>
      </c>
      <c r="F812" s="25">
        <v>3</v>
      </c>
      <c r="G812" s="21">
        <v>48</v>
      </c>
      <c r="H812" s="21">
        <f t="shared" si="12"/>
        <v>144</v>
      </c>
      <c r="I812" s="29" t="s">
        <v>17</v>
      </c>
      <c r="J812" s="29" t="s">
        <v>18</v>
      </c>
      <c r="K812" s="19" t="s">
        <v>35</v>
      </c>
    </row>
    <row r="813" spans="2:11" ht="19.899999999999999" customHeight="1">
      <c r="B813" s="29">
        <v>2500810</v>
      </c>
      <c r="C813" s="20" t="s">
        <v>41</v>
      </c>
      <c r="D813" s="40">
        <v>44278</v>
      </c>
      <c r="E813" s="29" t="s">
        <v>27</v>
      </c>
      <c r="F813" s="25">
        <v>10</v>
      </c>
      <c r="G813" s="21">
        <v>15.5</v>
      </c>
      <c r="H813" s="21">
        <f t="shared" si="12"/>
        <v>155</v>
      </c>
      <c r="I813" s="29" t="s">
        <v>22</v>
      </c>
      <c r="J813" s="29" t="s">
        <v>19</v>
      </c>
      <c r="K813" s="19" t="s">
        <v>36</v>
      </c>
    </row>
    <row r="814" spans="2:11" ht="19.899999999999999" customHeight="1">
      <c r="B814" s="29">
        <v>2500811</v>
      </c>
      <c r="C814" s="20" t="s">
        <v>48</v>
      </c>
      <c r="D814" s="40">
        <v>44279</v>
      </c>
      <c r="E814" s="29" t="s">
        <v>9</v>
      </c>
      <c r="F814" s="25">
        <v>10</v>
      </c>
      <c r="G814" s="21">
        <v>18.5</v>
      </c>
      <c r="H814" s="21">
        <f t="shared" si="12"/>
        <v>185</v>
      </c>
      <c r="I814" s="29" t="s">
        <v>28</v>
      </c>
      <c r="J814" s="29" t="s">
        <v>30</v>
      </c>
      <c r="K814" s="19" t="s">
        <v>33</v>
      </c>
    </row>
    <row r="815" spans="2:11" ht="19.899999999999999" customHeight="1">
      <c r="B815" s="29">
        <v>2500812</v>
      </c>
      <c r="C815" s="20" t="s">
        <v>47</v>
      </c>
      <c r="D815" s="40">
        <v>44280</v>
      </c>
      <c r="E815" s="29" t="s">
        <v>12</v>
      </c>
      <c r="F815" s="25">
        <v>10</v>
      </c>
      <c r="G815" s="21">
        <v>32</v>
      </c>
      <c r="H815" s="21">
        <f t="shared" si="12"/>
        <v>320</v>
      </c>
      <c r="I815" s="29" t="s">
        <v>13</v>
      </c>
      <c r="J815" s="29" t="s">
        <v>14</v>
      </c>
      <c r="K815" s="19" t="s">
        <v>33</v>
      </c>
    </row>
    <row r="816" spans="2:11" ht="19.899999999999999" customHeight="1">
      <c r="B816" s="29">
        <v>2500813</v>
      </c>
      <c r="C816" s="20" t="s">
        <v>44</v>
      </c>
      <c r="D816" s="40">
        <v>44281</v>
      </c>
      <c r="E816" s="29" t="s">
        <v>27</v>
      </c>
      <c r="F816" s="25">
        <v>4</v>
      </c>
      <c r="G816" s="21">
        <v>15.5</v>
      </c>
      <c r="H816" s="21">
        <f t="shared" si="12"/>
        <v>62</v>
      </c>
      <c r="I816" s="29" t="s">
        <v>15</v>
      </c>
      <c r="J816" s="29" t="s">
        <v>16</v>
      </c>
      <c r="K816" s="19" t="s">
        <v>34</v>
      </c>
    </row>
    <row r="817" spans="2:11" ht="19.899999999999999" customHeight="1">
      <c r="B817" s="29">
        <v>2500814</v>
      </c>
      <c r="C817" s="20" t="s">
        <v>43</v>
      </c>
      <c r="D817" s="40">
        <v>44282</v>
      </c>
      <c r="E817" s="29" t="s">
        <v>12</v>
      </c>
      <c r="F817" s="25">
        <v>9</v>
      </c>
      <c r="G817" s="21">
        <v>32</v>
      </c>
      <c r="H817" s="21">
        <f t="shared" si="12"/>
        <v>288</v>
      </c>
      <c r="I817" s="29" t="s">
        <v>10</v>
      </c>
      <c r="J817" s="29" t="s">
        <v>11</v>
      </c>
      <c r="K817" s="19" t="s">
        <v>32</v>
      </c>
    </row>
    <row r="818" spans="2:11" ht="19.899999999999999" customHeight="1">
      <c r="B818" s="29">
        <v>2500815</v>
      </c>
      <c r="C818" s="20" t="s">
        <v>41</v>
      </c>
      <c r="D818" s="40">
        <v>44283</v>
      </c>
      <c r="E818" s="29" t="s">
        <v>20</v>
      </c>
      <c r="F818" s="25">
        <v>1</v>
      </c>
      <c r="G818" s="21">
        <v>36</v>
      </c>
      <c r="H818" s="21">
        <f t="shared" si="12"/>
        <v>36</v>
      </c>
      <c r="I818" s="29" t="s">
        <v>25</v>
      </c>
      <c r="J818" s="29" t="s">
        <v>23</v>
      </c>
      <c r="K818" s="19" t="s">
        <v>37</v>
      </c>
    </row>
    <row r="819" spans="2:11" ht="19.899999999999999" customHeight="1">
      <c r="B819" s="29">
        <v>2500816</v>
      </c>
      <c r="C819" s="20" t="s">
        <v>41</v>
      </c>
      <c r="D819" s="40">
        <v>44284</v>
      </c>
      <c r="E819" s="29" t="s">
        <v>20</v>
      </c>
      <c r="F819" s="25">
        <v>2</v>
      </c>
      <c r="G819" s="21">
        <v>36</v>
      </c>
      <c r="H819" s="21">
        <f t="shared" si="12"/>
        <v>72</v>
      </c>
      <c r="I819" s="29" t="s">
        <v>17</v>
      </c>
      <c r="J819" s="29" t="s">
        <v>18</v>
      </c>
      <c r="K819" s="19" t="s">
        <v>35</v>
      </c>
    </row>
    <row r="820" spans="2:11" ht="19.899999999999999" customHeight="1">
      <c r="B820" s="29">
        <v>2500817</v>
      </c>
      <c r="C820" s="20" t="s">
        <v>40</v>
      </c>
      <c r="D820" s="40">
        <v>44285</v>
      </c>
      <c r="E820" s="29" t="s">
        <v>9</v>
      </c>
      <c r="F820" s="25">
        <v>2</v>
      </c>
      <c r="G820" s="21">
        <v>18.5</v>
      </c>
      <c r="H820" s="21">
        <f t="shared" si="12"/>
        <v>37</v>
      </c>
      <c r="I820" s="29" t="s">
        <v>15</v>
      </c>
      <c r="J820" s="29" t="s">
        <v>16</v>
      </c>
      <c r="K820" s="19" t="s">
        <v>34</v>
      </c>
    </row>
    <row r="821" spans="2:11" ht="19.899999999999999" customHeight="1">
      <c r="B821" s="29">
        <v>2500818</v>
      </c>
      <c r="C821" s="20" t="s">
        <v>44</v>
      </c>
      <c r="D821" s="40">
        <v>44286</v>
      </c>
      <c r="E821" s="29" t="s">
        <v>9</v>
      </c>
      <c r="F821" s="25">
        <v>3</v>
      </c>
      <c r="G821" s="21">
        <v>18.5</v>
      </c>
      <c r="H821" s="21">
        <f t="shared" si="12"/>
        <v>55.5</v>
      </c>
      <c r="I821" s="29" t="s">
        <v>28</v>
      </c>
      <c r="J821" s="29" t="s">
        <v>30</v>
      </c>
      <c r="K821" s="19" t="s">
        <v>33</v>
      </c>
    </row>
    <row r="822" spans="2:11" ht="19.899999999999999" customHeight="1">
      <c r="B822" s="29">
        <v>2500819</v>
      </c>
      <c r="C822" s="20" t="s">
        <v>48</v>
      </c>
      <c r="D822" s="40">
        <v>44287</v>
      </c>
      <c r="E822" s="29" t="s">
        <v>24</v>
      </c>
      <c r="F822" s="25">
        <v>9</v>
      </c>
      <c r="G822" s="21">
        <v>25.5</v>
      </c>
      <c r="H822" s="21">
        <f t="shared" si="12"/>
        <v>229.5</v>
      </c>
      <c r="I822" s="29" t="s">
        <v>17</v>
      </c>
      <c r="J822" s="29" t="s">
        <v>18</v>
      </c>
      <c r="K822" s="19" t="s">
        <v>35</v>
      </c>
    </row>
    <row r="823" spans="2:11" ht="19.899999999999999" customHeight="1">
      <c r="B823" s="29">
        <v>2500820</v>
      </c>
      <c r="C823" s="20" t="s">
        <v>42</v>
      </c>
      <c r="D823" s="40">
        <v>44288</v>
      </c>
      <c r="E823" s="29" t="s">
        <v>12</v>
      </c>
      <c r="F823" s="25">
        <v>1</v>
      </c>
      <c r="G823" s="21">
        <v>32</v>
      </c>
      <c r="H823" s="21">
        <f t="shared" si="12"/>
        <v>32</v>
      </c>
      <c r="I823" s="29" t="s">
        <v>26</v>
      </c>
      <c r="J823" s="29" t="s">
        <v>29</v>
      </c>
      <c r="K823" s="19" t="s">
        <v>38</v>
      </c>
    </row>
    <row r="824" spans="2:11" ht="19.899999999999999" customHeight="1">
      <c r="B824" s="29">
        <v>2500821</v>
      </c>
      <c r="C824" s="20" t="s">
        <v>46</v>
      </c>
      <c r="D824" s="40">
        <v>44289</v>
      </c>
      <c r="E824" s="29" t="s">
        <v>9</v>
      </c>
      <c r="F824" s="25">
        <v>6</v>
      </c>
      <c r="G824" s="21">
        <v>18.5</v>
      </c>
      <c r="H824" s="21">
        <f t="shared" si="12"/>
        <v>111</v>
      </c>
      <c r="I824" s="29" t="s">
        <v>15</v>
      </c>
      <c r="J824" s="29" t="s">
        <v>16</v>
      </c>
      <c r="K824" s="19" t="s">
        <v>34</v>
      </c>
    </row>
    <row r="825" spans="2:11" ht="19.899999999999999" customHeight="1">
      <c r="B825" s="29">
        <v>2500822</v>
      </c>
      <c r="C825" s="20" t="s">
        <v>43</v>
      </c>
      <c r="D825" s="40">
        <v>44290</v>
      </c>
      <c r="E825" s="29" t="s">
        <v>27</v>
      </c>
      <c r="F825" s="25">
        <v>6</v>
      </c>
      <c r="G825" s="21">
        <v>15.5</v>
      </c>
      <c r="H825" s="21">
        <f t="shared" si="12"/>
        <v>93</v>
      </c>
      <c r="I825" s="29" t="s">
        <v>28</v>
      </c>
      <c r="J825" s="29" t="s">
        <v>30</v>
      </c>
      <c r="K825" s="19" t="s">
        <v>33</v>
      </c>
    </row>
    <row r="826" spans="2:11" ht="19.899999999999999" customHeight="1">
      <c r="B826" s="29">
        <v>2500823</v>
      </c>
      <c r="C826" s="20" t="s">
        <v>44</v>
      </c>
      <c r="D826" s="40">
        <v>44291</v>
      </c>
      <c r="E826" s="29" t="s">
        <v>24</v>
      </c>
      <c r="F826" s="25">
        <v>6</v>
      </c>
      <c r="G826" s="21">
        <v>25.5</v>
      </c>
      <c r="H826" s="21">
        <f t="shared" si="12"/>
        <v>153</v>
      </c>
      <c r="I826" s="29" t="s">
        <v>28</v>
      </c>
      <c r="J826" s="29" t="s">
        <v>30</v>
      </c>
      <c r="K826" s="19" t="s">
        <v>33</v>
      </c>
    </row>
    <row r="827" spans="2:11" ht="19.899999999999999" customHeight="1">
      <c r="B827" s="29">
        <v>2500824</v>
      </c>
      <c r="C827" s="20" t="s">
        <v>48</v>
      </c>
      <c r="D827" s="40">
        <v>44292</v>
      </c>
      <c r="E827" s="29" t="s">
        <v>21</v>
      </c>
      <c r="F827" s="25">
        <v>1</v>
      </c>
      <c r="G827" s="21">
        <v>48</v>
      </c>
      <c r="H827" s="21">
        <f t="shared" si="12"/>
        <v>48</v>
      </c>
      <c r="I827" s="29" t="s">
        <v>26</v>
      </c>
      <c r="J827" s="29" t="s">
        <v>29</v>
      </c>
      <c r="K827" s="19" t="s">
        <v>38</v>
      </c>
    </row>
    <row r="828" spans="2:11" ht="19.899999999999999" customHeight="1">
      <c r="B828" s="29">
        <v>2500825</v>
      </c>
      <c r="C828" s="20" t="s">
        <v>46</v>
      </c>
      <c r="D828" s="40">
        <v>44293</v>
      </c>
      <c r="E828" s="29" t="s">
        <v>12</v>
      </c>
      <c r="F828" s="25">
        <v>6</v>
      </c>
      <c r="G828" s="21">
        <v>32</v>
      </c>
      <c r="H828" s="21">
        <f t="shared" si="12"/>
        <v>192</v>
      </c>
      <c r="I828" s="29" t="s">
        <v>25</v>
      </c>
      <c r="J828" s="29" t="s">
        <v>23</v>
      </c>
      <c r="K828" s="19" t="s">
        <v>37</v>
      </c>
    </row>
    <row r="829" spans="2:11" ht="19.899999999999999" customHeight="1">
      <c r="B829" s="29">
        <v>2500826</v>
      </c>
      <c r="C829" s="20" t="s">
        <v>47</v>
      </c>
      <c r="D829" s="40">
        <v>44294</v>
      </c>
      <c r="E829" s="29" t="s">
        <v>21</v>
      </c>
      <c r="F829" s="25">
        <v>8</v>
      </c>
      <c r="G829" s="21">
        <v>48</v>
      </c>
      <c r="H829" s="21">
        <f t="shared" si="12"/>
        <v>384</v>
      </c>
      <c r="I829" s="29" t="s">
        <v>22</v>
      </c>
      <c r="J829" s="29" t="s">
        <v>19</v>
      </c>
      <c r="K829" s="19" t="s">
        <v>36</v>
      </c>
    </row>
    <row r="830" spans="2:11" ht="19.899999999999999" customHeight="1">
      <c r="B830" s="29">
        <v>2500827</v>
      </c>
      <c r="C830" s="20" t="s">
        <v>41</v>
      </c>
      <c r="D830" s="40">
        <v>44295</v>
      </c>
      <c r="E830" s="29" t="s">
        <v>21</v>
      </c>
      <c r="F830" s="25">
        <v>1</v>
      </c>
      <c r="G830" s="21">
        <v>48</v>
      </c>
      <c r="H830" s="21">
        <f t="shared" si="12"/>
        <v>48</v>
      </c>
      <c r="I830" s="29" t="s">
        <v>17</v>
      </c>
      <c r="J830" s="29" t="s">
        <v>18</v>
      </c>
      <c r="K830" s="19" t="s">
        <v>35</v>
      </c>
    </row>
    <row r="831" spans="2:11" ht="19.899999999999999" customHeight="1">
      <c r="B831" s="29">
        <v>2500828</v>
      </c>
      <c r="C831" s="20" t="s">
        <v>49</v>
      </c>
      <c r="D831" s="40">
        <v>44296</v>
      </c>
      <c r="E831" s="29" t="s">
        <v>24</v>
      </c>
      <c r="F831" s="25">
        <v>9</v>
      </c>
      <c r="G831" s="21">
        <v>25.5</v>
      </c>
      <c r="H831" s="21">
        <f t="shared" si="12"/>
        <v>229.5</v>
      </c>
      <c r="I831" s="29" t="s">
        <v>25</v>
      </c>
      <c r="J831" s="29" t="s">
        <v>23</v>
      </c>
      <c r="K831" s="19" t="s">
        <v>37</v>
      </c>
    </row>
    <row r="832" spans="2:11" ht="19.899999999999999" customHeight="1">
      <c r="B832" s="29">
        <v>2500829</v>
      </c>
      <c r="C832" s="20" t="s">
        <v>42</v>
      </c>
      <c r="D832" s="40">
        <v>44297</v>
      </c>
      <c r="E832" s="29" t="s">
        <v>24</v>
      </c>
      <c r="F832" s="25">
        <v>5</v>
      </c>
      <c r="G832" s="21">
        <v>25.5</v>
      </c>
      <c r="H832" s="21">
        <f t="shared" si="12"/>
        <v>127.5</v>
      </c>
      <c r="I832" s="29" t="s">
        <v>13</v>
      </c>
      <c r="J832" s="29" t="s">
        <v>14</v>
      </c>
      <c r="K832" s="19" t="s">
        <v>33</v>
      </c>
    </row>
    <row r="833" spans="2:11" ht="19.899999999999999" customHeight="1">
      <c r="B833" s="29">
        <v>2500830</v>
      </c>
      <c r="C833" s="20" t="s">
        <v>46</v>
      </c>
      <c r="D833" s="40">
        <v>44298</v>
      </c>
      <c r="E833" s="29" t="s">
        <v>21</v>
      </c>
      <c r="F833" s="25">
        <v>3</v>
      </c>
      <c r="G833" s="21">
        <v>48</v>
      </c>
      <c r="H833" s="21">
        <f t="shared" si="12"/>
        <v>144</v>
      </c>
      <c r="I833" s="29" t="s">
        <v>25</v>
      </c>
      <c r="J833" s="29" t="s">
        <v>23</v>
      </c>
      <c r="K833" s="19" t="s">
        <v>37</v>
      </c>
    </row>
    <row r="834" spans="2:11" ht="19.899999999999999" customHeight="1">
      <c r="B834" s="29">
        <v>2500831</v>
      </c>
      <c r="C834" s="20" t="s">
        <v>41</v>
      </c>
      <c r="D834" s="40">
        <v>44299</v>
      </c>
      <c r="E834" s="29" t="s">
        <v>27</v>
      </c>
      <c r="F834" s="25">
        <v>3</v>
      </c>
      <c r="G834" s="21">
        <v>15.5</v>
      </c>
      <c r="H834" s="21">
        <f t="shared" si="12"/>
        <v>46.5</v>
      </c>
      <c r="I834" s="29" t="s">
        <v>13</v>
      </c>
      <c r="J834" s="29" t="s">
        <v>14</v>
      </c>
      <c r="K834" s="19" t="s">
        <v>33</v>
      </c>
    </row>
    <row r="835" spans="2:11" ht="19.899999999999999" customHeight="1">
      <c r="B835" s="29">
        <v>2500832</v>
      </c>
      <c r="C835" s="20" t="s">
        <v>49</v>
      </c>
      <c r="D835" s="40">
        <v>44300</v>
      </c>
      <c r="E835" s="29" t="s">
        <v>9</v>
      </c>
      <c r="F835" s="25">
        <v>4</v>
      </c>
      <c r="G835" s="21">
        <v>18.5</v>
      </c>
      <c r="H835" s="21">
        <f t="shared" si="12"/>
        <v>74</v>
      </c>
      <c r="I835" s="29" t="s">
        <v>26</v>
      </c>
      <c r="J835" s="29" t="s">
        <v>29</v>
      </c>
      <c r="K835" s="19" t="s">
        <v>38</v>
      </c>
    </row>
    <row r="836" spans="2:11" ht="19.899999999999999" customHeight="1">
      <c r="B836" s="29">
        <v>2500833</v>
      </c>
      <c r="C836" s="20" t="s">
        <v>43</v>
      </c>
      <c r="D836" s="40">
        <v>44301</v>
      </c>
      <c r="E836" s="29" t="s">
        <v>27</v>
      </c>
      <c r="F836" s="25">
        <v>5</v>
      </c>
      <c r="G836" s="21">
        <v>15.5</v>
      </c>
      <c r="H836" s="21">
        <f t="shared" si="12"/>
        <v>77.5</v>
      </c>
      <c r="I836" s="29" t="s">
        <v>25</v>
      </c>
      <c r="J836" s="29" t="s">
        <v>23</v>
      </c>
      <c r="K836" s="19" t="s">
        <v>37</v>
      </c>
    </row>
    <row r="837" spans="2:11" ht="19.899999999999999" customHeight="1">
      <c r="B837" s="29">
        <v>2500834</v>
      </c>
      <c r="C837" s="20" t="s">
        <v>49</v>
      </c>
      <c r="D837" s="40">
        <v>44302</v>
      </c>
      <c r="E837" s="29" t="s">
        <v>27</v>
      </c>
      <c r="F837" s="25">
        <v>1</v>
      </c>
      <c r="G837" s="21">
        <v>15.5</v>
      </c>
      <c r="H837" s="21">
        <f t="shared" si="12"/>
        <v>15.5</v>
      </c>
      <c r="I837" s="29" t="s">
        <v>17</v>
      </c>
      <c r="J837" s="29" t="s">
        <v>18</v>
      </c>
      <c r="K837" s="19" t="s">
        <v>35</v>
      </c>
    </row>
    <row r="838" spans="2:11" ht="19.899999999999999" customHeight="1">
      <c r="B838" s="29">
        <v>2500835</v>
      </c>
      <c r="C838" s="20" t="s">
        <v>41</v>
      </c>
      <c r="D838" s="40">
        <v>44303</v>
      </c>
      <c r="E838" s="29" t="s">
        <v>24</v>
      </c>
      <c r="F838" s="25">
        <v>4</v>
      </c>
      <c r="G838" s="21">
        <v>25.5</v>
      </c>
      <c r="H838" s="21">
        <f t="shared" ref="H838:H901" si="13">+G838*F838</f>
        <v>102</v>
      </c>
      <c r="I838" s="29" t="s">
        <v>26</v>
      </c>
      <c r="J838" s="29" t="s">
        <v>29</v>
      </c>
      <c r="K838" s="19" t="s">
        <v>38</v>
      </c>
    </row>
    <row r="839" spans="2:11" ht="19.899999999999999" customHeight="1">
      <c r="B839" s="29">
        <v>2500836</v>
      </c>
      <c r="C839" s="20" t="s">
        <v>44</v>
      </c>
      <c r="D839" s="40">
        <v>44304</v>
      </c>
      <c r="E839" s="29" t="s">
        <v>12</v>
      </c>
      <c r="F839" s="25">
        <v>5</v>
      </c>
      <c r="G839" s="21">
        <v>32</v>
      </c>
      <c r="H839" s="21">
        <f t="shared" si="13"/>
        <v>160</v>
      </c>
      <c r="I839" s="29" t="s">
        <v>26</v>
      </c>
      <c r="J839" s="29" t="s">
        <v>29</v>
      </c>
      <c r="K839" s="19" t="s">
        <v>38</v>
      </c>
    </row>
    <row r="840" spans="2:11" ht="19.899999999999999" customHeight="1">
      <c r="B840" s="29">
        <v>2500837</v>
      </c>
      <c r="C840" s="20" t="s">
        <v>49</v>
      </c>
      <c r="D840" s="40">
        <v>44305</v>
      </c>
      <c r="E840" s="29" t="s">
        <v>20</v>
      </c>
      <c r="F840" s="25">
        <v>1</v>
      </c>
      <c r="G840" s="21">
        <v>36</v>
      </c>
      <c r="H840" s="21">
        <f t="shared" si="13"/>
        <v>36</v>
      </c>
      <c r="I840" s="29" t="s">
        <v>22</v>
      </c>
      <c r="J840" s="29" t="s">
        <v>19</v>
      </c>
      <c r="K840" s="19" t="s">
        <v>36</v>
      </c>
    </row>
    <row r="841" spans="2:11" ht="19.899999999999999" customHeight="1">
      <c r="B841" s="29">
        <v>2500838</v>
      </c>
      <c r="C841" s="20" t="s">
        <v>42</v>
      </c>
      <c r="D841" s="40">
        <v>44306</v>
      </c>
      <c r="E841" s="29" t="s">
        <v>21</v>
      </c>
      <c r="F841" s="25">
        <v>4</v>
      </c>
      <c r="G841" s="21">
        <v>48</v>
      </c>
      <c r="H841" s="21">
        <f t="shared" si="13"/>
        <v>192</v>
      </c>
      <c r="I841" s="29" t="s">
        <v>10</v>
      </c>
      <c r="J841" s="29" t="s">
        <v>11</v>
      </c>
      <c r="K841" s="19" t="s">
        <v>32</v>
      </c>
    </row>
    <row r="842" spans="2:11" ht="19.899999999999999" customHeight="1">
      <c r="B842" s="29">
        <v>2500839</v>
      </c>
      <c r="C842" s="20" t="s">
        <v>42</v>
      </c>
      <c r="D842" s="40">
        <v>44307</v>
      </c>
      <c r="E842" s="29" t="s">
        <v>24</v>
      </c>
      <c r="F842" s="25">
        <v>5</v>
      </c>
      <c r="G842" s="21">
        <v>25.5</v>
      </c>
      <c r="H842" s="21">
        <f t="shared" si="13"/>
        <v>127.5</v>
      </c>
      <c r="I842" s="29" t="s">
        <v>22</v>
      </c>
      <c r="J842" s="29" t="s">
        <v>19</v>
      </c>
      <c r="K842" s="19" t="s">
        <v>36</v>
      </c>
    </row>
    <row r="843" spans="2:11" ht="19.899999999999999" customHeight="1">
      <c r="B843" s="29">
        <v>2500840</v>
      </c>
      <c r="C843" s="20" t="s">
        <v>40</v>
      </c>
      <c r="D843" s="40">
        <v>44308</v>
      </c>
      <c r="E843" s="29" t="s">
        <v>27</v>
      </c>
      <c r="F843" s="25">
        <v>1</v>
      </c>
      <c r="G843" s="21">
        <v>15.5</v>
      </c>
      <c r="H843" s="21">
        <f t="shared" si="13"/>
        <v>15.5</v>
      </c>
      <c r="I843" s="29" t="s">
        <v>13</v>
      </c>
      <c r="J843" s="29" t="s">
        <v>14</v>
      </c>
      <c r="K843" s="19" t="s">
        <v>33</v>
      </c>
    </row>
    <row r="844" spans="2:11" ht="19.899999999999999" customHeight="1">
      <c r="B844" s="29">
        <v>2500841</v>
      </c>
      <c r="C844" s="20" t="s">
        <v>49</v>
      </c>
      <c r="D844" s="40">
        <v>44309</v>
      </c>
      <c r="E844" s="29" t="s">
        <v>27</v>
      </c>
      <c r="F844" s="25">
        <v>3</v>
      </c>
      <c r="G844" s="21">
        <v>15.5</v>
      </c>
      <c r="H844" s="21">
        <f t="shared" si="13"/>
        <v>46.5</v>
      </c>
      <c r="I844" s="29" t="s">
        <v>17</v>
      </c>
      <c r="J844" s="29" t="s">
        <v>18</v>
      </c>
      <c r="K844" s="19" t="s">
        <v>35</v>
      </c>
    </row>
    <row r="845" spans="2:11" ht="19.899999999999999" customHeight="1">
      <c r="B845" s="29">
        <v>2500842</v>
      </c>
      <c r="C845" s="20" t="s">
        <v>45</v>
      </c>
      <c r="D845" s="40">
        <v>44310</v>
      </c>
      <c r="E845" s="29" t="s">
        <v>27</v>
      </c>
      <c r="F845" s="25">
        <v>7</v>
      </c>
      <c r="G845" s="21">
        <v>15.5</v>
      </c>
      <c r="H845" s="21">
        <f t="shared" si="13"/>
        <v>108.5</v>
      </c>
      <c r="I845" s="29" t="s">
        <v>17</v>
      </c>
      <c r="J845" s="29" t="s">
        <v>18</v>
      </c>
      <c r="K845" s="19" t="s">
        <v>35</v>
      </c>
    </row>
    <row r="846" spans="2:11" ht="19.899999999999999" customHeight="1">
      <c r="B846" s="29">
        <v>2500843</v>
      </c>
      <c r="C846" s="20" t="s">
        <v>46</v>
      </c>
      <c r="D846" s="40">
        <v>44311</v>
      </c>
      <c r="E846" s="29" t="s">
        <v>27</v>
      </c>
      <c r="F846" s="25">
        <v>7</v>
      </c>
      <c r="G846" s="21">
        <v>15.5</v>
      </c>
      <c r="H846" s="21">
        <f t="shared" si="13"/>
        <v>108.5</v>
      </c>
      <c r="I846" s="29" t="s">
        <v>15</v>
      </c>
      <c r="J846" s="29" t="s">
        <v>16</v>
      </c>
      <c r="K846" s="19" t="s">
        <v>34</v>
      </c>
    </row>
    <row r="847" spans="2:11" ht="19.899999999999999" customHeight="1">
      <c r="B847" s="29">
        <v>2500844</v>
      </c>
      <c r="C847" s="20" t="s">
        <v>48</v>
      </c>
      <c r="D847" s="40">
        <v>44312</v>
      </c>
      <c r="E847" s="29" t="s">
        <v>9</v>
      </c>
      <c r="F847" s="25">
        <v>3</v>
      </c>
      <c r="G847" s="21">
        <v>18.5</v>
      </c>
      <c r="H847" s="21">
        <f t="shared" si="13"/>
        <v>55.5</v>
      </c>
      <c r="I847" s="29" t="s">
        <v>13</v>
      </c>
      <c r="J847" s="29" t="s">
        <v>14</v>
      </c>
      <c r="K847" s="19" t="s">
        <v>33</v>
      </c>
    </row>
    <row r="848" spans="2:11" ht="19.899999999999999" customHeight="1">
      <c r="B848" s="29">
        <v>2500845</v>
      </c>
      <c r="C848" s="20" t="s">
        <v>44</v>
      </c>
      <c r="D848" s="40">
        <v>44313</v>
      </c>
      <c r="E848" s="29" t="s">
        <v>12</v>
      </c>
      <c r="F848" s="25">
        <v>8</v>
      </c>
      <c r="G848" s="21">
        <v>32</v>
      </c>
      <c r="H848" s="21">
        <f t="shared" si="13"/>
        <v>256</v>
      </c>
      <c r="I848" s="29" t="s">
        <v>17</v>
      </c>
      <c r="J848" s="29" t="s">
        <v>18</v>
      </c>
      <c r="K848" s="19" t="s">
        <v>35</v>
      </c>
    </row>
    <row r="849" spans="2:11" ht="19.899999999999999" customHeight="1">
      <c r="B849" s="29">
        <v>2500846</v>
      </c>
      <c r="C849" s="20" t="s">
        <v>45</v>
      </c>
      <c r="D849" s="40">
        <v>44314</v>
      </c>
      <c r="E849" s="29" t="s">
        <v>12</v>
      </c>
      <c r="F849" s="25">
        <v>8</v>
      </c>
      <c r="G849" s="21">
        <v>32</v>
      </c>
      <c r="H849" s="21">
        <f t="shared" si="13"/>
        <v>256</v>
      </c>
      <c r="I849" s="29" t="s">
        <v>26</v>
      </c>
      <c r="J849" s="29" t="s">
        <v>29</v>
      </c>
      <c r="K849" s="19" t="s">
        <v>38</v>
      </c>
    </row>
    <row r="850" spans="2:11" ht="19.899999999999999" customHeight="1">
      <c r="B850" s="29">
        <v>2500847</v>
      </c>
      <c r="C850" s="20" t="s">
        <v>47</v>
      </c>
      <c r="D850" s="40">
        <v>44315</v>
      </c>
      <c r="E850" s="29" t="s">
        <v>24</v>
      </c>
      <c r="F850" s="25">
        <v>2</v>
      </c>
      <c r="G850" s="21">
        <v>25.5</v>
      </c>
      <c r="H850" s="21">
        <f t="shared" si="13"/>
        <v>51</v>
      </c>
      <c r="I850" s="29" t="s">
        <v>28</v>
      </c>
      <c r="J850" s="29" t="s">
        <v>30</v>
      </c>
      <c r="K850" s="19" t="s">
        <v>33</v>
      </c>
    </row>
    <row r="851" spans="2:11" ht="19.899999999999999" customHeight="1">
      <c r="B851" s="29">
        <v>2500848</v>
      </c>
      <c r="C851" s="20" t="s">
        <v>49</v>
      </c>
      <c r="D851" s="40">
        <v>44316</v>
      </c>
      <c r="E851" s="29" t="s">
        <v>20</v>
      </c>
      <c r="F851" s="25">
        <v>1</v>
      </c>
      <c r="G851" s="21">
        <v>36</v>
      </c>
      <c r="H851" s="21">
        <f t="shared" si="13"/>
        <v>36</v>
      </c>
      <c r="I851" s="29" t="s">
        <v>13</v>
      </c>
      <c r="J851" s="29" t="s">
        <v>14</v>
      </c>
      <c r="K851" s="19" t="s">
        <v>33</v>
      </c>
    </row>
    <row r="852" spans="2:11" ht="19.899999999999999" customHeight="1">
      <c r="B852" s="29">
        <v>2500849</v>
      </c>
      <c r="C852" s="20" t="s">
        <v>41</v>
      </c>
      <c r="D852" s="40">
        <v>44317</v>
      </c>
      <c r="E852" s="29" t="s">
        <v>20</v>
      </c>
      <c r="F852" s="25">
        <v>3</v>
      </c>
      <c r="G852" s="21">
        <v>36</v>
      </c>
      <c r="H852" s="21">
        <f t="shared" si="13"/>
        <v>108</v>
      </c>
      <c r="I852" s="29" t="s">
        <v>13</v>
      </c>
      <c r="J852" s="29" t="s">
        <v>14</v>
      </c>
      <c r="K852" s="19" t="s">
        <v>33</v>
      </c>
    </row>
    <row r="853" spans="2:11" ht="19.899999999999999" customHeight="1">
      <c r="B853" s="29">
        <v>2500850</v>
      </c>
      <c r="C853" s="20" t="s">
        <v>45</v>
      </c>
      <c r="D853" s="40">
        <v>44318</v>
      </c>
      <c r="E853" s="29" t="s">
        <v>20</v>
      </c>
      <c r="F853" s="25">
        <v>2</v>
      </c>
      <c r="G853" s="21">
        <v>36</v>
      </c>
      <c r="H853" s="21">
        <f t="shared" si="13"/>
        <v>72</v>
      </c>
      <c r="I853" s="29" t="s">
        <v>22</v>
      </c>
      <c r="J853" s="29" t="s">
        <v>19</v>
      </c>
      <c r="K853" s="19" t="s">
        <v>36</v>
      </c>
    </row>
    <row r="854" spans="2:11" ht="19.899999999999999" customHeight="1">
      <c r="B854" s="29">
        <v>2500851</v>
      </c>
      <c r="C854" s="20" t="s">
        <v>43</v>
      </c>
      <c r="D854" s="40">
        <v>44319</v>
      </c>
      <c r="E854" s="29" t="s">
        <v>20</v>
      </c>
      <c r="F854" s="25">
        <v>8</v>
      </c>
      <c r="G854" s="21">
        <v>36</v>
      </c>
      <c r="H854" s="21">
        <f t="shared" si="13"/>
        <v>288</v>
      </c>
      <c r="I854" s="29" t="s">
        <v>15</v>
      </c>
      <c r="J854" s="29" t="s">
        <v>16</v>
      </c>
      <c r="K854" s="19" t="s">
        <v>34</v>
      </c>
    </row>
    <row r="855" spans="2:11" ht="19.899999999999999" customHeight="1">
      <c r="B855" s="29">
        <v>2500852</v>
      </c>
      <c r="C855" s="20" t="s">
        <v>45</v>
      </c>
      <c r="D855" s="40">
        <v>44320</v>
      </c>
      <c r="E855" s="29" t="s">
        <v>9</v>
      </c>
      <c r="F855" s="25">
        <v>2</v>
      </c>
      <c r="G855" s="21">
        <v>18.5</v>
      </c>
      <c r="H855" s="21">
        <f t="shared" si="13"/>
        <v>37</v>
      </c>
      <c r="I855" s="29" t="s">
        <v>13</v>
      </c>
      <c r="J855" s="29" t="s">
        <v>14</v>
      </c>
      <c r="K855" s="19" t="s">
        <v>33</v>
      </c>
    </row>
    <row r="856" spans="2:11" ht="19.899999999999999" customHeight="1">
      <c r="B856" s="29">
        <v>2500853</v>
      </c>
      <c r="C856" s="20" t="s">
        <v>46</v>
      </c>
      <c r="D856" s="40">
        <v>44321</v>
      </c>
      <c r="E856" s="29" t="s">
        <v>12</v>
      </c>
      <c r="F856" s="25">
        <v>7</v>
      </c>
      <c r="G856" s="21">
        <v>32</v>
      </c>
      <c r="H856" s="21">
        <f t="shared" si="13"/>
        <v>224</v>
      </c>
      <c r="I856" s="29" t="s">
        <v>25</v>
      </c>
      <c r="J856" s="29" t="s">
        <v>23</v>
      </c>
      <c r="K856" s="19" t="s">
        <v>37</v>
      </c>
    </row>
    <row r="857" spans="2:11" ht="19.899999999999999" customHeight="1">
      <c r="B857" s="29">
        <v>2500854</v>
      </c>
      <c r="C857" s="20" t="s">
        <v>41</v>
      </c>
      <c r="D857" s="40">
        <v>44322</v>
      </c>
      <c r="E857" s="29" t="s">
        <v>12</v>
      </c>
      <c r="F857" s="25">
        <v>10</v>
      </c>
      <c r="G857" s="21">
        <v>32</v>
      </c>
      <c r="H857" s="21">
        <f t="shared" si="13"/>
        <v>320</v>
      </c>
      <c r="I857" s="29" t="s">
        <v>10</v>
      </c>
      <c r="J857" s="29" t="s">
        <v>11</v>
      </c>
      <c r="K857" s="19" t="s">
        <v>32</v>
      </c>
    </row>
    <row r="858" spans="2:11" ht="19.899999999999999" customHeight="1">
      <c r="B858" s="29">
        <v>2500855</v>
      </c>
      <c r="C858" s="20" t="s">
        <v>43</v>
      </c>
      <c r="D858" s="40">
        <v>44323</v>
      </c>
      <c r="E858" s="29" t="s">
        <v>9</v>
      </c>
      <c r="F858" s="25">
        <v>3</v>
      </c>
      <c r="G858" s="21">
        <v>18.5</v>
      </c>
      <c r="H858" s="21">
        <f t="shared" si="13"/>
        <v>55.5</v>
      </c>
      <c r="I858" s="29" t="s">
        <v>25</v>
      </c>
      <c r="J858" s="29" t="s">
        <v>23</v>
      </c>
      <c r="K858" s="19" t="s">
        <v>37</v>
      </c>
    </row>
    <row r="859" spans="2:11" ht="19.899999999999999" customHeight="1">
      <c r="B859" s="29">
        <v>2500856</v>
      </c>
      <c r="C859" s="20" t="s">
        <v>49</v>
      </c>
      <c r="D859" s="40">
        <v>44324</v>
      </c>
      <c r="E859" s="29" t="s">
        <v>27</v>
      </c>
      <c r="F859" s="25">
        <v>10</v>
      </c>
      <c r="G859" s="21">
        <v>15.5</v>
      </c>
      <c r="H859" s="21">
        <f t="shared" si="13"/>
        <v>155</v>
      </c>
      <c r="I859" s="29" t="s">
        <v>22</v>
      </c>
      <c r="J859" s="29" t="s">
        <v>19</v>
      </c>
      <c r="K859" s="19" t="s">
        <v>36</v>
      </c>
    </row>
    <row r="860" spans="2:11" ht="19.899999999999999" customHeight="1">
      <c r="B860" s="29">
        <v>2500857</v>
      </c>
      <c r="C860" s="20" t="s">
        <v>42</v>
      </c>
      <c r="D860" s="40">
        <v>44325</v>
      </c>
      <c r="E860" s="29" t="s">
        <v>12</v>
      </c>
      <c r="F860" s="25">
        <v>10</v>
      </c>
      <c r="G860" s="21">
        <v>32</v>
      </c>
      <c r="H860" s="21">
        <f t="shared" si="13"/>
        <v>320</v>
      </c>
      <c r="I860" s="29" t="s">
        <v>13</v>
      </c>
      <c r="J860" s="29" t="s">
        <v>14</v>
      </c>
      <c r="K860" s="19" t="s">
        <v>33</v>
      </c>
    </row>
    <row r="861" spans="2:11" ht="19.899999999999999" customHeight="1">
      <c r="B861" s="29">
        <v>2500858</v>
      </c>
      <c r="C861" s="20" t="s">
        <v>49</v>
      </c>
      <c r="D861" s="40">
        <v>44326</v>
      </c>
      <c r="E861" s="29" t="s">
        <v>24</v>
      </c>
      <c r="F861" s="25">
        <v>2</v>
      </c>
      <c r="G861" s="21">
        <v>25.5</v>
      </c>
      <c r="H861" s="21">
        <f t="shared" si="13"/>
        <v>51</v>
      </c>
      <c r="I861" s="29" t="s">
        <v>25</v>
      </c>
      <c r="J861" s="29" t="s">
        <v>23</v>
      </c>
      <c r="K861" s="19" t="s">
        <v>37</v>
      </c>
    </row>
    <row r="862" spans="2:11" ht="19.899999999999999" customHeight="1">
      <c r="B862" s="29">
        <v>2500859</v>
      </c>
      <c r="C862" s="20" t="s">
        <v>48</v>
      </c>
      <c r="D862" s="40">
        <v>44327</v>
      </c>
      <c r="E862" s="29" t="s">
        <v>12</v>
      </c>
      <c r="F862" s="25">
        <v>7</v>
      </c>
      <c r="G862" s="21">
        <v>32</v>
      </c>
      <c r="H862" s="21">
        <f t="shared" si="13"/>
        <v>224</v>
      </c>
      <c r="I862" s="29" t="s">
        <v>28</v>
      </c>
      <c r="J862" s="29" t="s">
        <v>30</v>
      </c>
      <c r="K862" s="19" t="s">
        <v>33</v>
      </c>
    </row>
    <row r="863" spans="2:11" ht="19.899999999999999" customHeight="1">
      <c r="B863" s="29">
        <v>2500860</v>
      </c>
      <c r="C863" s="20" t="s">
        <v>47</v>
      </c>
      <c r="D863" s="40">
        <v>44328</v>
      </c>
      <c r="E863" s="29" t="s">
        <v>27</v>
      </c>
      <c r="F863" s="25">
        <v>8</v>
      </c>
      <c r="G863" s="21">
        <v>15.5</v>
      </c>
      <c r="H863" s="21">
        <f t="shared" si="13"/>
        <v>124</v>
      </c>
      <c r="I863" s="29" t="s">
        <v>15</v>
      </c>
      <c r="J863" s="29" t="s">
        <v>16</v>
      </c>
      <c r="K863" s="19" t="s">
        <v>34</v>
      </c>
    </row>
    <row r="864" spans="2:11" ht="19.899999999999999" customHeight="1">
      <c r="B864" s="29">
        <v>2500861</v>
      </c>
      <c r="C864" s="20" t="s">
        <v>47</v>
      </c>
      <c r="D864" s="40">
        <v>44329</v>
      </c>
      <c r="E864" s="29" t="s">
        <v>24</v>
      </c>
      <c r="F864" s="25">
        <v>7</v>
      </c>
      <c r="G864" s="21">
        <v>25.5</v>
      </c>
      <c r="H864" s="21">
        <f t="shared" si="13"/>
        <v>178.5</v>
      </c>
      <c r="I864" s="29" t="s">
        <v>28</v>
      </c>
      <c r="J864" s="29" t="s">
        <v>30</v>
      </c>
      <c r="K864" s="19" t="s">
        <v>33</v>
      </c>
    </row>
    <row r="865" spans="2:11" ht="19.899999999999999" customHeight="1">
      <c r="B865" s="29">
        <v>2500862</v>
      </c>
      <c r="C865" s="20" t="s">
        <v>40</v>
      </c>
      <c r="D865" s="40">
        <v>44330</v>
      </c>
      <c r="E865" s="29" t="s">
        <v>27</v>
      </c>
      <c r="F865" s="25">
        <v>5</v>
      </c>
      <c r="G865" s="21">
        <v>15.5</v>
      </c>
      <c r="H865" s="21">
        <f t="shared" si="13"/>
        <v>77.5</v>
      </c>
      <c r="I865" s="29" t="s">
        <v>13</v>
      </c>
      <c r="J865" s="29" t="s">
        <v>14</v>
      </c>
      <c r="K865" s="19" t="s">
        <v>33</v>
      </c>
    </row>
    <row r="866" spans="2:11" ht="19.899999999999999" customHeight="1">
      <c r="B866" s="29">
        <v>2500863</v>
      </c>
      <c r="C866" s="20" t="s">
        <v>44</v>
      </c>
      <c r="D866" s="40">
        <v>44331</v>
      </c>
      <c r="E866" s="29" t="s">
        <v>9</v>
      </c>
      <c r="F866" s="25">
        <v>9</v>
      </c>
      <c r="G866" s="21">
        <v>18.5</v>
      </c>
      <c r="H866" s="21">
        <f t="shared" si="13"/>
        <v>166.5</v>
      </c>
      <c r="I866" s="29" t="s">
        <v>15</v>
      </c>
      <c r="J866" s="29" t="s">
        <v>16</v>
      </c>
      <c r="K866" s="19" t="s">
        <v>34</v>
      </c>
    </row>
    <row r="867" spans="2:11" ht="19.899999999999999" customHeight="1">
      <c r="B867" s="29">
        <v>2500864</v>
      </c>
      <c r="C867" s="20" t="s">
        <v>48</v>
      </c>
      <c r="D867" s="40">
        <v>44332</v>
      </c>
      <c r="E867" s="29" t="s">
        <v>9</v>
      </c>
      <c r="F867" s="25">
        <v>10</v>
      </c>
      <c r="G867" s="21">
        <v>18.5</v>
      </c>
      <c r="H867" s="21">
        <f t="shared" si="13"/>
        <v>185</v>
      </c>
      <c r="I867" s="29" t="s">
        <v>10</v>
      </c>
      <c r="J867" s="29" t="s">
        <v>11</v>
      </c>
      <c r="K867" s="19" t="s">
        <v>32</v>
      </c>
    </row>
    <row r="868" spans="2:11" ht="19.899999999999999" customHeight="1">
      <c r="B868" s="29">
        <v>2500865</v>
      </c>
      <c r="C868" s="20" t="s">
        <v>47</v>
      </c>
      <c r="D868" s="40">
        <v>44333</v>
      </c>
      <c r="E868" s="29" t="s">
        <v>9</v>
      </c>
      <c r="F868" s="25">
        <v>5</v>
      </c>
      <c r="G868" s="21">
        <v>18.5</v>
      </c>
      <c r="H868" s="21">
        <f t="shared" si="13"/>
        <v>92.5</v>
      </c>
      <c r="I868" s="29" t="s">
        <v>22</v>
      </c>
      <c r="J868" s="29" t="s">
        <v>19</v>
      </c>
      <c r="K868" s="19" t="s">
        <v>36</v>
      </c>
    </row>
    <row r="869" spans="2:11" ht="19.899999999999999" customHeight="1">
      <c r="B869" s="29">
        <v>2500866</v>
      </c>
      <c r="C869" s="20" t="s">
        <v>44</v>
      </c>
      <c r="D869" s="40">
        <v>44334</v>
      </c>
      <c r="E869" s="29" t="s">
        <v>20</v>
      </c>
      <c r="F869" s="25">
        <v>7</v>
      </c>
      <c r="G869" s="21">
        <v>36</v>
      </c>
      <c r="H869" s="21">
        <f t="shared" si="13"/>
        <v>252</v>
      </c>
      <c r="I869" s="29" t="s">
        <v>15</v>
      </c>
      <c r="J869" s="29" t="s">
        <v>16</v>
      </c>
      <c r="K869" s="19" t="s">
        <v>34</v>
      </c>
    </row>
    <row r="870" spans="2:11" ht="19.899999999999999" customHeight="1">
      <c r="B870" s="29">
        <v>2500867</v>
      </c>
      <c r="C870" s="20" t="s">
        <v>41</v>
      </c>
      <c r="D870" s="40">
        <v>44335</v>
      </c>
      <c r="E870" s="29" t="s">
        <v>20</v>
      </c>
      <c r="F870" s="25">
        <v>7</v>
      </c>
      <c r="G870" s="21">
        <v>36</v>
      </c>
      <c r="H870" s="21">
        <f t="shared" si="13"/>
        <v>252</v>
      </c>
      <c r="I870" s="29" t="s">
        <v>15</v>
      </c>
      <c r="J870" s="29" t="s">
        <v>16</v>
      </c>
      <c r="K870" s="19" t="s">
        <v>34</v>
      </c>
    </row>
    <row r="871" spans="2:11" ht="19.899999999999999" customHeight="1">
      <c r="B871" s="29">
        <v>2500868</v>
      </c>
      <c r="C871" s="20" t="s">
        <v>41</v>
      </c>
      <c r="D871" s="40">
        <v>44336</v>
      </c>
      <c r="E871" s="29" t="s">
        <v>9</v>
      </c>
      <c r="F871" s="25">
        <v>1</v>
      </c>
      <c r="G871" s="21">
        <v>18.5</v>
      </c>
      <c r="H871" s="21">
        <f t="shared" si="13"/>
        <v>18.5</v>
      </c>
      <c r="I871" s="29" t="s">
        <v>25</v>
      </c>
      <c r="J871" s="29" t="s">
        <v>23</v>
      </c>
      <c r="K871" s="19" t="s">
        <v>37</v>
      </c>
    </row>
    <row r="872" spans="2:11" ht="19.899999999999999" customHeight="1">
      <c r="B872" s="29">
        <v>2500869</v>
      </c>
      <c r="C872" s="20" t="s">
        <v>40</v>
      </c>
      <c r="D872" s="40">
        <v>44337</v>
      </c>
      <c r="E872" s="29" t="s">
        <v>12</v>
      </c>
      <c r="F872" s="25">
        <v>4</v>
      </c>
      <c r="G872" s="21">
        <v>32</v>
      </c>
      <c r="H872" s="21">
        <f t="shared" si="13"/>
        <v>128</v>
      </c>
      <c r="I872" s="29" t="s">
        <v>28</v>
      </c>
      <c r="J872" s="29" t="s">
        <v>30</v>
      </c>
      <c r="K872" s="19" t="s">
        <v>33</v>
      </c>
    </row>
    <row r="873" spans="2:11" ht="19.899999999999999" customHeight="1">
      <c r="B873" s="29">
        <v>2500870</v>
      </c>
      <c r="C873" s="20" t="s">
        <v>46</v>
      </c>
      <c r="D873" s="40">
        <v>44338</v>
      </c>
      <c r="E873" s="29" t="s">
        <v>21</v>
      </c>
      <c r="F873" s="25">
        <v>4</v>
      </c>
      <c r="G873" s="21">
        <v>48</v>
      </c>
      <c r="H873" s="21">
        <f t="shared" si="13"/>
        <v>192</v>
      </c>
      <c r="I873" s="29" t="s">
        <v>13</v>
      </c>
      <c r="J873" s="29" t="s">
        <v>14</v>
      </c>
      <c r="K873" s="19" t="s">
        <v>33</v>
      </c>
    </row>
    <row r="874" spans="2:11" ht="19.899999999999999" customHeight="1">
      <c r="B874" s="29">
        <v>2500871</v>
      </c>
      <c r="C874" s="20" t="s">
        <v>45</v>
      </c>
      <c r="D874" s="40">
        <v>44339</v>
      </c>
      <c r="E874" s="29" t="s">
        <v>20</v>
      </c>
      <c r="F874" s="25">
        <v>9</v>
      </c>
      <c r="G874" s="21">
        <v>36</v>
      </c>
      <c r="H874" s="21">
        <f t="shared" si="13"/>
        <v>324</v>
      </c>
      <c r="I874" s="29" t="s">
        <v>28</v>
      </c>
      <c r="J874" s="29" t="s">
        <v>30</v>
      </c>
      <c r="K874" s="19" t="s">
        <v>33</v>
      </c>
    </row>
    <row r="875" spans="2:11" ht="19.899999999999999" customHeight="1">
      <c r="B875" s="29">
        <v>2500872</v>
      </c>
      <c r="C875" s="20" t="s">
        <v>47</v>
      </c>
      <c r="D875" s="40">
        <v>44340</v>
      </c>
      <c r="E875" s="29" t="s">
        <v>20</v>
      </c>
      <c r="F875" s="25">
        <v>5</v>
      </c>
      <c r="G875" s="21">
        <v>36</v>
      </c>
      <c r="H875" s="21">
        <f t="shared" si="13"/>
        <v>180</v>
      </c>
      <c r="I875" s="29" t="s">
        <v>15</v>
      </c>
      <c r="J875" s="29" t="s">
        <v>16</v>
      </c>
      <c r="K875" s="19" t="s">
        <v>34</v>
      </c>
    </row>
    <row r="876" spans="2:11" ht="19.899999999999999" customHeight="1">
      <c r="B876" s="29">
        <v>2500873</v>
      </c>
      <c r="C876" s="20" t="s">
        <v>46</v>
      </c>
      <c r="D876" s="40">
        <v>44341</v>
      </c>
      <c r="E876" s="29" t="s">
        <v>9</v>
      </c>
      <c r="F876" s="25">
        <v>7</v>
      </c>
      <c r="G876" s="21">
        <v>18.5</v>
      </c>
      <c r="H876" s="21">
        <f t="shared" si="13"/>
        <v>129.5</v>
      </c>
      <c r="I876" s="29" t="s">
        <v>17</v>
      </c>
      <c r="J876" s="29" t="s">
        <v>18</v>
      </c>
      <c r="K876" s="19" t="s">
        <v>35</v>
      </c>
    </row>
    <row r="877" spans="2:11" ht="19.899999999999999" customHeight="1">
      <c r="B877" s="29">
        <v>2500874</v>
      </c>
      <c r="C877" s="20" t="s">
        <v>47</v>
      </c>
      <c r="D877" s="40">
        <v>44342</v>
      </c>
      <c r="E877" s="29" t="s">
        <v>20</v>
      </c>
      <c r="F877" s="25">
        <v>7</v>
      </c>
      <c r="G877" s="21">
        <v>36</v>
      </c>
      <c r="H877" s="21">
        <f t="shared" si="13"/>
        <v>252</v>
      </c>
      <c r="I877" s="29" t="s">
        <v>28</v>
      </c>
      <c r="J877" s="29" t="s">
        <v>30</v>
      </c>
      <c r="K877" s="19" t="s">
        <v>33</v>
      </c>
    </row>
    <row r="878" spans="2:11" ht="19.899999999999999" customHeight="1">
      <c r="B878" s="29">
        <v>2500875</v>
      </c>
      <c r="C878" s="20" t="s">
        <v>48</v>
      </c>
      <c r="D878" s="40">
        <v>44343</v>
      </c>
      <c r="E878" s="29" t="s">
        <v>9</v>
      </c>
      <c r="F878" s="25">
        <v>3</v>
      </c>
      <c r="G878" s="21">
        <v>18.5</v>
      </c>
      <c r="H878" s="21">
        <f t="shared" si="13"/>
        <v>55.5</v>
      </c>
      <c r="I878" s="29" t="s">
        <v>25</v>
      </c>
      <c r="J878" s="29" t="s">
        <v>23</v>
      </c>
      <c r="K878" s="19" t="s">
        <v>37</v>
      </c>
    </row>
    <row r="879" spans="2:11" ht="19.899999999999999" customHeight="1">
      <c r="B879" s="29">
        <v>2500876</v>
      </c>
      <c r="C879" s="20" t="s">
        <v>46</v>
      </c>
      <c r="D879" s="40">
        <v>44344</v>
      </c>
      <c r="E879" s="29" t="s">
        <v>9</v>
      </c>
      <c r="F879" s="25">
        <v>9</v>
      </c>
      <c r="G879" s="21">
        <v>18.5</v>
      </c>
      <c r="H879" s="21">
        <f t="shared" si="13"/>
        <v>166.5</v>
      </c>
      <c r="I879" s="29" t="s">
        <v>25</v>
      </c>
      <c r="J879" s="29" t="s">
        <v>23</v>
      </c>
      <c r="K879" s="19" t="s">
        <v>37</v>
      </c>
    </row>
    <row r="880" spans="2:11" ht="19.899999999999999" customHeight="1">
      <c r="B880" s="29">
        <v>2500877</v>
      </c>
      <c r="C880" s="20" t="s">
        <v>49</v>
      </c>
      <c r="D880" s="40">
        <v>44345</v>
      </c>
      <c r="E880" s="29" t="s">
        <v>20</v>
      </c>
      <c r="F880" s="25">
        <v>2</v>
      </c>
      <c r="G880" s="21">
        <v>36</v>
      </c>
      <c r="H880" s="21">
        <f t="shared" si="13"/>
        <v>72</v>
      </c>
      <c r="I880" s="29" t="s">
        <v>17</v>
      </c>
      <c r="J880" s="29" t="s">
        <v>18</v>
      </c>
      <c r="K880" s="19" t="s">
        <v>35</v>
      </c>
    </row>
    <row r="881" spans="2:11" ht="19.899999999999999" customHeight="1">
      <c r="B881" s="29">
        <v>2500878</v>
      </c>
      <c r="C881" s="20" t="s">
        <v>47</v>
      </c>
      <c r="D881" s="40">
        <v>44346</v>
      </c>
      <c r="E881" s="29" t="s">
        <v>24</v>
      </c>
      <c r="F881" s="25">
        <v>6</v>
      </c>
      <c r="G881" s="21">
        <v>25.5</v>
      </c>
      <c r="H881" s="21">
        <f t="shared" si="13"/>
        <v>153</v>
      </c>
      <c r="I881" s="29" t="s">
        <v>10</v>
      </c>
      <c r="J881" s="29" t="s">
        <v>11</v>
      </c>
      <c r="K881" s="19" t="s">
        <v>32</v>
      </c>
    </row>
    <row r="882" spans="2:11" ht="19.899999999999999" customHeight="1">
      <c r="B882" s="29">
        <v>2500879</v>
      </c>
      <c r="C882" s="20" t="s">
        <v>47</v>
      </c>
      <c r="D882" s="40">
        <v>44347</v>
      </c>
      <c r="E882" s="29" t="s">
        <v>21</v>
      </c>
      <c r="F882" s="25">
        <v>8</v>
      </c>
      <c r="G882" s="21">
        <v>48</v>
      </c>
      <c r="H882" s="21">
        <f t="shared" si="13"/>
        <v>384</v>
      </c>
      <c r="I882" s="29" t="s">
        <v>13</v>
      </c>
      <c r="J882" s="29" t="s">
        <v>14</v>
      </c>
      <c r="K882" s="19" t="s">
        <v>33</v>
      </c>
    </row>
    <row r="883" spans="2:11" ht="19.899999999999999" customHeight="1">
      <c r="B883" s="29">
        <v>2500880</v>
      </c>
      <c r="C883" s="20" t="s">
        <v>43</v>
      </c>
      <c r="D883" s="40">
        <v>44348</v>
      </c>
      <c r="E883" s="29" t="s">
        <v>20</v>
      </c>
      <c r="F883" s="25">
        <v>7</v>
      </c>
      <c r="G883" s="21">
        <v>36</v>
      </c>
      <c r="H883" s="21">
        <f t="shared" si="13"/>
        <v>252</v>
      </c>
      <c r="I883" s="29" t="s">
        <v>22</v>
      </c>
      <c r="J883" s="29" t="s">
        <v>19</v>
      </c>
      <c r="K883" s="19" t="s">
        <v>36</v>
      </c>
    </row>
    <row r="884" spans="2:11" ht="19.899999999999999" customHeight="1">
      <c r="B884" s="29">
        <v>2500881</v>
      </c>
      <c r="C884" s="20" t="s">
        <v>46</v>
      </c>
      <c r="D884" s="40">
        <v>44349</v>
      </c>
      <c r="E884" s="29" t="s">
        <v>21</v>
      </c>
      <c r="F884" s="25">
        <v>1</v>
      </c>
      <c r="G884" s="21">
        <v>48</v>
      </c>
      <c r="H884" s="21">
        <f t="shared" si="13"/>
        <v>48</v>
      </c>
      <c r="I884" s="29" t="s">
        <v>10</v>
      </c>
      <c r="J884" s="29" t="s">
        <v>11</v>
      </c>
      <c r="K884" s="19" t="s">
        <v>32</v>
      </c>
    </row>
    <row r="885" spans="2:11" ht="19.899999999999999" customHeight="1">
      <c r="B885" s="29">
        <v>2500882</v>
      </c>
      <c r="C885" s="20" t="s">
        <v>43</v>
      </c>
      <c r="D885" s="40">
        <v>44350</v>
      </c>
      <c r="E885" s="29" t="s">
        <v>9</v>
      </c>
      <c r="F885" s="25">
        <v>3</v>
      </c>
      <c r="G885" s="21">
        <v>18.5</v>
      </c>
      <c r="H885" s="21">
        <f t="shared" si="13"/>
        <v>55.5</v>
      </c>
      <c r="I885" s="29" t="s">
        <v>26</v>
      </c>
      <c r="J885" s="29" t="s">
        <v>29</v>
      </c>
      <c r="K885" s="19" t="s">
        <v>38</v>
      </c>
    </row>
    <row r="886" spans="2:11" ht="19.899999999999999" customHeight="1">
      <c r="B886" s="29">
        <v>2500883</v>
      </c>
      <c r="C886" s="20" t="s">
        <v>48</v>
      </c>
      <c r="D886" s="40">
        <v>44351</v>
      </c>
      <c r="E886" s="29" t="s">
        <v>27</v>
      </c>
      <c r="F886" s="25">
        <v>3</v>
      </c>
      <c r="G886" s="21">
        <v>15.5</v>
      </c>
      <c r="H886" s="21">
        <f t="shared" si="13"/>
        <v>46.5</v>
      </c>
      <c r="I886" s="29" t="s">
        <v>25</v>
      </c>
      <c r="J886" s="29" t="s">
        <v>23</v>
      </c>
      <c r="K886" s="19" t="s">
        <v>37</v>
      </c>
    </row>
    <row r="887" spans="2:11" ht="19.899999999999999" customHeight="1">
      <c r="B887" s="29">
        <v>2500884</v>
      </c>
      <c r="C887" s="20" t="s">
        <v>49</v>
      </c>
      <c r="D887" s="40">
        <v>44352</v>
      </c>
      <c r="E887" s="29" t="s">
        <v>12</v>
      </c>
      <c r="F887" s="25">
        <v>4</v>
      </c>
      <c r="G887" s="21">
        <v>32</v>
      </c>
      <c r="H887" s="21">
        <f t="shared" si="13"/>
        <v>128</v>
      </c>
      <c r="I887" s="29" t="s">
        <v>13</v>
      </c>
      <c r="J887" s="29" t="s">
        <v>14</v>
      </c>
      <c r="K887" s="19" t="s">
        <v>33</v>
      </c>
    </row>
    <row r="888" spans="2:11" ht="19.899999999999999" customHeight="1">
      <c r="B888" s="29">
        <v>2500885</v>
      </c>
      <c r="C888" s="20" t="s">
        <v>46</v>
      </c>
      <c r="D888" s="40">
        <v>44353</v>
      </c>
      <c r="E888" s="29" t="s">
        <v>27</v>
      </c>
      <c r="F888" s="25">
        <v>7</v>
      </c>
      <c r="G888" s="21">
        <v>15.5</v>
      </c>
      <c r="H888" s="21">
        <f t="shared" si="13"/>
        <v>108.5</v>
      </c>
      <c r="I888" s="29" t="s">
        <v>22</v>
      </c>
      <c r="J888" s="29" t="s">
        <v>19</v>
      </c>
      <c r="K888" s="19" t="s">
        <v>36</v>
      </c>
    </row>
    <row r="889" spans="2:11" ht="19.899999999999999" customHeight="1">
      <c r="B889" s="29">
        <v>2500886</v>
      </c>
      <c r="C889" s="20" t="s">
        <v>42</v>
      </c>
      <c r="D889" s="40">
        <v>44354</v>
      </c>
      <c r="E889" s="29" t="s">
        <v>20</v>
      </c>
      <c r="F889" s="25">
        <v>3</v>
      </c>
      <c r="G889" s="21">
        <v>36</v>
      </c>
      <c r="H889" s="21">
        <f t="shared" si="13"/>
        <v>108</v>
      </c>
      <c r="I889" s="29" t="s">
        <v>25</v>
      </c>
      <c r="J889" s="29" t="s">
        <v>23</v>
      </c>
      <c r="K889" s="19" t="s">
        <v>37</v>
      </c>
    </row>
    <row r="890" spans="2:11" ht="19.899999999999999" customHeight="1">
      <c r="B890" s="29">
        <v>2500887</v>
      </c>
      <c r="C890" s="20" t="s">
        <v>43</v>
      </c>
      <c r="D890" s="40">
        <v>44355</v>
      </c>
      <c r="E890" s="29" t="s">
        <v>9</v>
      </c>
      <c r="F890" s="25">
        <v>1</v>
      </c>
      <c r="G890" s="21">
        <v>18.5</v>
      </c>
      <c r="H890" s="21">
        <f t="shared" si="13"/>
        <v>18.5</v>
      </c>
      <c r="I890" s="29" t="s">
        <v>15</v>
      </c>
      <c r="J890" s="29" t="s">
        <v>16</v>
      </c>
      <c r="K890" s="19" t="s">
        <v>34</v>
      </c>
    </row>
    <row r="891" spans="2:11" ht="19.899999999999999" customHeight="1">
      <c r="B891" s="29">
        <v>2500888</v>
      </c>
      <c r="C891" s="20" t="s">
        <v>44</v>
      </c>
      <c r="D891" s="40">
        <v>44356</v>
      </c>
      <c r="E891" s="29" t="s">
        <v>12</v>
      </c>
      <c r="F891" s="25">
        <v>7</v>
      </c>
      <c r="G891" s="21">
        <v>32</v>
      </c>
      <c r="H891" s="21">
        <f t="shared" si="13"/>
        <v>224</v>
      </c>
      <c r="I891" s="29" t="s">
        <v>28</v>
      </c>
      <c r="J891" s="29" t="s">
        <v>30</v>
      </c>
      <c r="K891" s="19" t="s">
        <v>33</v>
      </c>
    </row>
    <row r="892" spans="2:11" ht="19.899999999999999" customHeight="1">
      <c r="B892" s="29">
        <v>2500889</v>
      </c>
      <c r="C892" s="20" t="s">
        <v>40</v>
      </c>
      <c r="D892" s="40">
        <v>44357</v>
      </c>
      <c r="E892" s="29" t="s">
        <v>24</v>
      </c>
      <c r="F892" s="25">
        <v>6</v>
      </c>
      <c r="G892" s="21">
        <v>25.5</v>
      </c>
      <c r="H892" s="21">
        <f t="shared" si="13"/>
        <v>153</v>
      </c>
      <c r="I892" s="29" t="s">
        <v>17</v>
      </c>
      <c r="J892" s="29" t="s">
        <v>18</v>
      </c>
      <c r="K892" s="19" t="s">
        <v>35</v>
      </c>
    </row>
    <row r="893" spans="2:11" ht="19.899999999999999" customHeight="1">
      <c r="B893" s="29">
        <v>2500890</v>
      </c>
      <c r="C893" s="20" t="s">
        <v>45</v>
      </c>
      <c r="D893" s="40">
        <v>44358</v>
      </c>
      <c r="E893" s="29" t="s">
        <v>12</v>
      </c>
      <c r="F893" s="25">
        <v>10</v>
      </c>
      <c r="G893" s="21">
        <v>32</v>
      </c>
      <c r="H893" s="21">
        <f t="shared" si="13"/>
        <v>320</v>
      </c>
      <c r="I893" s="29" t="s">
        <v>28</v>
      </c>
      <c r="J893" s="29" t="s">
        <v>30</v>
      </c>
      <c r="K893" s="19" t="s">
        <v>33</v>
      </c>
    </row>
    <row r="894" spans="2:11" ht="19.899999999999999" customHeight="1">
      <c r="B894" s="29">
        <v>2500891</v>
      </c>
      <c r="C894" s="20" t="s">
        <v>46</v>
      </c>
      <c r="D894" s="40">
        <v>44359</v>
      </c>
      <c r="E894" s="29" t="s">
        <v>12</v>
      </c>
      <c r="F894" s="25">
        <v>3</v>
      </c>
      <c r="G894" s="21">
        <v>32</v>
      </c>
      <c r="H894" s="21">
        <f t="shared" si="13"/>
        <v>96</v>
      </c>
      <c r="I894" s="29" t="s">
        <v>28</v>
      </c>
      <c r="J894" s="29" t="s">
        <v>30</v>
      </c>
      <c r="K894" s="19" t="s">
        <v>33</v>
      </c>
    </row>
    <row r="895" spans="2:11" ht="19.899999999999999" customHeight="1">
      <c r="B895" s="29">
        <v>2500892</v>
      </c>
      <c r="C895" s="20" t="s">
        <v>44</v>
      </c>
      <c r="D895" s="40">
        <v>44360</v>
      </c>
      <c r="E895" s="29" t="s">
        <v>12</v>
      </c>
      <c r="F895" s="25">
        <v>5</v>
      </c>
      <c r="G895" s="21">
        <v>32</v>
      </c>
      <c r="H895" s="21">
        <f t="shared" si="13"/>
        <v>160</v>
      </c>
      <c r="I895" s="29" t="s">
        <v>13</v>
      </c>
      <c r="J895" s="29" t="s">
        <v>14</v>
      </c>
      <c r="K895" s="19" t="s">
        <v>33</v>
      </c>
    </row>
    <row r="896" spans="2:11" ht="19.899999999999999" customHeight="1">
      <c r="B896" s="29">
        <v>2500893</v>
      </c>
      <c r="C896" s="20" t="s">
        <v>48</v>
      </c>
      <c r="D896" s="40">
        <v>44361</v>
      </c>
      <c r="E896" s="29" t="s">
        <v>21</v>
      </c>
      <c r="F896" s="25">
        <v>8</v>
      </c>
      <c r="G896" s="21">
        <v>48</v>
      </c>
      <c r="H896" s="21">
        <f t="shared" si="13"/>
        <v>384</v>
      </c>
      <c r="I896" s="29" t="s">
        <v>22</v>
      </c>
      <c r="J896" s="29" t="s">
        <v>19</v>
      </c>
      <c r="K896" s="19" t="s">
        <v>36</v>
      </c>
    </row>
    <row r="897" spans="2:11" ht="19.899999999999999" customHeight="1">
      <c r="B897" s="29">
        <v>2500894</v>
      </c>
      <c r="C897" s="20" t="s">
        <v>45</v>
      </c>
      <c r="D897" s="40">
        <v>44362</v>
      </c>
      <c r="E897" s="29" t="s">
        <v>21</v>
      </c>
      <c r="F897" s="25">
        <v>4</v>
      </c>
      <c r="G897" s="21">
        <v>48</v>
      </c>
      <c r="H897" s="21">
        <f t="shared" si="13"/>
        <v>192</v>
      </c>
      <c r="I897" s="29" t="s">
        <v>28</v>
      </c>
      <c r="J897" s="29" t="s">
        <v>30</v>
      </c>
      <c r="K897" s="19" t="s">
        <v>33</v>
      </c>
    </row>
    <row r="898" spans="2:11" ht="19.899999999999999" customHeight="1">
      <c r="B898" s="29">
        <v>2500895</v>
      </c>
      <c r="C898" s="20" t="s">
        <v>43</v>
      </c>
      <c r="D898" s="40">
        <v>44363</v>
      </c>
      <c r="E898" s="29" t="s">
        <v>20</v>
      </c>
      <c r="F898" s="25">
        <v>2</v>
      </c>
      <c r="G898" s="21">
        <v>36</v>
      </c>
      <c r="H898" s="21">
        <f t="shared" si="13"/>
        <v>72</v>
      </c>
      <c r="I898" s="29" t="s">
        <v>22</v>
      </c>
      <c r="J898" s="29" t="s">
        <v>19</v>
      </c>
      <c r="K898" s="19" t="s">
        <v>36</v>
      </c>
    </row>
    <row r="899" spans="2:11" ht="19.899999999999999" customHeight="1">
      <c r="B899" s="29">
        <v>2500896</v>
      </c>
      <c r="C899" s="20" t="s">
        <v>43</v>
      </c>
      <c r="D899" s="40">
        <v>44364</v>
      </c>
      <c r="E899" s="29" t="s">
        <v>27</v>
      </c>
      <c r="F899" s="25">
        <v>2</v>
      </c>
      <c r="G899" s="21">
        <v>15.5</v>
      </c>
      <c r="H899" s="21">
        <f t="shared" si="13"/>
        <v>31</v>
      </c>
      <c r="I899" s="29" t="s">
        <v>10</v>
      </c>
      <c r="J899" s="29" t="s">
        <v>11</v>
      </c>
      <c r="K899" s="19" t="s">
        <v>32</v>
      </c>
    </row>
    <row r="900" spans="2:11" ht="19.899999999999999" customHeight="1">
      <c r="B900" s="29">
        <v>2500897</v>
      </c>
      <c r="C900" s="20" t="s">
        <v>40</v>
      </c>
      <c r="D900" s="40">
        <v>44365</v>
      </c>
      <c r="E900" s="29" t="s">
        <v>12</v>
      </c>
      <c r="F900" s="25">
        <v>1</v>
      </c>
      <c r="G900" s="21">
        <v>32</v>
      </c>
      <c r="H900" s="21">
        <f t="shared" si="13"/>
        <v>32</v>
      </c>
      <c r="I900" s="29" t="s">
        <v>13</v>
      </c>
      <c r="J900" s="29" t="s">
        <v>14</v>
      </c>
      <c r="K900" s="19" t="s">
        <v>33</v>
      </c>
    </row>
    <row r="901" spans="2:11" ht="19.899999999999999" customHeight="1">
      <c r="B901" s="29">
        <v>2500898</v>
      </c>
      <c r="C901" s="20" t="s">
        <v>45</v>
      </c>
      <c r="D901" s="40">
        <v>44366</v>
      </c>
      <c r="E901" s="29" t="s">
        <v>27</v>
      </c>
      <c r="F901" s="25">
        <v>4</v>
      </c>
      <c r="G901" s="21">
        <v>15.5</v>
      </c>
      <c r="H901" s="21">
        <f t="shared" si="13"/>
        <v>62</v>
      </c>
      <c r="I901" s="29" t="s">
        <v>28</v>
      </c>
      <c r="J901" s="29" t="s">
        <v>30</v>
      </c>
      <c r="K901" s="19" t="s">
        <v>33</v>
      </c>
    </row>
    <row r="902" spans="2:11" ht="19.899999999999999" customHeight="1">
      <c r="B902" s="29">
        <v>2500899</v>
      </c>
      <c r="C902" s="20" t="s">
        <v>40</v>
      </c>
      <c r="D902" s="40">
        <v>44367</v>
      </c>
      <c r="E902" s="29" t="s">
        <v>27</v>
      </c>
      <c r="F902" s="25">
        <v>4</v>
      </c>
      <c r="G902" s="21">
        <v>15.5</v>
      </c>
      <c r="H902" s="21">
        <f t="shared" ref="H902:H965" si="14">+G902*F902</f>
        <v>62</v>
      </c>
      <c r="I902" s="29" t="s">
        <v>22</v>
      </c>
      <c r="J902" s="29" t="s">
        <v>19</v>
      </c>
      <c r="K902" s="19" t="s">
        <v>36</v>
      </c>
    </row>
    <row r="903" spans="2:11" ht="19.899999999999999" customHeight="1">
      <c r="B903" s="29">
        <v>2500900</v>
      </c>
      <c r="C903" s="20" t="s">
        <v>48</v>
      </c>
      <c r="D903" s="40">
        <v>44368</v>
      </c>
      <c r="E903" s="29" t="s">
        <v>9</v>
      </c>
      <c r="F903" s="25">
        <v>2</v>
      </c>
      <c r="G903" s="21">
        <v>18.5</v>
      </c>
      <c r="H903" s="21">
        <f t="shared" si="14"/>
        <v>37</v>
      </c>
      <c r="I903" s="29" t="s">
        <v>17</v>
      </c>
      <c r="J903" s="29" t="s">
        <v>18</v>
      </c>
      <c r="K903" s="19" t="s">
        <v>35</v>
      </c>
    </row>
    <row r="904" spans="2:11" ht="19.899999999999999" customHeight="1">
      <c r="B904" s="29">
        <v>2500901</v>
      </c>
      <c r="C904" s="20" t="s">
        <v>47</v>
      </c>
      <c r="D904" s="40">
        <v>44369</v>
      </c>
      <c r="E904" s="29" t="s">
        <v>24</v>
      </c>
      <c r="F904" s="25">
        <v>10</v>
      </c>
      <c r="G904" s="21">
        <v>25.5</v>
      </c>
      <c r="H904" s="21">
        <f t="shared" si="14"/>
        <v>255</v>
      </c>
      <c r="I904" s="29" t="s">
        <v>15</v>
      </c>
      <c r="J904" s="29" t="s">
        <v>16</v>
      </c>
      <c r="K904" s="19" t="s">
        <v>34</v>
      </c>
    </row>
    <row r="905" spans="2:11" ht="19.899999999999999" customHeight="1">
      <c r="B905" s="29">
        <v>2500902</v>
      </c>
      <c r="C905" s="20" t="s">
        <v>45</v>
      </c>
      <c r="D905" s="40">
        <v>44370</v>
      </c>
      <c r="E905" s="29" t="s">
        <v>21</v>
      </c>
      <c r="F905" s="25">
        <v>1</v>
      </c>
      <c r="G905" s="21">
        <v>48</v>
      </c>
      <c r="H905" s="21">
        <f t="shared" si="14"/>
        <v>48</v>
      </c>
      <c r="I905" s="29" t="s">
        <v>25</v>
      </c>
      <c r="J905" s="29" t="s">
        <v>23</v>
      </c>
      <c r="K905" s="19" t="s">
        <v>37</v>
      </c>
    </row>
    <row r="906" spans="2:11" ht="19.899999999999999" customHeight="1">
      <c r="B906" s="29">
        <v>2500903</v>
      </c>
      <c r="C906" s="20" t="s">
        <v>42</v>
      </c>
      <c r="D906" s="40">
        <v>44371</v>
      </c>
      <c r="E906" s="29" t="s">
        <v>21</v>
      </c>
      <c r="F906" s="25">
        <v>5</v>
      </c>
      <c r="G906" s="21">
        <v>48</v>
      </c>
      <c r="H906" s="21">
        <f t="shared" si="14"/>
        <v>240</v>
      </c>
      <c r="I906" s="29" t="s">
        <v>28</v>
      </c>
      <c r="J906" s="29" t="s">
        <v>30</v>
      </c>
      <c r="K906" s="19" t="s">
        <v>33</v>
      </c>
    </row>
    <row r="907" spans="2:11" ht="19.899999999999999" customHeight="1">
      <c r="B907" s="29">
        <v>2500904</v>
      </c>
      <c r="C907" s="20" t="s">
        <v>42</v>
      </c>
      <c r="D907" s="40">
        <v>44372</v>
      </c>
      <c r="E907" s="29" t="s">
        <v>9</v>
      </c>
      <c r="F907" s="25">
        <v>1</v>
      </c>
      <c r="G907" s="21">
        <v>18.5</v>
      </c>
      <c r="H907" s="21">
        <f t="shared" si="14"/>
        <v>18.5</v>
      </c>
      <c r="I907" s="29" t="s">
        <v>28</v>
      </c>
      <c r="J907" s="29" t="s">
        <v>30</v>
      </c>
      <c r="K907" s="19" t="s">
        <v>33</v>
      </c>
    </row>
    <row r="908" spans="2:11" ht="19.899999999999999" customHeight="1">
      <c r="B908" s="29">
        <v>2500905</v>
      </c>
      <c r="C908" s="20" t="s">
        <v>49</v>
      </c>
      <c r="D908" s="40">
        <v>44373</v>
      </c>
      <c r="E908" s="29" t="s">
        <v>24</v>
      </c>
      <c r="F908" s="25">
        <v>9</v>
      </c>
      <c r="G908" s="21">
        <v>25.5</v>
      </c>
      <c r="H908" s="21">
        <f t="shared" si="14"/>
        <v>229.5</v>
      </c>
      <c r="I908" s="29" t="s">
        <v>26</v>
      </c>
      <c r="J908" s="29" t="s">
        <v>29</v>
      </c>
      <c r="K908" s="19" t="s">
        <v>38</v>
      </c>
    </row>
    <row r="909" spans="2:11" ht="19.899999999999999" customHeight="1">
      <c r="B909" s="29">
        <v>2500906</v>
      </c>
      <c r="C909" s="20" t="s">
        <v>47</v>
      </c>
      <c r="D909" s="40">
        <v>44374</v>
      </c>
      <c r="E909" s="29" t="s">
        <v>21</v>
      </c>
      <c r="F909" s="25">
        <v>4</v>
      </c>
      <c r="G909" s="21">
        <v>48</v>
      </c>
      <c r="H909" s="21">
        <f t="shared" si="14"/>
        <v>192</v>
      </c>
      <c r="I909" s="29" t="s">
        <v>10</v>
      </c>
      <c r="J909" s="29" t="s">
        <v>11</v>
      </c>
      <c r="K909" s="19" t="s">
        <v>32</v>
      </c>
    </row>
    <row r="910" spans="2:11" ht="19.899999999999999" customHeight="1">
      <c r="B910" s="29">
        <v>2500907</v>
      </c>
      <c r="C910" s="20" t="s">
        <v>47</v>
      </c>
      <c r="D910" s="40">
        <v>44375</v>
      </c>
      <c r="E910" s="29" t="s">
        <v>24</v>
      </c>
      <c r="F910" s="25">
        <v>4</v>
      </c>
      <c r="G910" s="21">
        <v>25.5</v>
      </c>
      <c r="H910" s="21">
        <f t="shared" si="14"/>
        <v>102</v>
      </c>
      <c r="I910" s="29" t="s">
        <v>25</v>
      </c>
      <c r="J910" s="29" t="s">
        <v>23</v>
      </c>
      <c r="K910" s="19" t="s">
        <v>37</v>
      </c>
    </row>
    <row r="911" spans="2:11" ht="19.899999999999999" customHeight="1">
      <c r="B911" s="29">
        <v>2500908</v>
      </c>
      <c r="C911" s="20" t="s">
        <v>49</v>
      </c>
      <c r="D911" s="40">
        <v>44376</v>
      </c>
      <c r="E911" s="29" t="s">
        <v>27</v>
      </c>
      <c r="F911" s="25">
        <v>10</v>
      </c>
      <c r="G911" s="21">
        <v>15.5</v>
      </c>
      <c r="H911" s="21">
        <f t="shared" si="14"/>
        <v>155</v>
      </c>
      <c r="I911" s="29" t="s">
        <v>28</v>
      </c>
      <c r="J911" s="29" t="s">
        <v>30</v>
      </c>
      <c r="K911" s="19" t="s">
        <v>33</v>
      </c>
    </row>
    <row r="912" spans="2:11" ht="19.899999999999999" customHeight="1">
      <c r="B912" s="29">
        <v>2500909</v>
      </c>
      <c r="C912" s="20" t="s">
        <v>49</v>
      </c>
      <c r="D912" s="40">
        <v>44377</v>
      </c>
      <c r="E912" s="29" t="s">
        <v>27</v>
      </c>
      <c r="F912" s="25">
        <v>7</v>
      </c>
      <c r="G912" s="21">
        <v>15.5</v>
      </c>
      <c r="H912" s="21">
        <f t="shared" si="14"/>
        <v>108.5</v>
      </c>
      <c r="I912" s="29" t="s">
        <v>22</v>
      </c>
      <c r="J912" s="29" t="s">
        <v>19</v>
      </c>
      <c r="K912" s="19" t="s">
        <v>36</v>
      </c>
    </row>
    <row r="913" spans="2:11" ht="19.899999999999999" customHeight="1">
      <c r="B913" s="29">
        <v>2500910</v>
      </c>
      <c r="C913" s="20" t="s">
        <v>42</v>
      </c>
      <c r="D913" s="40">
        <v>44378</v>
      </c>
      <c r="E913" s="29" t="s">
        <v>21</v>
      </c>
      <c r="F913" s="25">
        <v>8</v>
      </c>
      <c r="G913" s="21">
        <v>48</v>
      </c>
      <c r="H913" s="21">
        <f t="shared" si="14"/>
        <v>384</v>
      </c>
      <c r="I913" s="29" t="s">
        <v>26</v>
      </c>
      <c r="J913" s="29" t="s">
        <v>29</v>
      </c>
      <c r="K913" s="19" t="s">
        <v>38</v>
      </c>
    </row>
    <row r="914" spans="2:11" ht="19.899999999999999" customHeight="1">
      <c r="B914" s="29">
        <v>2500911</v>
      </c>
      <c r="C914" s="20" t="s">
        <v>47</v>
      </c>
      <c r="D914" s="40">
        <v>44379</v>
      </c>
      <c r="E914" s="29" t="s">
        <v>24</v>
      </c>
      <c r="F914" s="25">
        <v>8</v>
      </c>
      <c r="G914" s="21">
        <v>25.5</v>
      </c>
      <c r="H914" s="21">
        <f t="shared" si="14"/>
        <v>204</v>
      </c>
      <c r="I914" s="29" t="s">
        <v>28</v>
      </c>
      <c r="J914" s="29" t="s">
        <v>30</v>
      </c>
      <c r="K914" s="19" t="s">
        <v>33</v>
      </c>
    </row>
    <row r="915" spans="2:11" ht="19.899999999999999" customHeight="1">
      <c r="B915" s="29">
        <v>2500912</v>
      </c>
      <c r="C915" s="20" t="s">
        <v>40</v>
      </c>
      <c r="D915" s="40">
        <v>44380</v>
      </c>
      <c r="E915" s="29" t="s">
        <v>24</v>
      </c>
      <c r="F915" s="25">
        <v>5</v>
      </c>
      <c r="G915" s="21">
        <v>25.5</v>
      </c>
      <c r="H915" s="21">
        <f t="shared" si="14"/>
        <v>127.5</v>
      </c>
      <c r="I915" s="29" t="s">
        <v>22</v>
      </c>
      <c r="J915" s="29" t="s">
        <v>19</v>
      </c>
      <c r="K915" s="19" t="s">
        <v>36</v>
      </c>
    </row>
    <row r="916" spans="2:11" ht="19.899999999999999" customHeight="1">
      <c r="B916" s="29">
        <v>2500913</v>
      </c>
      <c r="C916" s="20" t="s">
        <v>48</v>
      </c>
      <c r="D916" s="40">
        <v>44381</v>
      </c>
      <c r="E916" s="29" t="s">
        <v>9</v>
      </c>
      <c r="F916" s="25">
        <v>5</v>
      </c>
      <c r="G916" s="21">
        <v>18.5</v>
      </c>
      <c r="H916" s="21">
        <f t="shared" si="14"/>
        <v>92.5</v>
      </c>
      <c r="I916" s="29" t="s">
        <v>26</v>
      </c>
      <c r="J916" s="29" t="s">
        <v>29</v>
      </c>
      <c r="K916" s="19" t="s">
        <v>38</v>
      </c>
    </row>
    <row r="917" spans="2:11" ht="19.899999999999999" customHeight="1">
      <c r="B917" s="29">
        <v>2500914</v>
      </c>
      <c r="C917" s="20" t="s">
        <v>48</v>
      </c>
      <c r="D917" s="40">
        <v>44382</v>
      </c>
      <c r="E917" s="29" t="s">
        <v>9</v>
      </c>
      <c r="F917" s="25">
        <v>2</v>
      </c>
      <c r="G917" s="21">
        <v>18.5</v>
      </c>
      <c r="H917" s="21">
        <f t="shared" si="14"/>
        <v>37</v>
      </c>
      <c r="I917" s="29" t="s">
        <v>15</v>
      </c>
      <c r="J917" s="29" t="s">
        <v>16</v>
      </c>
      <c r="K917" s="19" t="s">
        <v>34</v>
      </c>
    </row>
    <row r="918" spans="2:11" ht="19.899999999999999" customHeight="1">
      <c r="B918" s="29">
        <v>2500915</v>
      </c>
      <c r="C918" s="20" t="s">
        <v>42</v>
      </c>
      <c r="D918" s="40">
        <v>44383</v>
      </c>
      <c r="E918" s="29" t="s">
        <v>12</v>
      </c>
      <c r="F918" s="25">
        <v>3</v>
      </c>
      <c r="G918" s="21">
        <v>32</v>
      </c>
      <c r="H918" s="21">
        <f t="shared" si="14"/>
        <v>96</v>
      </c>
      <c r="I918" s="29" t="s">
        <v>10</v>
      </c>
      <c r="J918" s="29" t="s">
        <v>11</v>
      </c>
      <c r="K918" s="19" t="s">
        <v>32</v>
      </c>
    </row>
    <row r="919" spans="2:11" ht="19.899999999999999" customHeight="1">
      <c r="B919" s="29">
        <v>2500916</v>
      </c>
      <c r="C919" s="20" t="s">
        <v>46</v>
      </c>
      <c r="D919" s="40">
        <v>44384</v>
      </c>
      <c r="E919" s="29" t="s">
        <v>24</v>
      </c>
      <c r="F919" s="25">
        <v>5</v>
      </c>
      <c r="G919" s="21">
        <v>25.5</v>
      </c>
      <c r="H919" s="21">
        <f t="shared" si="14"/>
        <v>127.5</v>
      </c>
      <c r="I919" s="29" t="s">
        <v>13</v>
      </c>
      <c r="J919" s="29" t="s">
        <v>14</v>
      </c>
      <c r="K919" s="19" t="s">
        <v>33</v>
      </c>
    </row>
    <row r="920" spans="2:11" ht="19.899999999999999" customHeight="1">
      <c r="B920" s="29">
        <v>2500917</v>
      </c>
      <c r="C920" s="20" t="s">
        <v>46</v>
      </c>
      <c r="D920" s="40">
        <v>44385</v>
      </c>
      <c r="E920" s="29" t="s">
        <v>21</v>
      </c>
      <c r="F920" s="25">
        <v>3</v>
      </c>
      <c r="G920" s="21">
        <v>48</v>
      </c>
      <c r="H920" s="21">
        <f t="shared" si="14"/>
        <v>144</v>
      </c>
      <c r="I920" s="29" t="s">
        <v>13</v>
      </c>
      <c r="J920" s="29" t="s">
        <v>14</v>
      </c>
      <c r="K920" s="19" t="s">
        <v>33</v>
      </c>
    </row>
    <row r="921" spans="2:11" ht="19.899999999999999" customHeight="1">
      <c r="B921" s="29">
        <v>2500918</v>
      </c>
      <c r="C921" s="20" t="s">
        <v>47</v>
      </c>
      <c r="D921" s="40">
        <v>44386</v>
      </c>
      <c r="E921" s="29" t="s">
        <v>27</v>
      </c>
      <c r="F921" s="25">
        <v>2</v>
      </c>
      <c r="G921" s="21">
        <v>15.5</v>
      </c>
      <c r="H921" s="21">
        <f t="shared" si="14"/>
        <v>31</v>
      </c>
      <c r="I921" s="29" t="s">
        <v>10</v>
      </c>
      <c r="J921" s="29" t="s">
        <v>11</v>
      </c>
      <c r="K921" s="19" t="s">
        <v>32</v>
      </c>
    </row>
    <row r="922" spans="2:11" ht="19.899999999999999" customHeight="1">
      <c r="B922" s="29">
        <v>2500919</v>
      </c>
      <c r="C922" s="20" t="s">
        <v>46</v>
      </c>
      <c r="D922" s="40">
        <v>44387</v>
      </c>
      <c r="E922" s="29" t="s">
        <v>12</v>
      </c>
      <c r="F922" s="25">
        <v>3</v>
      </c>
      <c r="G922" s="21">
        <v>32</v>
      </c>
      <c r="H922" s="21">
        <f t="shared" si="14"/>
        <v>96</v>
      </c>
      <c r="I922" s="29" t="s">
        <v>17</v>
      </c>
      <c r="J922" s="29" t="s">
        <v>18</v>
      </c>
      <c r="K922" s="19" t="s">
        <v>35</v>
      </c>
    </row>
    <row r="923" spans="2:11" ht="19.899999999999999" customHeight="1">
      <c r="B923" s="29">
        <v>2500920</v>
      </c>
      <c r="C923" s="20" t="s">
        <v>45</v>
      </c>
      <c r="D923" s="40">
        <v>44388</v>
      </c>
      <c r="E923" s="29" t="s">
        <v>12</v>
      </c>
      <c r="F923" s="25">
        <v>7</v>
      </c>
      <c r="G923" s="21">
        <v>32</v>
      </c>
      <c r="H923" s="21">
        <f t="shared" si="14"/>
        <v>224</v>
      </c>
      <c r="I923" s="29" t="s">
        <v>22</v>
      </c>
      <c r="J923" s="29" t="s">
        <v>19</v>
      </c>
      <c r="K923" s="19" t="s">
        <v>36</v>
      </c>
    </row>
    <row r="924" spans="2:11" ht="19.899999999999999" customHeight="1">
      <c r="B924" s="29">
        <v>2500921</v>
      </c>
      <c r="C924" s="20" t="s">
        <v>48</v>
      </c>
      <c r="D924" s="40">
        <v>44389</v>
      </c>
      <c r="E924" s="29" t="s">
        <v>9</v>
      </c>
      <c r="F924" s="25">
        <v>3</v>
      </c>
      <c r="G924" s="21">
        <v>18.5</v>
      </c>
      <c r="H924" s="21">
        <f t="shared" si="14"/>
        <v>55.5</v>
      </c>
      <c r="I924" s="29" t="s">
        <v>26</v>
      </c>
      <c r="J924" s="29" t="s">
        <v>29</v>
      </c>
      <c r="K924" s="19" t="s">
        <v>38</v>
      </c>
    </row>
    <row r="925" spans="2:11" ht="19.899999999999999" customHeight="1">
      <c r="B925" s="29">
        <v>2500922</v>
      </c>
      <c r="C925" s="20" t="s">
        <v>42</v>
      </c>
      <c r="D925" s="40">
        <v>44390</v>
      </c>
      <c r="E925" s="29" t="s">
        <v>27</v>
      </c>
      <c r="F925" s="25">
        <v>3</v>
      </c>
      <c r="G925" s="21">
        <v>15.5</v>
      </c>
      <c r="H925" s="21">
        <f t="shared" si="14"/>
        <v>46.5</v>
      </c>
      <c r="I925" s="29" t="s">
        <v>13</v>
      </c>
      <c r="J925" s="29" t="s">
        <v>14</v>
      </c>
      <c r="K925" s="19" t="s">
        <v>33</v>
      </c>
    </row>
    <row r="926" spans="2:11" ht="19.899999999999999" customHeight="1">
      <c r="B926" s="29">
        <v>2500923</v>
      </c>
      <c r="C926" s="20" t="s">
        <v>41</v>
      </c>
      <c r="D926" s="40">
        <v>44391</v>
      </c>
      <c r="E926" s="29" t="s">
        <v>9</v>
      </c>
      <c r="F926" s="25">
        <v>7</v>
      </c>
      <c r="G926" s="21">
        <v>18.5</v>
      </c>
      <c r="H926" s="21">
        <f t="shared" si="14"/>
        <v>129.5</v>
      </c>
      <c r="I926" s="29" t="s">
        <v>13</v>
      </c>
      <c r="J926" s="29" t="s">
        <v>14</v>
      </c>
      <c r="K926" s="19" t="s">
        <v>33</v>
      </c>
    </row>
    <row r="927" spans="2:11" ht="19.899999999999999" customHeight="1">
      <c r="B927" s="29">
        <v>2500924</v>
      </c>
      <c r="C927" s="20" t="s">
        <v>48</v>
      </c>
      <c r="D927" s="40">
        <v>44392</v>
      </c>
      <c r="E927" s="29" t="s">
        <v>24</v>
      </c>
      <c r="F927" s="25">
        <v>8</v>
      </c>
      <c r="G927" s="21">
        <v>25.5</v>
      </c>
      <c r="H927" s="21">
        <f t="shared" si="14"/>
        <v>204</v>
      </c>
      <c r="I927" s="29" t="s">
        <v>25</v>
      </c>
      <c r="J927" s="29" t="s">
        <v>23</v>
      </c>
      <c r="K927" s="19" t="s">
        <v>37</v>
      </c>
    </row>
    <row r="928" spans="2:11" ht="19.899999999999999" customHeight="1">
      <c r="B928" s="29">
        <v>2500925</v>
      </c>
      <c r="C928" s="20" t="s">
        <v>43</v>
      </c>
      <c r="D928" s="40">
        <v>44393</v>
      </c>
      <c r="E928" s="29" t="s">
        <v>12</v>
      </c>
      <c r="F928" s="25">
        <v>3</v>
      </c>
      <c r="G928" s="21">
        <v>32</v>
      </c>
      <c r="H928" s="21">
        <f t="shared" si="14"/>
        <v>96</v>
      </c>
      <c r="I928" s="29" t="s">
        <v>25</v>
      </c>
      <c r="J928" s="29" t="s">
        <v>23</v>
      </c>
      <c r="K928" s="19" t="s">
        <v>37</v>
      </c>
    </row>
    <row r="929" spans="2:11" ht="19.899999999999999" customHeight="1">
      <c r="B929" s="29">
        <v>2500926</v>
      </c>
      <c r="C929" s="20" t="s">
        <v>49</v>
      </c>
      <c r="D929" s="40">
        <v>44394</v>
      </c>
      <c r="E929" s="29" t="s">
        <v>27</v>
      </c>
      <c r="F929" s="25">
        <v>9</v>
      </c>
      <c r="G929" s="21">
        <v>15.5</v>
      </c>
      <c r="H929" s="21">
        <f t="shared" si="14"/>
        <v>139.5</v>
      </c>
      <c r="I929" s="29" t="s">
        <v>26</v>
      </c>
      <c r="J929" s="29" t="s">
        <v>29</v>
      </c>
      <c r="K929" s="19" t="s">
        <v>38</v>
      </c>
    </row>
    <row r="930" spans="2:11" ht="19.899999999999999" customHeight="1">
      <c r="B930" s="29">
        <v>2500927</v>
      </c>
      <c r="C930" s="20" t="s">
        <v>46</v>
      </c>
      <c r="D930" s="40">
        <v>44395</v>
      </c>
      <c r="E930" s="29" t="s">
        <v>21</v>
      </c>
      <c r="F930" s="25">
        <v>8</v>
      </c>
      <c r="G930" s="21">
        <v>48</v>
      </c>
      <c r="H930" s="21">
        <f t="shared" si="14"/>
        <v>384</v>
      </c>
      <c r="I930" s="29" t="s">
        <v>22</v>
      </c>
      <c r="J930" s="29" t="s">
        <v>19</v>
      </c>
      <c r="K930" s="19" t="s">
        <v>36</v>
      </c>
    </row>
    <row r="931" spans="2:11" ht="19.899999999999999" customHeight="1">
      <c r="B931" s="29">
        <v>2500928</v>
      </c>
      <c r="C931" s="20" t="s">
        <v>49</v>
      </c>
      <c r="D931" s="40">
        <v>44396</v>
      </c>
      <c r="E931" s="29" t="s">
        <v>27</v>
      </c>
      <c r="F931" s="25">
        <v>10</v>
      </c>
      <c r="G931" s="21">
        <v>15.5</v>
      </c>
      <c r="H931" s="21">
        <f t="shared" si="14"/>
        <v>155</v>
      </c>
      <c r="I931" s="29" t="s">
        <v>13</v>
      </c>
      <c r="J931" s="29" t="s">
        <v>14</v>
      </c>
      <c r="K931" s="19" t="s">
        <v>33</v>
      </c>
    </row>
    <row r="932" spans="2:11" ht="19.899999999999999" customHeight="1">
      <c r="B932" s="29">
        <v>2500929</v>
      </c>
      <c r="C932" s="20" t="s">
        <v>44</v>
      </c>
      <c r="D932" s="40">
        <v>44397</v>
      </c>
      <c r="E932" s="29" t="s">
        <v>24</v>
      </c>
      <c r="F932" s="25">
        <v>9</v>
      </c>
      <c r="G932" s="21">
        <v>25.5</v>
      </c>
      <c r="H932" s="21">
        <f t="shared" si="14"/>
        <v>229.5</v>
      </c>
      <c r="I932" s="29" t="s">
        <v>13</v>
      </c>
      <c r="J932" s="29" t="s">
        <v>14</v>
      </c>
      <c r="K932" s="19" t="s">
        <v>33</v>
      </c>
    </row>
    <row r="933" spans="2:11" ht="19.899999999999999" customHeight="1">
      <c r="B933" s="29">
        <v>2500930</v>
      </c>
      <c r="C933" s="20" t="s">
        <v>49</v>
      </c>
      <c r="D933" s="40">
        <v>44398</v>
      </c>
      <c r="E933" s="29" t="s">
        <v>27</v>
      </c>
      <c r="F933" s="25">
        <v>8</v>
      </c>
      <c r="G933" s="21">
        <v>15.5</v>
      </c>
      <c r="H933" s="21">
        <f t="shared" si="14"/>
        <v>124</v>
      </c>
      <c r="I933" s="29" t="s">
        <v>28</v>
      </c>
      <c r="J933" s="29" t="s">
        <v>30</v>
      </c>
      <c r="K933" s="19" t="s">
        <v>33</v>
      </c>
    </row>
    <row r="934" spans="2:11" ht="19.899999999999999" customHeight="1">
      <c r="B934" s="29">
        <v>2500931</v>
      </c>
      <c r="C934" s="20" t="s">
        <v>43</v>
      </c>
      <c r="D934" s="40">
        <v>44399</v>
      </c>
      <c r="E934" s="29" t="s">
        <v>24</v>
      </c>
      <c r="F934" s="25">
        <v>8</v>
      </c>
      <c r="G934" s="21">
        <v>25.5</v>
      </c>
      <c r="H934" s="21">
        <f t="shared" si="14"/>
        <v>204</v>
      </c>
      <c r="I934" s="29" t="s">
        <v>13</v>
      </c>
      <c r="J934" s="29" t="s">
        <v>14</v>
      </c>
      <c r="K934" s="19" t="s">
        <v>33</v>
      </c>
    </row>
    <row r="935" spans="2:11" ht="19.899999999999999" customHeight="1">
      <c r="B935" s="29">
        <v>2500932</v>
      </c>
      <c r="C935" s="20" t="s">
        <v>47</v>
      </c>
      <c r="D935" s="40">
        <v>44400</v>
      </c>
      <c r="E935" s="29" t="s">
        <v>24</v>
      </c>
      <c r="F935" s="25">
        <v>6</v>
      </c>
      <c r="G935" s="21">
        <v>25.5</v>
      </c>
      <c r="H935" s="21">
        <f t="shared" si="14"/>
        <v>153</v>
      </c>
      <c r="I935" s="29" t="s">
        <v>17</v>
      </c>
      <c r="J935" s="29" t="s">
        <v>18</v>
      </c>
      <c r="K935" s="19" t="s">
        <v>35</v>
      </c>
    </row>
    <row r="936" spans="2:11" ht="19.899999999999999" customHeight="1">
      <c r="B936" s="29">
        <v>2500933</v>
      </c>
      <c r="C936" s="20" t="s">
        <v>47</v>
      </c>
      <c r="D936" s="40">
        <v>44401</v>
      </c>
      <c r="E936" s="29" t="s">
        <v>24</v>
      </c>
      <c r="F936" s="25">
        <v>1</v>
      </c>
      <c r="G936" s="21">
        <v>25.5</v>
      </c>
      <c r="H936" s="21">
        <f t="shared" si="14"/>
        <v>25.5</v>
      </c>
      <c r="I936" s="29" t="s">
        <v>22</v>
      </c>
      <c r="J936" s="29" t="s">
        <v>19</v>
      </c>
      <c r="K936" s="19" t="s">
        <v>36</v>
      </c>
    </row>
    <row r="937" spans="2:11" ht="19.899999999999999" customHeight="1">
      <c r="B937" s="29">
        <v>2500934</v>
      </c>
      <c r="C937" s="20" t="s">
        <v>47</v>
      </c>
      <c r="D937" s="40">
        <v>44402</v>
      </c>
      <c r="E937" s="29" t="s">
        <v>24</v>
      </c>
      <c r="F937" s="25">
        <v>2</v>
      </c>
      <c r="G937" s="21">
        <v>25.5</v>
      </c>
      <c r="H937" s="21">
        <f t="shared" si="14"/>
        <v>51</v>
      </c>
      <c r="I937" s="29" t="s">
        <v>13</v>
      </c>
      <c r="J937" s="29" t="s">
        <v>14</v>
      </c>
      <c r="K937" s="19" t="s">
        <v>33</v>
      </c>
    </row>
    <row r="938" spans="2:11" ht="19.899999999999999" customHeight="1">
      <c r="B938" s="29">
        <v>2500935</v>
      </c>
      <c r="C938" s="20" t="s">
        <v>41</v>
      </c>
      <c r="D938" s="40">
        <v>44403</v>
      </c>
      <c r="E938" s="29" t="s">
        <v>27</v>
      </c>
      <c r="F938" s="25">
        <v>3</v>
      </c>
      <c r="G938" s="21">
        <v>15.5</v>
      </c>
      <c r="H938" s="21">
        <f t="shared" si="14"/>
        <v>46.5</v>
      </c>
      <c r="I938" s="29" t="s">
        <v>15</v>
      </c>
      <c r="J938" s="29" t="s">
        <v>16</v>
      </c>
      <c r="K938" s="19" t="s">
        <v>34</v>
      </c>
    </row>
    <row r="939" spans="2:11" ht="19.899999999999999" customHeight="1">
      <c r="B939" s="29">
        <v>2500936</v>
      </c>
      <c r="C939" s="20" t="s">
        <v>44</v>
      </c>
      <c r="D939" s="40">
        <v>44404</v>
      </c>
      <c r="E939" s="29" t="s">
        <v>27</v>
      </c>
      <c r="F939" s="25">
        <v>1</v>
      </c>
      <c r="G939" s="21">
        <v>15.5</v>
      </c>
      <c r="H939" s="21">
        <f t="shared" si="14"/>
        <v>15.5</v>
      </c>
      <c r="I939" s="29" t="s">
        <v>22</v>
      </c>
      <c r="J939" s="29" t="s">
        <v>19</v>
      </c>
      <c r="K939" s="19" t="s">
        <v>36</v>
      </c>
    </row>
    <row r="940" spans="2:11" ht="19.899999999999999" customHeight="1">
      <c r="B940" s="29">
        <v>2500937</v>
      </c>
      <c r="C940" s="20" t="s">
        <v>40</v>
      </c>
      <c r="D940" s="40">
        <v>44405</v>
      </c>
      <c r="E940" s="29" t="s">
        <v>24</v>
      </c>
      <c r="F940" s="25">
        <v>5</v>
      </c>
      <c r="G940" s="21">
        <v>25.5</v>
      </c>
      <c r="H940" s="21">
        <f t="shared" si="14"/>
        <v>127.5</v>
      </c>
      <c r="I940" s="29" t="s">
        <v>10</v>
      </c>
      <c r="J940" s="29" t="s">
        <v>11</v>
      </c>
      <c r="K940" s="19" t="s">
        <v>32</v>
      </c>
    </row>
    <row r="941" spans="2:11" ht="19.899999999999999" customHeight="1">
      <c r="B941" s="29">
        <v>2500938</v>
      </c>
      <c r="C941" s="20" t="s">
        <v>43</v>
      </c>
      <c r="D941" s="40">
        <v>44406</v>
      </c>
      <c r="E941" s="29" t="s">
        <v>21</v>
      </c>
      <c r="F941" s="25">
        <v>4</v>
      </c>
      <c r="G941" s="21">
        <v>48</v>
      </c>
      <c r="H941" s="21">
        <f t="shared" si="14"/>
        <v>192</v>
      </c>
      <c r="I941" s="29" t="s">
        <v>28</v>
      </c>
      <c r="J941" s="29" t="s">
        <v>30</v>
      </c>
      <c r="K941" s="19" t="s">
        <v>33</v>
      </c>
    </row>
    <row r="942" spans="2:11" ht="19.899999999999999" customHeight="1">
      <c r="B942" s="29">
        <v>2500939</v>
      </c>
      <c r="C942" s="20" t="s">
        <v>43</v>
      </c>
      <c r="D942" s="40">
        <v>44407</v>
      </c>
      <c r="E942" s="29" t="s">
        <v>9</v>
      </c>
      <c r="F942" s="25">
        <v>3</v>
      </c>
      <c r="G942" s="21">
        <v>18.5</v>
      </c>
      <c r="H942" s="21">
        <f t="shared" si="14"/>
        <v>55.5</v>
      </c>
      <c r="I942" s="29" t="s">
        <v>17</v>
      </c>
      <c r="J942" s="29" t="s">
        <v>18</v>
      </c>
      <c r="K942" s="19" t="s">
        <v>35</v>
      </c>
    </row>
    <row r="943" spans="2:11" ht="19.899999999999999" customHeight="1">
      <c r="B943" s="29">
        <v>2500940</v>
      </c>
      <c r="C943" s="20" t="s">
        <v>42</v>
      </c>
      <c r="D943" s="40">
        <v>44408</v>
      </c>
      <c r="E943" s="29" t="s">
        <v>24</v>
      </c>
      <c r="F943" s="25">
        <v>7</v>
      </c>
      <c r="G943" s="21">
        <v>25.5</v>
      </c>
      <c r="H943" s="21">
        <f t="shared" si="14"/>
        <v>178.5</v>
      </c>
      <c r="I943" s="29" t="s">
        <v>28</v>
      </c>
      <c r="J943" s="29" t="s">
        <v>30</v>
      </c>
      <c r="K943" s="19" t="s">
        <v>33</v>
      </c>
    </row>
    <row r="944" spans="2:11" ht="19.899999999999999" customHeight="1">
      <c r="B944" s="29">
        <v>2500941</v>
      </c>
      <c r="C944" s="20" t="s">
        <v>42</v>
      </c>
      <c r="D944" s="40">
        <v>44409</v>
      </c>
      <c r="E944" s="29" t="s">
        <v>24</v>
      </c>
      <c r="F944" s="25">
        <v>6</v>
      </c>
      <c r="G944" s="21">
        <v>25.5</v>
      </c>
      <c r="H944" s="21">
        <f t="shared" si="14"/>
        <v>153</v>
      </c>
      <c r="I944" s="29" t="s">
        <v>10</v>
      </c>
      <c r="J944" s="29" t="s">
        <v>11</v>
      </c>
      <c r="K944" s="19" t="s">
        <v>32</v>
      </c>
    </row>
    <row r="945" spans="2:11" ht="19.899999999999999" customHeight="1">
      <c r="B945" s="29">
        <v>2500942</v>
      </c>
      <c r="C945" s="20" t="s">
        <v>43</v>
      </c>
      <c r="D945" s="40">
        <v>44410</v>
      </c>
      <c r="E945" s="29" t="s">
        <v>24</v>
      </c>
      <c r="F945" s="25">
        <v>3</v>
      </c>
      <c r="G945" s="21">
        <v>25.5</v>
      </c>
      <c r="H945" s="21">
        <f t="shared" si="14"/>
        <v>76.5</v>
      </c>
      <c r="I945" s="29" t="s">
        <v>25</v>
      </c>
      <c r="J945" s="29" t="s">
        <v>23</v>
      </c>
      <c r="K945" s="19" t="s">
        <v>37</v>
      </c>
    </row>
    <row r="946" spans="2:11" ht="19.899999999999999" customHeight="1">
      <c r="B946" s="29">
        <v>2500943</v>
      </c>
      <c r="C946" s="20" t="s">
        <v>40</v>
      </c>
      <c r="D946" s="40">
        <v>44411</v>
      </c>
      <c r="E946" s="29" t="s">
        <v>24</v>
      </c>
      <c r="F946" s="25">
        <v>6</v>
      </c>
      <c r="G946" s="21">
        <v>25.5</v>
      </c>
      <c r="H946" s="21">
        <f t="shared" si="14"/>
        <v>153</v>
      </c>
      <c r="I946" s="29" t="s">
        <v>15</v>
      </c>
      <c r="J946" s="29" t="s">
        <v>16</v>
      </c>
      <c r="K946" s="19" t="s">
        <v>34</v>
      </c>
    </row>
    <row r="947" spans="2:11" ht="19.899999999999999" customHeight="1">
      <c r="B947" s="29">
        <v>2500944</v>
      </c>
      <c r="C947" s="20" t="s">
        <v>43</v>
      </c>
      <c r="D947" s="40">
        <v>44412</v>
      </c>
      <c r="E947" s="29" t="s">
        <v>9</v>
      </c>
      <c r="F947" s="25">
        <v>10</v>
      </c>
      <c r="G947" s="21">
        <v>18.5</v>
      </c>
      <c r="H947" s="21">
        <f t="shared" si="14"/>
        <v>185</v>
      </c>
      <c r="I947" s="29" t="s">
        <v>17</v>
      </c>
      <c r="J947" s="29" t="s">
        <v>18</v>
      </c>
      <c r="K947" s="19" t="s">
        <v>35</v>
      </c>
    </row>
    <row r="948" spans="2:11" ht="19.899999999999999" customHeight="1">
      <c r="B948" s="29">
        <v>2500945</v>
      </c>
      <c r="C948" s="20" t="s">
        <v>40</v>
      </c>
      <c r="D948" s="40">
        <v>44413</v>
      </c>
      <c r="E948" s="29" t="s">
        <v>20</v>
      </c>
      <c r="F948" s="25">
        <v>6</v>
      </c>
      <c r="G948" s="21">
        <v>36</v>
      </c>
      <c r="H948" s="21">
        <f t="shared" si="14"/>
        <v>216</v>
      </c>
      <c r="I948" s="29" t="s">
        <v>17</v>
      </c>
      <c r="J948" s="29" t="s">
        <v>18</v>
      </c>
      <c r="K948" s="19" t="s">
        <v>35</v>
      </c>
    </row>
    <row r="949" spans="2:11" ht="19.899999999999999" customHeight="1">
      <c r="B949" s="29">
        <v>2500946</v>
      </c>
      <c r="C949" s="20" t="s">
        <v>40</v>
      </c>
      <c r="D949" s="40">
        <v>44414</v>
      </c>
      <c r="E949" s="29" t="s">
        <v>27</v>
      </c>
      <c r="F949" s="25">
        <v>3</v>
      </c>
      <c r="G949" s="21">
        <v>15.5</v>
      </c>
      <c r="H949" s="21">
        <f t="shared" si="14"/>
        <v>46.5</v>
      </c>
      <c r="I949" s="29" t="s">
        <v>17</v>
      </c>
      <c r="J949" s="29" t="s">
        <v>18</v>
      </c>
      <c r="K949" s="19" t="s">
        <v>35</v>
      </c>
    </row>
    <row r="950" spans="2:11" ht="19.899999999999999" customHeight="1">
      <c r="B950" s="29">
        <v>2500947</v>
      </c>
      <c r="C950" s="20" t="s">
        <v>43</v>
      </c>
      <c r="D950" s="40">
        <v>44415</v>
      </c>
      <c r="E950" s="29" t="s">
        <v>12</v>
      </c>
      <c r="F950" s="25">
        <v>10</v>
      </c>
      <c r="G950" s="21">
        <v>32</v>
      </c>
      <c r="H950" s="21">
        <f t="shared" si="14"/>
        <v>320</v>
      </c>
      <c r="I950" s="29" t="s">
        <v>10</v>
      </c>
      <c r="J950" s="29" t="s">
        <v>11</v>
      </c>
      <c r="K950" s="19" t="s">
        <v>32</v>
      </c>
    </row>
    <row r="951" spans="2:11" ht="19.899999999999999" customHeight="1">
      <c r="B951" s="29">
        <v>2500948</v>
      </c>
      <c r="C951" s="20" t="s">
        <v>43</v>
      </c>
      <c r="D951" s="40">
        <v>44416</v>
      </c>
      <c r="E951" s="29" t="s">
        <v>9</v>
      </c>
      <c r="F951" s="25">
        <v>5</v>
      </c>
      <c r="G951" s="21">
        <v>18.5</v>
      </c>
      <c r="H951" s="21">
        <f t="shared" si="14"/>
        <v>92.5</v>
      </c>
      <c r="I951" s="29" t="s">
        <v>26</v>
      </c>
      <c r="J951" s="29" t="s">
        <v>29</v>
      </c>
      <c r="K951" s="19" t="s">
        <v>38</v>
      </c>
    </row>
    <row r="952" spans="2:11" ht="19.899999999999999" customHeight="1">
      <c r="B952" s="29">
        <v>2500949</v>
      </c>
      <c r="C952" s="20" t="s">
        <v>43</v>
      </c>
      <c r="D952" s="40">
        <v>44417</v>
      </c>
      <c r="E952" s="29" t="s">
        <v>24</v>
      </c>
      <c r="F952" s="25">
        <v>4</v>
      </c>
      <c r="G952" s="21">
        <v>25.5</v>
      </c>
      <c r="H952" s="21">
        <f t="shared" si="14"/>
        <v>102</v>
      </c>
      <c r="I952" s="29" t="s">
        <v>26</v>
      </c>
      <c r="J952" s="29" t="s">
        <v>29</v>
      </c>
      <c r="K952" s="19" t="s">
        <v>38</v>
      </c>
    </row>
    <row r="953" spans="2:11" ht="19.899999999999999" customHeight="1">
      <c r="B953" s="29">
        <v>2500950</v>
      </c>
      <c r="C953" s="20" t="s">
        <v>42</v>
      </c>
      <c r="D953" s="40">
        <v>44418</v>
      </c>
      <c r="E953" s="29" t="s">
        <v>27</v>
      </c>
      <c r="F953" s="25">
        <v>10</v>
      </c>
      <c r="G953" s="21">
        <v>15.5</v>
      </c>
      <c r="H953" s="21">
        <f t="shared" si="14"/>
        <v>155</v>
      </c>
      <c r="I953" s="29" t="s">
        <v>17</v>
      </c>
      <c r="J953" s="29" t="s">
        <v>18</v>
      </c>
      <c r="K953" s="19" t="s">
        <v>35</v>
      </c>
    </row>
    <row r="954" spans="2:11" ht="19.899999999999999" customHeight="1">
      <c r="B954" s="29">
        <v>2500951</v>
      </c>
      <c r="C954" s="20" t="s">
        <v>48</v>
      </c>
      <c r="D954" s="40">
        <v>44419</v>
      </c>
      <c r="E954" s="29" t="s">
        <v>20</v>
      </c>
      <c r="F954" s="25">
        <v>5</v>
      </c>
      <c r="G954" s="21">
        <v>36</v>
      </c>
      <c r="H954" s="21">
        <f t="shared" si="14"/>
        <v>180</v>
      </c>
      <c r="I954" s="29" t="s">
        <v>22</v>
      </c>
      <c r="J954" s="29" t="s">
        <v>19</v>
      </c>
      <c r="K954" s="19" t="s">
        <v>36</v>
      </c>
    </row>
    <row r="955" spans="2:11" ht="19.899999999999999" customHeight="1">
      <c r="B955" s="29">
        <v>2500952</v>
      </c>
      <c r="C955" s="20" t="s">
        <v>41</v>
      </c>
      <c r="D955" s="40">
        <v>44420</v>
      </c>
      <c r="E955" s="29" t="s">
        <v>21</v>
      </c>
      <c r="F955" s="25">
        <v>9</v>
      </c>
      <c r="G955" s="21">
        <v>48</v>
      </c>
      <c r="H955" s="21">
        <f t="shared" si="14"/>
        <v>432</v>
      </c>
      <c r="I955" s="29" t="s">
        <v>22</v>
      </c>
      <c r="J955" s="29" t="s">
        <v>19</v>
      </c>
      <c r="K955" s="19" t="s">
        <v>36</v>
      </c>
    </row>
    <row r="956" spans="2:11" ht="19.899999999999999" customHeight="1">
      <c r="B956" s="29">
        <v>2500953</v>
      </c>
      <c r="C956" s="20" t="s">
        <v>47</v>
      </c>
      <c r="D956" s="40">
        <v>44421</v>
      </c>
      <c r="E956" s="29" t="s">
        <v>21</v>
      </c>
      <c r="F956" s="25">
        <v>4</v>
      </c>
      <c r="G956" s="21">
        <v>48</v>
      </c>
      <c r="H956" s="21">
        <f t="shared" si="14"/>
        <v>192</v>
      </c>
      <c r="I956" s="29" t="s">
        <v>25</v>
      </c>
      <c r="J956" s="29" t="s">
        <v>23</v>
      </c>
      <c r="K956" s="19" t="s">
        <v>37</v>
      </c>
    </row>
    <row r="957" spans="2:11" ht="19.899999999999999" customHeight="1">
      <c r="B957" s="29">
        <v>2500954</v>
      </c>
      <c r="C957" s="20" t="s">
        <v>44</v>
      </c>
      <c r="D957" s="40">
        <v>44422</v>
      </c>
      <c r="E957" s="29" t="s">
        <v>12</v>
      </c>
      <c r="F957" s="25">
        <v>7</v>
      </c>
      <c r="G957" s="21">
        <v>32</v>
      </c>
      <c r="H957" s="21">
        <f t="shared" si="14"/>
        <v>224</v>
      </c>
      <c r="I957" s="29" t="s">
        <v>22</v>
      </c>
      <c r="J957" s="29" t="s">
        <v>19</v>
      </c>
      <c r="K957" s="19" t="s">
        <v>36</v>
      </c>
    </row>
    <row r="958" spans="2:11" ht="19.899999999999999" customHeight="1">
      <c r="B958" s="29">
        <v>2500955</v>
      </c>
      <c r="C958" s="20" t="s">
        <v>40</v>
      </c>
      <c r="D958" s="40">
        <v>44423</v>
      </c>
      <c r="E958" s="29" t="s">
        <v>12</v>
      </c>
      <c r="F958" s="25">
        <v>8</v>
      </c>
      <c r="G958" s="21">
        <v>32</v>
      </c>
      <c r="H958" s="21">
        <f t="shared" si="14"/>
        <v>256</v>
      </c>
      <c r="I958" s="29" t="s">
        <v>25</v>
      </c>
      <c r="J958" s="29" t="s">
        <v>23</v>
      </c>
      <c r="K958" s="19" t="s">
        <v>37</v>
      </c>
    </row>
    <row r="959" spans="2:11" ht="19.899999999999999" customHeight="1">
      <c r="B959" s="29">
        <v>2500956</v>
      </c>
      <c r="C959" s="20" t="s">
        <v>44</v>
      </c>
      <c r="D959" s="40">
        <v>44424</v>
      </c>
      <c r="E959" s="29" t="s">
        <v>12</v>
      </c>
      <c r="F959" s="25">
        <v>5</v>
      </c>
      <c r="G959" s="21">
        <v>32</v>
      </c>
      <c r="H959" s="21">
        <f t="shared" si="14"/>
        <v>160</v>
      </c>
      <c r="I959" s="29" t="s">
        <v>22</v>
      </c>
      <c r="J959" s="29" t="s">
        <v>19</v>
      </c>
      <c r="K959" s="19" t="s">
        <v>36</v>
      </c>
    </row>
    <row r="960" spans="2:11" ht="19.899999999999999" customHeight="1">
      <c r="B960" s="29">
        <v>2500957</v>
      </c>
      <c r="C960" s="20" t="s">
        <v>45</v>
      </c>
      <c r="D960" s="40">
        <v>44425</v>
      </c>
      <c r="E960" s="29" t="s">
        <v>27</v>
      </c>
      <c r="F960" s="25">
        <v>5</v>
      </c>
      <c r="G960" s="21">
        <v>15.5</v>
      </c>
      <c r="H960" s="21">
        <f t="shared" si="14"/>
        <v>77.5</v>
      </c>
      <c r="I960" s="29" t="s">
        <v>26</v>
      </c>
      <c r="J960" s="29" t="s">
        <v>29</v>
      </c>
      <c r="K960" s="19" t="s">
        <v>38</v>
      </c>
    </row>
    <row r="961" spans="2:11" ht="19.899999999999999" customHeight="1">
      <c r="B961" s="29">
        <v>2500958</v>
      </c>
      <c r="C961" s="20" t="s">
        <v>46</v>
      </c>
      <c r="D961" s="40">
        <v>44426</v>
      </c>
      <c r="E961" s="29" t="s">
        <v>20</v>
      </c>
      <c r="F961" s="25">
        <v>7</v>
      </c>
      <c r="G961" s="21">
        <v>36</v>
      </c>
      <c r="H961" s="21">
        <f t="shared" si="14"/>
        <v>252</v>
      </c>
      <c r="I961" s="29" t="s">
        <v>17</v>
      </c>
      <c r="J961" s="29" t="s">
        <v>18</v>
      </c>
      <c r="K961" s="19" t="s">
        <v>35</v>
      </c>
    </row>
    <row r="962" spans="2:11" ht="19.899999999999999" customHeight="1">
      <c r="B962" s="29">
        <v>2500959</v>
      </c>
      <c r="C962" s="20" t="s">
        <v>43</v>
      </c>
      <c r="D962" s="40">
        <v>44427</v>
      </c>
      <c r="E962" s="29" t="s">
        <v>24</v>
      </c>
      <c r="F962" s="25">
        <v>10</v>
      </c>
      <c r="G962" s="21">
        <v>25.5</v>
      </c>
      <c r="H962" s="21">
        <f t="shared" si="14"/>
        <v>255</v>
      </c>
      <c r="I962" s="29" t="s">
        <v>15</v>
      </c>
      <c r="J962" s="29" t="s">
        <v>16</v>
      </c>
      <c r="K962" s="19" t="s">
        <v>34</v>
      </c>
    </row>
    <row r="963" spans="2:11" ht="19.899999999999999" customHeight="1">
      <c r="B963" s="29">
        <v>2500960</v>
      </c>
      <c r="C963" s="20" t="s">
        <v>46</v>
      </c>
      <c r="D963" s="40">
        <v>44428</v>
      </c>
      <c r="E963" s="29" t="s">
        <v>20</v>
      </c>
      <c r="F963" s="25">
        <v>7</v>
      </c>
      <c r="G963" s="21">
        <v>36</v>
      </c>
      <c r="H963" s="21">
        <f t="shared" si="14"/>
        <v>252</v>
      </c>
      <c r="I963" s="29" t="s">
        <v>17</v>
      </c>
      <c r="J963" s="29" t="s">
        <v>18</v>
      </c>
      <c r="K963" s="19" t="s">
        <v>35</v>
      </c>
    </row>
    <row r="964" spans="2:11" ht="19.899999999999999" customHeight="1">
      <c r="B964" s="29">
        <v>2500961</v>
      </c>
      <c r="C964" s="20" t="s">
        <v>41</v>
      </c>
      <c r="D964" s="40">
        <v>44429</v>
      </c>
      <c r="E964" s="29" t="s">
        <v>27</v>
      </c>
      <c r="F964" s="25">
        <v>9</v>
      </c>
      <c r="G964" s="21">
        <v>15.5</v>
      </c>
      <c r="H964" s="21">
        <f t="shared" si="14"/>
        <v>139.5</v>
      </c>
      <c r="I964" s="29" t="s">
        <v>17</v>
      </c>
      <c r="J964" s="29" t="s">
        <v>18</v>
      </c>
      <c r="K964" s="19" t="s">
        <v>35</v>
      </c>
    </row>
    <row r="965" spans="2:11" ht="19.899999999999999" customHeight="1">
      <c r="B965" s="29">
        <v>2500962</v>
      </c>
      <c r="C965" s="20" t="s">
        <v>41</v>
      </c>
      <c r="D965" s="40">
        <v>44430</v>
      </c>
      <c r="E965" s="29" t="s">
        <v>21</v>
      </c>
      <c r="F965" s="25">
        <v>7</v>
      </c>
      <c r="G965" s="21">
        <v>48</v>
      </c>
      <c r="H965" s="21">
        <f t="shared" si="14"/>
        <v>336</v>
      </c>
      <c r="I965" s="29" t="s">
        <v>10</v>
      </c>
      <c r="J965" s="29" t="s">
        <v>11</v>
      </c>
      <c r="K965" s="19" t="s">
        <v>32</v>
      </c>
    </row>
    <row r="966" spans="2:11" ht="19.899999999999999" customHeight="1">
      <c r="B966" s="29">
        <v>2500963</v>
      </c>
      <c r="C966" s="20" t="s">
        <v>40</v>
      </c>
      <c r="D966" s="40">
        <v>44431</v>
      </c>
      <c r="E966" s="29" t="s">
        <v>9</v>
      </c>
      <c r="F966" s="25">
        <v>2</v>
      </c>
      <c r="G966" s="21">
        <v>18.5</v>
      </c>
      <c r="H966" s="21">
        <f t="shared" ref="H966:H1029" si="15">+G966*F966</f>
        <v>37</v>
      </c>
      <c r="I966" s="29" t="s">
        <v>17</v>
      </c>
      <c r="J966" s="29" t="s">
        <v>18</v>
      </c>
      <c r="K966" s="19" t="s">
        <v>35</v>
      </c>
    </row>
    <row r="967" spans="2:11" ht="19.899999999999999" customHeight="1">
      <c r="B967" s="29">
        <v>2500964</v>
      </c>
      <c r="C967" s="20" t="s">
        <v>49</v>
      </c>
      <c r="D967" s="40">
        <v>44432</v>
      </c>
      <c r="E967" s="29" t="s">
        <v>21</v>
      </c>
      <c r="F967" s="25">
        <v>7</v>
      </c>
      <c r="G967" s="21">
        <v>48</v>
      </c>
      <c r="H967" s="21">
        <f t="shared" si="15"/>
        <v>336</v>
      </c>
      <c r="I967" s="29" t="s">
        <v>13</v>
      </c>
      <c r="J967" s="29" t="s">
        <v>14</v>
      </c>
      <c r="K967" s="19" t="s">
        <v>33</v>
      </c>
    </row>
    <row r="968" spans="2:11" ht="19.899999999999999" customHeight="1">
      <c r="B968" s="29">
        <v>2500965</v>
      </c>
      <c r="C968" s="20" t="s">
        <v>44</v>
      </c>
      <c r="D968" s="40">
        <v>44433</v>
      </c>
      <c r="E968" s="29" t="s">
        <v>27</v>
      </c>
      <c r="F968" s="25">
        <v>1</v>
      </c>
      <c r="G968" s="21">
        <v>15.5</v>
      </c>
      <c r="H968" s="21">
        <f t="shared" si="15"/>
        <v>15.5</v>
      </c>
      <c r="I968" s="29" t="s">
        <v>22</v>
      </c>
      <c r="J968" s="29" t="s">
        <v>19</v>
      </c>
      <c r="K968" s="19" t="s">
        <v>36</v>
      </c>
    </row>
    <row r="969" spans="2:11" ht="19.899999999999999" customHeight="1">
      <c r="B969" s="29">
        <v>2500966</v>
      </c>
      <c r="C969" s="20" t="s">
        <v>42</v>
      </c>
      <c r="D969" s="40">
        <v>44434</v>
      </c>
      <c r="E969" s="29" t="s">
        <v>12</v>
      </c>
      <c r="F969" s="25">
        <v>3</v>
      </c>
      <c r="G969" s="21">
        <v>32</v>
      </c>
      <c r="H969" s="21">
        <f t="shared" si="15"/>
        <v>96</v>
      </c>
      <c r="I969" s="29" t="s">
        <v>17</v>
      </c>
      <c r="J969" s="29" t="s">
        <v>18</v>
      </c>
      <c r="K969" s="19" t="s">
        <v>35</v>
      </c>
    </row>
    <row r="970" spans="2:11" ht="19.899999999999999" customHeight="1">
      <c r="B970" s="29">
        <v>2500967</v>
      </c>
      <c r="C970" s="20" t="s">
        <v>48</v>
      </c>
      <c r="D970" s="40">
        <v>44435</v>
      </c>
      <c r="E970" s="29" t="s">
        <v>24</v>
      </c>
      <c r="F970" s="25">
        <v>7</v>
      </c>
      <c r="G970" s="21">
        <v>25.5</v>
      </c>
      <c r="H970" s="21">
        <f t="shared" si="15"/>
        <v>178.5</v>
      </c>
      <c r="I970" s="29" t="s">
        <v>15</v>
      </c>
      <c r="J970" s="29" t="s">
        <v>16</v>
      </c>
      <c r="K970" s="19" t="s">
        <v>34</v>
      </c>
    </row>
    <row r="971" spans="2:11" ht="19.899999999999999" customHeight="1">
      <c r="B971" s="29">
        <v>2500968</v>
      </c>
      <c r="C971" s="20" t="s">
        <v>43</v>
      </c>
      <c r="D971" s="40">
        <v>44436</v>
      </c>
      <c r="E971" s="29" t="s">
        <v>27</v>
      </c>
      <c r="F971" s="25">
        <v>3</v>
      </c>
      <c r="G971" s="21">
        <v>15.5</v>
      </c>
      <c r="H971" s="21">
        <f t="shared" si="15"/>
        <v>46.5</v>
      </c>
      <c r="I971" s="29" t="s">
        <v>22</v>
      </c>
      <c r="J971" s="29" t="s">
        <v>19</v>
      </c>
      <c r="K971" s="19" t="s">
        <v>36</v>
      </c>
    </row>
    <row r="972" spans="2:11" ht="19.899999999999999" customHeight="1">
      <c r="B972" s="29">
        <v>2500969</v>
      </c>
      <c r="C972" s="20" t="s">
        <v>40</v>
      </c>
      <c r="D972" s="40">
        <v>44437</v>
      </c>
      <c r="E972" s="29" t="s">
        <v>9</v>
      </c>
      <c r="F972" s="25">
        <v>7</v>
      </c>
      <c r="G972" s="21">
        <v>18.5</v>
      </c>
      <c r="H972" s="21">
        <f t="shared" si="15"/>
        <v>129.5</v>
      </c>
      <c r="I972" s="29" t="s">
        <v>28</v>
      </c>
      <c r="J972" s="29" t="s">
        <v>30</v>
      </c>
      <c r="K972" s="19" t="s">
        <v>33</v>
      </c>
    </row>
    <row r="973" spans="2:11" ht="19.899999999999999" customHeight="1">
      <c r="B973" s="29">
        <v>2500970</v>
      </c>
      <c r="C973" s="20" t="s">
        <v>48</v>
      </c>
      <c r="D973" s="40">
        <v>44438</v>
      </c>
      <c r="E973" s="29" t="s">
        <v>21</v>
      </c>
      <c r="F973" s="25">
        <v>2</v>
      </c>
      <c r="G973" s="21">
        <v>48</v>
      </c>
      <c r="H973" s="21">
        <f t="shared" si="15"/>
        <v>96</v>
      </c>
      <c r="I973" s="29" t="s">
        <v>28</v>
      </c>
      <c r="J973" s="29" t="s">
        <v>30</v>
      </c>
      <c r="K973" s="19" t="s">
        <v>33</v>
      </c>
    </row>
    <row r="974" spans="2:11" ht="19.899999999999999" customHeight="1">
      <c r="B974" s="29">
        <v>2500971</v>
      </c>
      <c r="C974" s="20" t="s">
        <v>49</v>
      </c>
      <c r="D974" s="40">
        <v>44439</v>
      </c>
      <c r="E974" s="29" t="s">
        <v>12</v>
      </c>
      <c r="F974" s="25">
        <v>8</v>
      </c>
      <c r="G974" s="21">
        <v>32</v>
      </c>
      <c r="H974" s="21">
        <f t="shared" si="15"/>
        <v>256</v>
      </c>
      <c r="I974" s="29" t="s">
        <v>28</v>
      </c>
      <c r="J974" s="29" t="s">
        <v>30</v>
      </c>
      <c r="K974" s="19" t="s">
        <v>33</v>
      </c>
    </row>
    <row r="975" spans="2:11" ht="19.899999999999999" customHeight="1">
      <c r="B975" s="29">
        <v>2500972</v>
      </c>
      <c r="C975" s="20" t="s">
        <v>45</v>
      </c>
      <c r="D975" s="40">
        <v>44440</v>
      </c>
      <c r="E975" s="29" t="s">
        <v>9</v>
      </c>
      <c r="F975" s="25">
        <v>8</v>
      </c>
      <c r="G975" s="21">
        <v>18.5</v>
      </c>
      <c r="H975" s="21">
        <f t="shared" si="15"/>
        <v>148</v>
      </c>
      <c r="I975" s="29" t="s">
        <v>10</v>
      </c>
      <c r="J975" s="29" t="s">
        <v>11</v>
      </c>
      <c r="K975" s="19" t="s">
        <v>32</v>
      </c>
    </row>
    <row r="976" spans="2:11" ht="19.899999999999999" customHeight="1">
      <c r="B976" s="29">
        <v>2500973</v>
      </c>
      <c r="C976" s="20" t="s">
        <v>40</v>
      </c>
      <c r="D976" s="40">
        <v>44441</v>
      </c>
      <c r="E976" s="29" t="s">
        <v>27</v>
      </c>
      <c r="F976" s="25">
        <v>9</v>
      </c>
      <c r="G976" s="21">
        <v>15.5</v>
      </c>
      <c r="H976" s="21">
        <f t="shared" si="15"/>
        <v>139.5</v>
      </c>
      <c r="I976" s="29" t="s">
        <v>17</v>
      </c>
      <c r="J976" s="29" t="s">
        <v>18</v>
      </c>
      <c r="K976" s="19" t="s">
        <v>35</v>
      </c>
    </row>
    <row r="977" spans="2:11" ht="19.899999999999999" customHeight="1">
      <c r="B977" s="29">
        <v>2500974</v>
      </c>
      <c r="C977" s="20" t="s">
        <v>40</v>
      </c>
      <c r="D977" s="40">
        <v>44442</v>
      </c>
      <c r="E977" s="29" t="s">
        <v>9</v>
      </c>
      <c r="F977" s="25">
        <v>7</v>
      </c>
      <c r="G977" s="21">
        <v>18.5</v>
      </c>
      <c r="H977" s="21">
        <f t="shared" si="15"/>
        <v>129.5</v>
      </c>
      <c r="I977" s="29" t="s">
        <v>25</v>
      </c>
      <c r="J977" s="29" t="s">
        <v>23</v>
      </c>
      <c r="K977" s="19" t="s">
        <v>37</v>
      </c>
    </row>
    <row r="978" spans="2:11" ht="19.899999999999999" customHeight="1">
      <c r="B978" s="29">
        <v>2500975</v>
      </c>
      <c r="C978" s="20" t="s">
        <v>45</v>
      </c>
      <c r="D978" s="40">
        <v>44443</v>
      </c>
      <c r="E978" s="29" t="s">
        <v>24</v>
      </c>
      <c r="F978" s="25">
        <v>10</v>
      </c>
      <c r="G978" s="21">
        <v>25.5</v>
      </c>
      <c r="H978" s="21">
        <f t="shared" si="15"/>
        <v>255</v>
      </c>
      <c r="I978" s="29" t="s">
        <v>25</v>
      </c>
      <c r="J978" s="29" t="s">
        <v>23</v>
      </c>
      <c r="K978" s="19" t="s">
        <v>37</v>
      </c>
    </row>
    <row r="979" spans="2:11" ht="19.899999999999999" customHeight="1">
      <c r="B979" s="29">
        <v>2500976</v>
      </c>
      <c r="C979" s="20" t="s">
        <v>42</v>
      </c>
      <c r="D979" s="40">
        <v>44444</v>
      </c>
      <c r="E979" s="29" t="s">
        <v>12</v>
      </c>
      <c r="F979" s="25">
        <v>7</v>
      </c>
      <c r="G979" s="21">
        <v>32</v>
      </c>
      <c r="H979" s="21">
        <f t="shared" si="15"/>
        <v>224</v>
      </c>
      <c r="I979" s="29" t="s">
        <v>17</v>
      </c>
      <c r="J979" s="29" t="s">
        <v>18</v>
      </c>
      <c r="K979" s="19" t="s">
        <v>35</v>
      </c>
    </row>
    <row r="980" spans="2:11" ht="19.899999999999999" customHeight="1">
      <c r="B980" s="29">
        <v>2500977</v>
      </c>
      <c r="C980" s="20" t="s">
        <v>42</v>
      </c>
      <c r="D980" s="40">
        <v>44445</v>
      </c>
      <c r="E980" s="29" t="s">
        <v>21</v>
      </c>
      <c r="F980" s="25">
        <v>7</v>
      </c>
      <c r="G980" s="21">
        <v>48</v>
      </c>
      <c r="H980" s="21">
        <f t="shared" si="15"/>
        <v>336</v>
      </c>
      <c r="I980" s="29" t="s">
        <v>15</v>
      </c>
      <c r="J980" s="29" t="s">
        <v>16</v>
      </c>
      <c r="K980" s="19" t="s">
        <v>34</v>
      </c>
    </row>
    <row r="981" spans="2:11" ht="19.899999999999999" customHeight="1">
      <c r="B981" s="29">
        <v>2500978</v>
      </c>
      <c r="C981" s="20" t="s">
        <v>43</v>
      </c>
      <c r="D981" s="40">
        <v>44446</v>
      </c>
      <c r="E981" s="29" t="s">
        <v>24</v>
      </c>
      <c r="F981" s="25">
        <v>5</v>
      </c>
      <c r="G981" s="21">
        <v>25.5</v>
      </c>
      <c r="H981" s="21">
        <f t="shared" si="15"/>
        <v>127.5</v>
      </c>
      <c r="I981" s="29" t="s">
        <v>15</v>
      </c>
      <c r="J981" s="29" t="s">
        <v>16</v>
      </c>
      <c r="K981" s="19" t="s">
        <v>34</v>
      </c>
    </row>
    <row r="982" spans="2:11" ht="19.899999999999999" customHeight="1">
      <c r="B982" s="29">
        <v>2500979</v>
      </c>
      <c r="C982" s="20" t="s">
        <v>45</v>
      </c>
      <c r="D982" s="40">
        <v>44447</v>
      </c>
      <c r="E982" s="29" t="s">
        <v>27</v>
      </c>
      <c r="F982" s="25">
        <v>3</v>
      </c>
      <c r="G982" s="21">
        <v>15.5</v>
      </c>
      <c r="H982" s="21">
        <f t="shared" si="15"/>
        <v>46.5</v>
      </c>
      <c r="I982" s="29" t="s">
        <v>13</v>
      </c>
      <c r="J982" s="29" t="s">
        <v>14</v>
      </c>
      <c r="K982" s="19" t="s">
        <v>33</v>
      </c>
    </row>
    <row r="983" spans="2:11" ht="19.899999999999999" customHeight="1">
      <c r="B983" s="29">
        <v>2500980</v>
      </c>
      <c r="C983" s="20" t="s">
        <v>42</v>
      </c>
      <c r="D983" s="40">
        <v>44448</v>
      </c>
      <c r="E983" s="29" t="s">
        <v>12</v>
      </c>
      <c r="F983" s="25">
        <v>6</v>
      </c>
      <c r="G983" s="21">
        <v>32</v>
      </c>
      <c r="H983" s="21">
        <f t="shared" si="15"/>
        <v>192</v>
      </c>
      <c r="I983" s="29" t="s">
        <v>13</v>
      </c>
      <c r="J983" s="29" t="s">
        <v>14</v>
      </c>
      <c r="K983" s="19" t="s">
        <v>33</v>
      </c>
    </row>
    <row r="984" spans="2:11" ht="19.899999999999999" customHeight="1">
      <c r="B984" s="29">
        <v>2500981</v>
      </c>
      <c r="C984" s="20" t="s">
        <v>45</v>
      </c>
      <c r="D984" s="40">
        <v>44449</v>
      </c>
      <c r="E984" s="29" t="s">
        <v>9</v>
      </c>
      <c r="F984" s="25">
        <v>10</v>
      </c>
      <c r="G984" s="21">
        <v>18.5</v>
      </c>
      <c r="H984" s="21">
        <f t="shared" si="15"/>
        <v>185</v>
      </c>
      <c r="I984" s="29" t="s">
        <v>26</v>
      </c>
      <c r="J984" s="29" t="s">
        <v>29</v>
      </c>
      <c r="K984" s="19" t="s">
        <v>38</v>
      </c>
    </row>
    <row r="985" spans="2:11" ht="19.899999999999999" customHeight="1">
      <c r="B985" s="29">
        <v>2500982</v>
      </c>
      <c r="C985" s="20" t="s">
        <v>43</v>
      </c>
      <c r="D985" s="40">
        <v>44450</v>
      </c>
      <c r="E985" s="29" t="s">
        <v>9</v>
      </c>
      <c r="F985" s="25">
        <v>1</v>
      </c>
      <c r="G985" s="21">
        <v>18.5</v>
      </c>
      <c r="H985" s="21">
        <f t="shared" si="15"/>
        <v>18.5</v>
      </c>
      <c r="I985" s="29" t="s">
        <v>28</v>
      </c>
      <c r="J985" s="29" t="s">
        <v>30</v>
      </c>
      <c r="K985" s="19" t="s">
        <v>33</v>
      </c>
    </row>
    <row r="986" spans="2:11" ht="19.899999999999999" customHeight="1">
      <c r="B986" s="29">
        <v>2500983</v>
      </c>
      <c r="C986" s="20" t="s">
        <v>40</v>
      </c>
      <c r="D986" s="40">
        <v>44451</v>
      </c>
      <c r="E986" s="29" t="s">
        <v>21</v>
      </c>
      <c r="F986" s="25">
        <v>10</v>
      </c>
      <c r="G986" s="21">
        <v>48</v>
      </c>
      <c r="H986" s="21">
        <f t="shared" si="15"/>
        <v>480</v>
      </c>
      <c r="I986" s="29" t="s">
        <v>13</v>
      </c>
      <c r="J986" s="29" t="s">
        <v>14</v>
      </c>
      <c r="K986" s="19" t="s">
        <v>33</v>
      </c>
    </row>
    <row r="987" spans="2:11" ht="19.899999999999999" customHeight="1">
      <c r="B987" s="29">
        <v>2500984</v>
      </c>
      <c r="C987" s="20" t="s">
        <v>47</v>
      </c>
      <c r="D987" s="40">
        <v>44452</v>
      </c>
      <c r="E987" s="29" t="s">
        <v>12</v>
      </c>
      <c r="F987" s="25">
        <v>8</v>
      </c>
      <c r="G987" s="21">
        <v>32</v>
      </c>
      <c r="H987" s="21">
        <f t="shared" si="15"/>
        <v>256</v>
      </c>
      <c r="I987" s="29" t="s">
        <v>15</v>
      </c>
      <c r="J987" s="29" t="s">
        <v>16</v>
      </c>
      <c r="K987" s="19" t="s">
        <v>34</v>
      </c>
    </row>
    <row r="988" spans="2:11" ht="19.899999999999999" customHeight="1">
      <c r="B988" s="29">
        <v>2500985</v>
      </c>
      <c r="C988" s="20" t="s">
        <v>42</v>
      </c>
      <c r="D988" s="40">
        <v>44453</v>
      </c>
      <c r="E988" s="29" t="s">
        <v>9</v>
      </c>
      <c r="F988" s="25">
        <v>3</v>
      </c>
      <c r="G988" s="21">
        <v>18.5</v>
      </c>
      <c r="H988" s="21">
        <f t="shared" si="15"/>
        <v>55.5</v>
      </c>
      <c r="I988" s="29" t="s">
        <v>10</v>
      </c>
      <c r="J988" s="29" t="s">
        <v>11</v>
      </c>
      <c r="K988" s="19" t="s">
        <v>32</v>
      </c>
    </row>
    <row r="989" spans="2:11" ht="19.899999999999999" customHeight="1">
      <c r="B989" s="29">
        <v>2500986</v>
      </c>
      <c r="C989" s="20" t="s">
        <v>42</v>
      </c>
      <c r="D989" s="40">
        <v>44454</v>
      </c>
      <c r="E989" s="29" t="s">
        <v>9</v>
      </c>
      <c r="F989" s="25">
        <v>10</v>
      </c>
      <c r="G989" s="21">
        <v>18.5</v>
      </c>
      <c r="H989" s="21">
        <f t="shared" si="15"/>
        <v>185</v>
      </c>
      <c r="I989" s="29" t="s">
        <v>25</v>
      </c>
      <c r="J989" s="29" t="s">
        <v>23</v>
      </c>
      <c r="K989" s="19" t="s">
        <v>37</v>
      </c>
    </row>
    <row r="990" spans="2:11" ht="19.899999999999999" customHeight="1">
      <c r="B990" s="29">
        <v>2500987</v>
      </c>
      <c r="C990" s="20" t="s">
        <v>44</v>
      </c>
      <c r="D990" s="40">
        <v>44455</v>
      </c>
      <c r="E990" s="29" t="s">
        <v>27</v>
      </c>
      <c r="F990" s="25">
        <v>1</v>
      </c>
      <c r="G990" s="21">
        <v>15.5</v>
      </c>
      <c r="H990" s="21">
        <f t="shared" si="15"/>
        <v>15.5</v>
      </c>
      <c r="I990" s="29" t="s">
        <v>15</v>
      </c>
      <c r="J990" s="29" t="s">
        <v>16</v>
      </c>
      <c r="K990" s="19" t="s">
        <v>34</v>
      </c>
    </row>
    <row r="991" spans="2:11" ht="19.899999999999999" customHeight="1">
      <c r="B991" s="29">
        <v>2500988</v>
      </c>
      <c r="C991" s="20" t="s">
        <v>46</v>
      </c>
      <c r="D991" s="40">
        <v>44456</v>
      </c>
      <c r="E991" s="29" t="s">
        <v>21</v>
      </c>
      <c r="F991" s="25">
        <v>6</v>
      </c>
      <c r="G991" s="21">
        <v>48</v>
      </c>
      <c r="H991" s="21">
        <f t="shared" si="15"/>
        <v>288</v>
      </c>
      <c r="I991" s="29" t="s">
        <v>22</v>
      </c>
      <c r="J991" s="29" t="s">
        <v>19</v>
      </c>
      <c r="K991" s="19" t="s">
        <v>36</v>
      </c>
    </row>
    <row r="992" spans="2:11" ht="19.899999999999999" customHeight="1">
      <c r="B992" s="29">
        <v>2500989</v>
      </c>
      <c r="C992" s="20" t="s">
        <v>45</v>
      </c>
      <c r="D992" s="40">
        <v>44457</v>
      </c>
      <c r="E992" s="29" t="s">
        <v>20</v>
      </c>
      <c r="F992" s="25">
        <v>2</v>
      </c>
      <c r="G992" s="21">
        <v>36</v>
      </c>
      <c r="H992" s="21">
        <f t="shared" si="15"/>
        <v>72</v>
      </c>
      <c r="I992" s="29" t="s">
        <v>25</v>
      </c>
      <c r="J992" s="29" t="s">
        <v>23</v>
      </c>
      <c r="K992" s="19" t="s">
        <v>37</v>
      </c>
    </row>
    <row r="993" spans="2:11" ht="19.899999999999999" customHeight="1">
      <c r="B993" s="29">
        <v>2500990</v>
      </c>
      <c r="C993" s="20" t="s">
        <v>49</v>
      </c>
      <c r="D993" s="40">
        <v>44458</v>
      </c>
      <c r="E993" s="29" t="s">
        <v>24</v>
      </c>
      <c r="F993" s="25">
        <v>8</v>
      </c>
      <c r="G993" s="21">
        <v>25.5</v>
      </c>
      <c r="H993" s="21">
        <f t="shared" si="15"/>
        <v>204</v>
      </c>
      <c r="I993" s="29" t="s">
        <v>17</v>
      </c>
      <c r="J993" s="29" t="s">
        <v>18</v>
      </c>
      <c r="K993" s="19" t="s">
        <v>35</v>
      </c>
    </row>
    <row r="994" spans="2:11" ht="19.899999999999999" customHeight="1">
      <c r="B994" s="29">
        <v>2500991</v>
      </c>
      <c r="C994" s="20" t="s">
        <v>42</v>
      </c>
      <c r="D994" s="40">
        <v>44459</v>
      </c>
      <c r="E994" s="29" t="s">
        <v>24</v>
      </c>
      <c r="F994" s="25">
        <v>4</v>
      </c>
      <c r="G994" s="21">
        <v>25.5</v>
      </c>
      <c r="H994" s="21">
        <f t="shared" si="15"/>
        <v>102</v>
      </c>
      <c r="I994" s="29" t="s">
        <v>13</v>
      </c>
      <c r="J994" s="29" t="s">
        <v>14</v>
      </c>
      <c r="K994" s="19" t="s">
        <v>33</v>
      </c>
    </row>
    <row r="995" spans="2:11" ht="19.899999999999999" customHeight="1">
      <c r="B995" s="29">
        <v>2500992</v>
      </c>
      <c r="C995" s="20" t="s">
        <v>49</v>
      </c>
      <c r="D995" s="40">
        <v>44460</v>
      </c>
      <c r="E995" s="29" t="s">
        <v>24</v>
      </c>
      <c r="F995" s="25">
        <v>7</v>
      </c>
      <c r="G995" s="21">
        <v>25.5</v>
      </c>
      <c r="H995" s="21">
        <f t="shared" si="15"/>
        <v>178.5</v>
      </c>
      <c r="I995" s="29" t="s">
        <v>28</v>
      </c>
      <c r="J995" s="29" t="s">
        <v>30</v>
      </c>
      <c r="K995" s="19" t="s">
        <v>33</v>
      </c>
    </row>
    <row r="996" spans="2:11" ht="19.899999999999999" customHeight="1">
      <c r="B996" s="29">
        <v>2500993</v>
      </c>
      <c r="C996" s="20" t="s">
        <v>47</v>
      </c>
      <c r="D996" s="40">
        <v>44461</v>
      </c>
      <c r="E996" s="29" t="s">
        <v>9</v>
      </c>
      <c r="F996" s="25">
        <v>10</v>
      </c>
      <c r="G996" s="21">
        <v>18.5</v>
      </c>
      <c r="H996" s="21">
        <f t="shared" si="15"/>
        <v>185</v>
      </c>
      <c r="I996" s="29" t="s">
        <v>17</v>
      </c>
      <c r="J996" s="29" t="s">
        <v>18</v>
      </c>
      <c r="K996" s="19" t="s">
        <v>35</v>
      </c>
    </row>
    <row r="997" spans="2:11" ht="19.899999999999999" customHeight="1">
      <c r="B997" s="29">
        <v>2500994</v>
      </c>
      <c r="C997" s="20" t="s">
        <v>48</v>
      </c>
      <c r="D997" s="40">
        <v>44462</v>
      </c>
      <c r="E997" s="29" t="s">
        <v>27</v>
      </c>
      <c r="F997" s="25">
        <v>2</v>
      </c>
      <c r="G997" s="21">
        <v>15.5</v>
      </c>
      <c r="H997" s="21">
        <f t="shared" si="15"/>
        <v>31</v>
      </c>
      <c r="I997" s="29" t="s">
        <v>13</v>
      </c>
      <c r="J997" s="29" t="s">
        <v>14</v>
      </c>
      <c r="K997" s="19" t="s">
        <v>33</v>
      </c>
    </row>
    <row r="998" spans="2:11" ht="19.899999999999999" customHeight="1">
      <c r="B998" s="29">
        <v>2500995</v>
      </c>
      <c r="C998" s="20" t="s">
        <v>49</v>
      </c>
      <c r="D998" s="40">
        <v>44463</v>
      </c>
      <c r="E998" s="29" t="s">
        <v>12</v>
      </c>
      <c r="F998" s="25">
        <v>7</v>
      </c>
      <c r="G998" s="21">
        <v>32</v>
      </c>
      <c r="H998" s="21">
        <f t="shared" si="15"/>
        <v>224</v>
      </c>
      <c r="I998" s="29" t="s">
        <v>17</v>
      </c>
      <c r="J998" s="29" t="s">
        <v>18</v>
      </c>
      <c r="K998" s="19" t="s">
        <v>35</v>
      </c>
    </row>
    <row r="999" spans="2:11" ht="19.899999999999999" customHeight="1">
      <c r="B999" s="29">
        <v>2500996</v>
      </c>
      <c r="C999" s="20" t="s">
        <v>47</v>
      </c>
      <c r="D999" s="40">
        <v>44464</v>
      </c>
      <c r="E999" s="29" t="s">
        <v>27</v>
      </c>
      <c r="F999" s="25">
        <v>6</v>
      </c>
      <c r="G999" s="21">
        <v>15.5</v>
      </c>
      <c r="H999" s="21">
        <f t="shared" si="15"/>
        <v>93</v>
      </c>
      <c r="I999" s="29" t="s">
        <v>15</v>
      </c>
      <c r="J999" s="29" t="s">
        <v>16</v>
      </c>
      <c r="K999" s="19" t="s">
        <v>34</v>
      </c>
    </row>
    <row r="1000" spans="2:11" ht="19.899999999999999" customHeight="1">
      <c r="B1000" s="29">
        <v>2500997</v>
      </c>
      <c r="C1000" s="20" t="s">
        <v>47</v>
      </c>
      <c r="D1000" s="40">
        <v>44465</v>
      </c>
      <c r="E1000" s="29" t="s">
        <v>27</v>
      </c>
      <c r="F1000" s="25">
        <v>4</v>
      </c>
      <c r="G1000" s="21">
        <v>15.5</v>
      </c>
      <c r="H1000" s="21">
        <f t="shared" si="15"/>
        <v>62</v>
      </c>
      <c r="I1000" s="29" t="s">
        <v>17</v>
      </c>
      <c r="J1000" s="29" t="s">
        <v>18</v>
      </c>
      <c r="K1000" s="19" t="s">
        <v>35</v>
      </c>
    </row>
    <row r="1001" spans="2:11" ht="19.899999999999999" customHeight="1">
      <c r="B1001" s="29">
        <v>2500998</v>
      </c>
      <c r="C1001" s="20" t="s">
        <v>49</v>
      </c>
      <c r="D1001" s="40">
        <v>44466</v>
      </c>
      <c r="E1001" s="29" t="s">
        <v>27</v>
      </c>
      <c r="F1001" s="25">
        <v>9</v>
      </c>
      <c r="G1001" s="21">
        <v>15.5</v>
      </c>
      <c r="H1001" s="21">
        <f t="shared" si="15"/>
        <v>139.5</v>
      </c>
      <c r="I1001" s="29" t="s">
        <v>13</v>
      </c>
      <c r="J1001" s="29" t="s">
        <v>14</v>
      </c>
      <c r="K1001" s="19" t="s">
        <v>33</v>
      </c>
    </row>
    <row r="1002" spans="2:11" ht="19.899999999999999" customHeight="1">
      <c r="B1002" s="29">
        <v>2500999</v>
      </c>
      <c r="C1002" s="20" t="s">
        <v>40</v>
      </c>
      <c r="D1002" s="40">
        <v>44467</v>
      </c>
      <c r="E1002" s="29" t="s">
        <v>12</v>
      </c>
      <c r="F1002" s="25">
        <v>5</v>
      </c>
      <c r="G1002" s="21">
        <v>32</v>
      </c>
      <c r="H1002" s="21">
        <f t="shared" si="15"/>
        <v>160</v>
      </c>
      <c r="I1002" s="29" t="s">
        <v>10</v>
      </c>
      <c r="J1002" s="29" t="s">
        <v>11</v>
      </c>
      <c r="K1002" s="19" t="s">
        <v>32</v>
      </c>
    </row>
    <row r="1003" spans="2:11" ht="19.899999999999999" customHeight="1">
      <c r="B1003" s="29">
        <v>2501000</v>
      </c>
      <c r="C1003" s="20" t="s">
        <v>43</v>
      </c>
      <c r="D1003" s="40">
        <v>44468</v>
      </c>
      <c r="E1003" s="29" t="s">
        <v>21</v>
      </c>
      <c r="F1003" s="25">
        <v>10</v>
      </c>
      <c r="G1003" s="21">
        <v>48</v>
      </c>
      <c r="H1003" s="21">
        <f t="shared" si="15"/>
        <v>480</v>
      </c>
      <c r="I1003" s="29" t="s">
        <v>28</v>
      </c>
      <c r="J1003" s="29" t="s">
        <v>30</v>
      </c>
      <c r="K1003" s="19" t="s">
        <v>33</v>
      </c>
    </row>
    <row r="1004" spans="2:11" ht="19.899999999999999" customHeight="1">
      <c r="B1004" s="29">
        <v>2501001</v>
      </c>
      <c r="C1004" s="20" t="s">
        <v>46</v>
      </c>
      <c r="D1004" s="40">
        <v>44469</v>
      </c>
      <c r="E1004" s="29" t="s">
        <v>20</v>
      </c>
      <c r="F1004" s="25">
        <v>7</v>
      </c>
      <c r="G1004" s="21">
        <v>36</v>
      </c>
      <c r="H1004" s="21">
        <f t="shared" si="15"/>
        <v>252</v>
      </c>
      <c r="I1004" s="29" t="s">
        <v>15</v>
      </c>
      <c r="J1004" s="29" t="s">
        <v>16</v>
      </c>
      <c r="K1004" s="19" t="s">
        <v>34</v>
      </c>
    </row>
    <row r="1005" spans="2:11" ht="19.899999999999999" customHeight="1">
      <c r="B1005" s="29">
        <v>2501002</v>
      </c>
      <c r="C1005" s="20" t="s">
        <v>47</v>
      </c>
      <c r="D1005" s="40">
        <v>44470</v>
      </c>
      <c r="E1005" s="29" t="s">
        <v>21</v>
      </c>
      <c r="F1005" s="25">
        <v>5</v>
      </c>
      <c r="G1005" s="21">
        <v>48</v>
      </c>
      <c r="H1005" s="21">
        <f t="shared" si="15"/>
        <v>240</v>
      </c>
      <c r="I1005" s="29" t="s">
        <v>28</v>
      </c>
      <c r="J1005" s="29" t="s">
        <v>30</v>
      </c>
      <c r="K1005" s="19" t="s">
        <v>33</v>
      </c>
    </row>
    <row r="1006" spans="2:11" ht="19.899999999999999" customHeight="1">
      <c r="B1006" s="29">
        <v>2501003</v>
      </c>
      <c r="C1006" s="20" t="s">
        <v>46</v>
      </c>
      <c r="D1006" s="40">
        <v>44471</v>
      </c>
      <c r="E1006" s="29" t="s">
        <v>9</v>
      </c>
      <c r="F1006" s="25">
        <v>3</v>
      </c>
      <c r="G1006" s="21">
        <v>18.5</v>
      </c>
      <c r="H1006" s="21">
        <f t="shared" si="15"/>
        <v>55.5</v>
      </c>
      <c r="I1006" s="29" t="s">
        <v>22</v>
      </c>
      <c r="J1006" s="29" t="s">
        <v>19</v>
      </c>
      <c r="K1006" s="19" t="s">
        <v>36</v>
      </c>
    </row>
    <row r="1007" spans="2:11" ht="19.899999999999999" customHeight="1">
      <c r="B1007" s="29">
        <v>2501004</v>
      </c>
      <c r="C1007" s="20" t="s">
        <v>48</v>
      </c>
      <c r="D1007" s="40">
        <v>44472</v>
      </c>
      <c r="E1007" s="29" t="s">
        <v>12</v>
      </c>
      <c r="F1007" s="25">
        <v>8</v>
      </c>
      <c r="G1007" s="21">
        <v>32</v>
      </c>
      <c r="H1007" s="21">
        <f t="shared" si="15"/>
        <v>256</v>
      </c>
      <c r="I1007" s="29" t="s">
        <v>13</v>
      </c>
      <c r="J1007" s="29" t="s">
        <v>14</v>
      </c>
      <c r="K1007" s="19" t="s">
        <v>33</v>
      </c>
    </row>
    <row r="1008" spans="2:11" ht="19.899999999999999" customHeight="1">
      <c r="B1008" s="29">
        <v>2501005</v>
      </c>
      <c r="C1008" s="20" t="s">
        <v>40</v>
      </c>
      <c r="D1008" s="40">
        <v>44473</v>
      </c>
      <c r="E1008" s="29" t="s">
        <v>20</v>
      </c>
      <c r="F1008" s="25">
        <v>10</v>
      </c>
      <c r="G1008" s="21">
        <v>36</v>
      </c>
      <c r="H1008" s="21">
        <f t="shared" si="15"/>
        <v>360</v>
      </c>
      <c r="I1008" s="29" t="s">
        <v>25</v>
      </c>
      <c r="J1008" s="29" t="s">
        <v>23</v>
      </c>
      <c r="K1008" s="19" t="s">
        <v>37</v>
      </c>
    </row>
    <row r="1009" spans="2:11" ht="19.899999999999999" customHeight="1">
      <c r="B1009" s="29">
        <v>2501006</v>
      </c>
      <c r="C1009" s="20" t="s">
        <v>48</v>
      </c>
      <c r="D1009" s="40">
        <v>44474</v>
      </c>
      <c r="E1009" s="29" t="s">
        <v>24</v>
      </c>
      <c r="F1009" s="25">
        <v>2</v>
      </c>
      <c r="G1009" s="21">
        <v>25.5</v>
      </c>
      <c r="H1009" s="21">
        <f t="shared" si="15"/>
        <v>51</v>
      </c>
      <c r="I1009" s="29" t="s">
        <v>17</v>
      </c>
      <c r="J1009" s="29" t="s">
        <v>18</v>
      </c>
      <c r="K1009" s="19" t="s">
        <v>35</v>
      </c>
    </row>
    <row r="1010" spans="2:11" ht="19.899999999999999" customHeight="1">
      <c r="B1010" s="29">
        <v>2501007</v>
      </c>
      <c r="C1010" s="20" t="s">
        <v>41</v>
      </c>
      <c r="D1010" s="40">
        <v>44475</v>
      </c>
      <c r="E1010" s="29" t="s">
        <v>9</v>
      </c>
      <c r="F1010" s="25">
        <v>3</v>
      </c>
      <c r="G1010" s="21">
        <v>18.5</v>
      </c>
      <c r="H1010" s="21">
        <f t="shared" si="15"/>
        <v>55.5</v>
      </c>
      <c r="I1010" s="29" t="s">
        <v>10</v>
      </c>
      <c r="J1010" s="29" t="s">
        <v>11</v>
      </c>
      <c r="K1010" s="19" t="s">
        <v>32</v>
      </c>
    </row>
    <row r="1011" spans="2:11" ht="19.899999999999999" customHeight="1">
      <c r="B1011" s="29">
        <v>2501008</v>
      </c>
      <c r="C1011" s="20" t="s">
        <v>42</v>
      </c>
      <c r="D1011" s="40">
        <v>44476</v>
      </c>
      <c r="E1011" s="29" t="s">
        <v>9</v>
      </c>
      <c r="F1011" s="25">
        <v>1</v>
      </c>
      <c r="G1011" s="21">
        <v>18.5</v>
      </c>
      <c r="H1011" s="21">
        <f t="shared" si="15"/>
        <v>18.5</v>
      </c>
      <c r="I1011" s="29" t="s">
        <v>25</v>
      </c>
      <c r="J1011" s="29" t="s">
        <v>23</v>
      </c>
      <c r="K1011" s="19" t="s">
        <v>37</v>
      </c>
    </row>
    <row r="1012" spans="2:11" ht="19.899999999999999" customHeight="1">
      <c r="B1012" s="29">
        <v>2501009</v>
      </c>
      <c r="C1012" s="20" t="s">
        <v>40</v>
      </c>
      <c r="D1012" s="40">
        <v>44477</v>
      </c>
      <c r="E1012" s="29" t="s">
        <v>24</v>
      </c>
      <c r="F1012" s="25">
        <v>4</v>
      </c>
      <c r="G1012" s="21">
        <v>25.5</v>
      </c>
      <c r="H1012" s="21">
        <f t="shared" si="15"/>
        <v>102</v>
      </c>
      <c r="I1012" s="29" t="s">
        <v>25</v>
      </c>
      <c r="J1012" s="29" t="s">
        <v>23</v>
      </c>
      <c r="K1012" s="19" t="s">
        <v>37</v>
      </c>
    </row>
    <row r="1013" spans="2:11" ht="19.899999999999999" customHeight="1">
      <c r="B1013" s="29">
        <v>2501010</v>
      </c>
      <c r="C1013" s="20" t="s">
        <v>49</v>
      </c>
      <c r="D1013" s="40">
        <v>44478</v>
      </c>
      <c r="E1013" s="29" t="s">
        <v>21</v>
      </c>
      <c r="F1013" s="25">
        <v>4</v>
      </c>
      <c r="G1013" s="21">
        <v>48</v>
      </c>
      <c r="H1013" s="21">
        <f t="shared" si="15"/>
        <v>192</v>
      </c>
      <c r="I1013" s="29" t="s">
        <v>13</v>
      </c>
      <c r="J1013" s="29" t="s">
        <v>14</v>
      </c>
      <c r="K1013" s="19" t="s">
        <v>33</v>
      </c>
    </row>
    <row r="1014" spans="2:11" ht="19.899999999999999" customHeight="1">
      <c r="B1014" s="29">
        <v>2501011</v>
      </c>
      <c r="C1014" s="20" t="s">
        <v>48</v>
      </c>
      <c r="D1014" s="40">
        <v>44479</v>
      </c>
      <c r="E1014" s="29" t="s">
        <v>20</v>
      </c>
      <c r="F1014" s="25">
        <v>7</v>
      </c>
      <c r="G1014" s="21">
        <v>36</v>
      </c>
      <c r="H1014" s="21">
        <f t="shared" si="15"/>
        <v>252</v>
      </c>
      <c r="I1014" s="29" t="s">
        <v>28</v>
      </c>
      <c r="J1014" s="29" t="s">
        <v>30</v>
      </c>
      <c r="K1014" s="19" t="s">
        <v>33</v>
      </c>
    </row>
    <row r="1015" spans="2:11" ht="19.899999999999999" customHeight="1">
      <c r="B1015" s="29">
        <v>2501012</v>
      </c>
      <c r="C1015" s="20" t="s">
        <v>42</v>
      </c>
      <c r="D1015" s="40">
        <v>44480</v>
      </c>
      <c r="E1015" s="29" t="s">
        <v>27</v>
      </c>
      <c r="F1015" s="25">
        <v>3</v>
      </c>
      <c r="G1015" s="21">
        <v>15.5</v>
      </c>
      <c r="H1015" s="21">
        <f t="shared" si="15"/>
        <v>46.5</v>
      </c>
      <c r="I1015" s="29" t="s">
        <v>25</v>
      </c>
      <c r="J1015" s="29" t="s">
        <v>23</v>
      </c>
      <c r="K1015" s="19" t="s">
        <v>37</v>
      </c>
    </row>
    <row r="1016" spans="2:11" ht="19.899999999999999" customHeight="1">
      <c r="B1016" s="29">
        <v>2501013</v>
      </c>
      <c r="C1016" s="20" t="s">
        <v>46</v>
      </c>
      <c r="D1016" s="40">
        <v>44481</v>
      </c>
      <c r="E1016" s="29" t="s">
        <v>12</v>
      </c>
      <c r="F1016" s="25">
        <v>6</v>
      </c>
      <c r="G1016" s="21">
        <v>32</v>
      </c>
      <c r="H1016" s="21">
        <f t="shared" si="15"/>
        <v>192</v>
      </c>
      <c r="I1016" s="29" t="s">
        <v>28</v>
      </c>
      <c r="J1016" s="29" t="s">
        <v>30</v>
      </c>
      <c r="K1016" s="19" t="s">
        <v>33</v>
      </c>
    </row>
    <row r="1017" spans="2:11" ht="19.899999999999999" customHeight="1">
      <c r="B1017" s="29">
        <v>2501014</v>
      </c>
      <c r="C1017" s="20" t="s">
        <v>45</v>
      </c>
      <c r="D1017" s="40">
        <v>44482</v>
      </c>
      <c r="E1017" s="29" t="s">
        <v>21</v>
      </c>
      <c r="F1017" s="25">
        <v>2</v>
      </c>
      <c r="G1017" s="21">
        <v>48</v>
      </c>
      <c r="H1017" s="21">
        <f t="shared" si="15"/>
        <v>96</v>
      </c>
      <c r="I1017" s="29" t="s">
        <v>10</v>
      </c>
      <c r="J1017" s="29" t="s">
        <v>11</v>
      </c>
      <c r="K1017" s="19" t="s">
        <v>32</v>
      </c>
    </row>
    <row r="1018" spans="2:11" ht="19.899999999999999" customHeight="1">
      <c r="B1018" s="29">
        <v>2501015</v>
      </c>
      <c r="C1018" s="20" t="s">
        <v>47</v>
      </c>
      <c r="D1018" s="40">
        <v>44483</v>
      </c>
      <c r="E1018" s="29" t="s">
        <v>9</v>
      </c>
      <c r="F1018" s="25">
        <v>10</v>
      </c>
      <c r="G1018" s="21">
        <v>18.5</v>
      </c>
      <c r="H1018" s="21">
        <f t="shared" si="15"/>
        <v>185</v>
      </c>
      <c r="I1018" s="29" t="s">
        <v>10</v>
      </c>
      <c r="J1018" s="29" t="s">
        <v>11</v>
      </c>
      <c r="K1018" s="19" t="s">
        <v>32</v>
      </c>
    </row>
    <row r="1019" spans="2:11" ht="19.899999999999999" customHeight="1">
      <c r="B1019" s="29">
        <v>2501016</v>
      </c>
      <c r="C1019" s="20" t="s">
        <v>48</v>
      </c>
      <c r="D1019" s="40">
        <v>44484</v>
      </c>
      <c r="E1019" s="29" t="s">
        <v>24</v>
      </c>
      <c r="F1019" s="25">
        <v>7</v>
      </c>
      <c r="G1019" s="21">
        <v>25.5</v>
      </c>
      <c r="H1019" s="21">
        <f t="shared" si="15"/>
        <v>178.5</v>
      </c>
      <c r="I1019" s="29" t="s">
        <v>28</v>
      </c>
      <c r="J1019" s="29" t="s">
        <v>30</v>
      </c>
      <c r="K1019" s="19" t="s">
        <v>33</v>
      </c>
    </row>
    <row r="1020" spans="2:11" ht="19.899999999999999" customHeight="1">
      <c r="B1020" s="29">
        <v>2501017</v>
      </c>
      <c r="C1020" s="20" t="s">
        <v>48</v>
      </c>
      <c r="D1020" s="40">
        <v>44485</v>
      </c>
      <c r="E1020" s="29" t="s">
        <v>24</v>
      </c>
      <c r="F1020" s="25">
        <v>8</v>
      </c>
      <c r="G1020" s="21">
        <v>25.5</v>
      </c>
      <c r="H1020" s="21">
        <f t="shared" si="15"/>
        <v>204</v>
      </c>
      <c r="I1020" s="29" t="s">
        <v>15</v>
      </c>
      <c r="J1020" s="29" t="s">
        <v>16</v>
      </c>
      <c r="K1020" s="19" t="s">
        <v>34</v>
      </c>
    </row>
    <row r="1021" spans="2:11" ht="19.899999999999999" customHeight="1">
      <c r="B1021" s="29">
        <v>2501018</v>
      </c>
      <c r="C1021" s="20" t="s">
        <v>45</v>
      </c>
      <c r="D1021" s="40">
        <v>44486</v>
      </c>
      <c r="E1021" s="29" t="s">
        <v>21</v>
      </c>
      <c r="F1021" s="25">
        <v>5</v>
      </c>
      <c r="G1021" s="21">
        <v>48</v>
      </c>
      <c r="H1021" s="21">
        <f t="shared" si="15"/>
        <v>240</v>
      </c>
      <c r="I1021" s="29" t="s">
        <v>26</v>
      </c>
      <c r="J1021" s="29" t="s">
        <v>29</v>
      </c>
      <c r="K1021" s="19" t="s">
        <v>38</v>
      </c>
    </row>
    <row r="1022" spans="2:11" ht="19.899999999999999" customHeight="1">
      <c r="B1022" s="29">
        <v>2501019</v>
      </c>
      <c r="C1022" s="20" t="s">
        <v>48</v>
      </c>
      <c r="D1022" s="40">
        <v>44487</v>
      </c>
      <c r="E1022" s="29" t="s">
        <v>12</v>
      </c>
      <c r="F1022" s="25">
        <v>4</v>
      </c>
      <c r="G1022" s="21">
        <v>32</v>
      </c>
      <c r="H1022" s="21">
        <f t="shared" si="15"/>
        <v>128</v>
      </c>
      <c r="I1022" s="29" t="s">
        <v>25</v>
      </c>
      <c r="J1022" s="29" t="s">
        <v>23</v>
      </c>
      <c r="K1022" s="19" t="s">
        <v>37</v>
      </c>
    </row>
    <row r="1023" spans="2:11" ht="19.899999999999999" customHeight="1">
      <c r="B1023" s="29">
        <v>2501020</v>
      </c>
      <c r="C1023" s="20" t="s">
        <v>41</v>
      </c>
      <c r="D1023" s="40">
        <v>44488</v>
      </c>
      <c r="E1023" s="29" t="s">
        <v>12</v>
      </c>
      <c r="F1023" s="25">
        <v>3</v>
      </c>
      <c r="G1023" s="21">
        <v>32</v>
      </c>
      <c r="H1023" s="21">
        <f t="shared" si="15"/>
        <v>96</v>
      </c>
      <c r="I1023" s="29" t="s">
        <v>25</v>
      </c>
      <c r="J1023" s="29" t="s">
        <v>23</v>
      </c>
      <c r="K1023" s="19" t="s">
        <v>37</v>
      </c>
    </row>
    <row r="1024" spans="2:11" ht="19.899999999999999" customHeight="1">
      <c r="B1024" s="29">
        <v>2501021</v>
      </c>
      <c r="C1024" s="20" t="s">
        <v>42</v>
      </c>
      <c r="D1024" s="40">
        <v>44489</v>
      </c>
      <c r="E1024" s="29" t="s">
        <v>9</v>
      </c>
      <c r="F1024" s="25">
        <v>7</v>
      </c>
      <c r="G1024" s="21">
        <v>18.5</v>
      </c>
      <c r="H1024" s="21">
        <f t="shared" si="15"/>
        <v>129.5</v>
      </c>
      <c r="I1024" s="29" t="s">
        <v>22</v>
      </c>
      <c r="J1024" s="29" t="s">
        <v>19</v>
      </c>
      <c r="K1024" s="19" t="s">
        <v>36</v>
      </c>
    </row>
    <row r="1025" spans="2:11" ht="19.899999999999999" customHeight="1">
      <c r="B1025" s="29">
        <v>2501022</v>
      </c>
      <c r="C1025" s="20" t="s">
        <v>40</v>
      </c>
      <c r="D1025" s="40">
        <v>44490</v>
      </c>
      <c r="E1025" s="29" t="s">
        <v>21</v>
      </c>
      <c r="F1025" s="25">
        <v>1</v>
      </c>
      <c r="G1025" s="21">
        <v>48</v>
      </c>
      <c r="H1025" s="21">
        <f t="shared" si="15"/>
        <v>48</v>
      </c>
      <c r="I1025" s="29" t="s">
        <v>13</v>
      </c>
      <c r="J1025" s="29" t="s">
        <v>14</v>
      </c>
      <c r="K1025" s="19" t="s">
        <v>33</v>
      </c>
    </row>
    <row r="1026" spans="2:11" ht="19.899999999999999" customHeight="1">
      <c r="B1026" s="29">
        <v>2501023</v>
      </c>
      <c r="C1026" s="20" t="s">
        <v>44</v>
      </c>
      <c r="D1026" s="40">
        <v>44491</v>
      </c>
      <c r="E1026" s="29" t="s">
        <v>9</v>
      </c>
      <c r="F1026" s="25">
        <v>7</v>
      </c>
      <c r="G1026" s="21">
        <v>18.5</v>
      </c>
      <c r="H1026" s="21">
        <f t="shared" si="15"/>
        <v>129.5</v>
      </c>
      <c r="I1026" s="29" t="s">
        <v>26</v>
      </c>
      <c r="J1026" s="29" t="s">
        <v>29</v>
      </c>
      <c r="K1026" s="19" t="s">
        <v>38</v>
      </c>
    </row>
    <row r="1027" spans="2:11" ht="19.899999999999999" customHeight="1">
      <c r="B1027" s="29">
        <v>2501024</v>
      </c>
      <c r="C1027" s="20" t="s">
        <v>49</v>
      </c>
      <c r="D1027" s="40">
        <v>44492</v>
      </c>
      <c r="E1027" s="29" t="s">
        <v>20</v>
      </c>
      <c r="F1027" s="25">
        <v>4</v>
      </c>
      <c r="G1027" s="21">
        <v>36</v>
      </c>
      <c r="H1027" s="21">
        <f t="shared" si="15"/>
        <v>144</v>
      </c>
      <c r="I1027" s="29" t="s">
        <v>17</v>
      </c>
      <c r="J1027" s="29" t="s">
        <v>18</v>
      </c>
      <c r="K1027" s="19" t="s">
        <v>35</v>
      </c>
    </row>
    <row r="1028" spans="2:11" ht="19.899999999999999" customHeight="1">
      <c r="B1028" s="29">
        <v>2501025</v>
      </c>
      <c r="C1028" s="20" t="s">
        <v>48</v>
      </c>
      <c r="D1028" s="40">
        <v>44493</v>
      </c>
      <c r="E1028" s="29" t="s">
        <v>24</v>
      </c>
      <c r="F1028" s="25">
        <v>3</v>
      </c>
      <c r="G1028" s="21">
        <v>25.5</v>
      </c>
      <c r="H1028" s="21">
        <f t="shared" si="15"/>
        <v>76.5</v>
      </c>
      <c r="I1028" s="29" t="s">
        <v>28</v>
      </c>
      <c r="J1028" s="29" t="s">
        <v>30</v>
      </c>
      <c r="K1028" s="19" t="s">
        <v>33</v>
      </c>
    </row>
    <row r="1029" spans="2:11" ht="19.899999999999999" customHeight="1">
      <c r="B1029" s="29">
        <v>2501026</v>
      </c>
      <c r="C1029" s="20" t="s">
        <v>48</v>
      </c>
      <c r="D1029" s="40">
        <v>44494</v>
      </c>
      <c r="E1029" s="29" t="s">
        <v>20</v>
      </c>
      <c r="F1029" s="25">
        <v>4</v>
      </c>
      <c r="G1029" s="21">
        <v>36</v>
      </c>
      <c r="H1029" s="21">
        <f t="shared" si="15"/>
        <v>144</v>
      </c>
      <c r="I1029" s="29" t="s">
        <v>28</v>
      </c>
      <c r="J1029" s="29" t="s">
        <v>30</v>
      </c>
      <c r="K1029" s="19" t="s">
        <v>33</v>
      </c>
    </row>
    <row r="1030" spans="2:11" ht="19.899999999999999" customHeight="1">
      <c r="B1030" s="29">
        <v>2501027</v>
      </c>
      <c r="C1030" s="20" t="s">
        <v>44</v>
      </c>
      <c r="D1030" s="40">
        <v>44495</v>
      </c>
      <c r="E1030" s="29" t="s">
        <v>12</v>
      </c>
      <c r="F1030" s="25">
        <v>4</v>
      </c>
      <c r="G1030" s="21">
        <v>32</v>
      </c>
      <c r="H1030" s="21">
        <f t="shared" ref="H1030:H1093" si="16">+G1030*F1030</f>
        <v>128</v>
      </c>
      <c r="I1030" s="29" t="s">
        <v>25</v>
      </c>
      <c r="J1030" s="29" t="s">
        <v>23</v>
      </c>
      <c r="K1030" s="19" t="s">
        <v>37</v>
      </c>
    </row>
    <row r="1031" spans="2:11" ht="19.899999999999999" customHeight="1">
      <c r="B1031" s="29">
        <v>2501028</v>
      </c>
      <c r="C1031" s="20" t="s">
        <v>48</v>
      </c>
      <c r="D1031" s="40">
        <v>44496</v>
      </c>
      <c r="E1031" s="29" t="s">
        <v>9</v>
      </c>
      <c r="F1031" s="25">
        <v>10</v>
      </c>
      <c r="G1031" s="21">
        <v>18.5</v>
      </c>
      <c r="H1031" s="21">
        <f t="shared" si="16"/>
        <v>185</v>
      </c>
      <c r="I1031" s="29" t="s">
        <v>17</v>
      </c>
      <c r="J1031" s="29" t="s">
        <v>18</v>
      </c>
      <c r="K1031" s="19" t="s">
        <v>35</v>
      </c>
    </row>
    <row r="1032" spans="2:11" ht="19.899999999999999" customHeight="1">
      <c r="B1032" s="29">
        <v>2501029</v>
      </c>
      <c r="C1032" s="20" t="s">
        <v>45</v>
      </c>
      <c r="D1032" s="40">
        <v>44497</v>
      </c>
      <c r="E1032" s="29" t="s">
        <v>12</v>
      </c>
      <c r="F1032" s="25">
        <v>10</v>
      </c>
      <c r="G1032" s="21">
        <v>32</v>
      </c>
      <c r="H1032" s="21">
        <f t="shared" si="16"/>
        <v>320</v>
      </c>
      <c r="I1032" s="29" t="s">
        <v>28</v>
      </c>
      <c r="J1032" s="29" t="s">
        <v>30</v>
      </c>
      <c r="K1032" s="19" t="s">
        <v>33</v>
      </c>
    </row>
    <row r="1033" spans="2:11" ht="19.899999999999999" customHeight="1">
      <c r="B1033" s="29">
        <v>2501030</v>
      </c>
      <c r="C1033" s="20" t="s">
        <v>49</v>
      </c>
      <c r="D1033" s="40">
        <v>44498</v>
      </c>
      <c r="E1033" s="29" t="s">
        <v>27</v>
      </c>
      <c r="F1033" s="25">
        <v>10</v>
      </c>
      <c r="G1033" s="21">
        <v>15.5</v>
      </c>
      <c r="H1033" s="21">
        <f t="shared" si="16"/>
        <v>155</v>
      </c>
      <c r="I1033" s="29" t="s">
        <v>15</v>
      </c>
      <c r="J1033" s="29" t="s">
        <v>16</v>
      </c>
      <c r="K1033" s="19" t="s">
        <v>34</v>
      </c>
    </row>
    <row r="1034" spans="2:11" ht="19.899999999999999" customHeight="1">
      <c r="B1034" s="29">
        <v>2501031</v>
      </c>
      <c r="C1034" s="20" t="s">
        <v>40</v>
      </c>
      <c r="D1034" s="40">
        <v>44499</v>
      </c>
      <c r="E1034" s="29" t="s">
        <v>12</v>
      </c>
      <c r="F1034" s="25">
        <v>9</v>
      </c>
      <c r="G1034" s="21">
        <v>32</v>
      </c>
      <c r="H1034" s="21">
        <f t="shared" si="16"/>
        <v>288</v>
      </c>
      <c r="I1034" s="29" t="s">
        <v>25</v>
      </c>
      <c r="J1034" s="29" t="s">
        <v>23</v>
      </c>
      <c r="K1034" s="19" t="s">
        <v>37</v>
      </c>
    </row>
    <row r="1035" spans="2:11" ht="19.899999999999999" customHeight="1">
      <c r="B1035" s="29">
        <v>2501032</v>
      </c>
      <c r="C1035" s="20" t="s">
        <v>45</v>
      </c>
      <c r="D1035" s="40">
        <v>44500</v>
      </c>
      <c r="E1035" s="29" t="s">
        <v>9</v>
      </c>
      <c r="F1035" s="25">
        <v>1</v>
      </c>
      <c r="G1035" s="21">
        <v>18.5</v>
      </c>
      <c r="H1035" s="21">
        <f t="shared" si="16"/>
        <v>18.5</v>
      </c>
      <c r="I1035" s="29" t="s">
        <v>25</v>
      </c>
      <c r="J1035" s="29" t="s">
        <v>23</v>
      </c>
      <c r="K1035" s="19" t="s">
        <v>37</v>
      </c>
    </row>
    <row r="1036" spans="2:11" ht="19.899999999999999" customHeight="1">
      <c r="B1036" s="29">
        <v>2501033</v>
      </c>
      <c r="C1036" s="20" t="s">
        <v>48</v>
      </c>
      <c r="D1036" s="40">
        <v>44501</v>
      </c>
      <c r="E1036" s="29" t="s">
        <v>27</v>
      </c>
      <c r="F1036" s="25">
        <v>3</v>
      </c>
      <c r="G1036" s="21">
        <v>15.5</v>
      </c>
      <c r="H1036" s="21">
        <f t="shared" si="16"/>
        <v>46.5</v>
      </c>
      <c r="I1036" s="29" t="s">
        <v>22</v>
      </c>
      <c r="J1036" s="29" t="s">
        <v>19</v>
      </c>
      <c r="K1036" s="19" t="s">
        <v>36</v>
      </c>
    </row>
    <row r="1037" spans="2:11" ht="19.899999999999999" customHeight="1">
      <c r="B1037" s="29">
        <v>2501034</v>
      </c>
      <c r="C1037" s="20" t="s">
        <v>42</v>
      </c>
      <c r="D1037" s="40">
        <v>44502</v>
      </c>
      <c r="E1037" s="29" t="s">
        <v>21</v>
      </c>
      <c r="F1037" s="25">
        <v>7</v>
      </c>
      <c r="G1037" s="21">
        <v>48</v>
      </c>
      <c r="H1037" s="21">
        <f t="shared" si="16"/>
        <v>336</v>
      </c>
      <c r="I1037" s="29" t="s">
        <v>28</v>
      </c>
      <c r="J1037" s="29" t="s">
        <v>30</v>
      </c>
      <c r="K1037" s="19" t="s">
        <v>33</v>
      </c>
    </row>
    <row r="1038" spans="2:11" ht="19.899999999999999" customHeight="1">
      <c r="B1038" s="29">
        <v>2501035</v>
      </c>
      <c r="C1038" s="20" t="s">
        <v>46</v>
      </c>
      <c r="D1038" s="40">
        <v>44503</v>
      </c>
      <c r="E1038" s="29" t="s">
        <v>12</v>
      </c>
      <c r="F1038" s="25">
        <v>6</v>
      </c>
      <c r="G1038" s="21">
        <v>32</v>
      </c>
      <c r="H1038" s="21">
        <f t="shared" si="16"/>
        <v>192</v>
      </c>
      <c r="I1038" s="29" t="s">
        <v>17</v>
      </c>
      <c r="J1038" s="29" t="s">
        <v>18</v>
      </c>
      <c r="K1038" s="19" t="s">
        <v>35</v>
      </c>
    </row>
    <row r="1039" spans="2:11" ht="19.899999999999999" customHeight="1">
      <c r="B1039" s="29">
        <v>2501036</v>
      </c>
      <c r="C1039" s="20" t="s">
        <v>46</v>
      </c>
      <c r="D1039" s="40">
        <v>44504</v>
      </c>
      <c r="E1039" s="29" t="s">
        <v>9</v>
      </c>
      <c r="F1039" s="25">
        <v>5</v>
      </c>
      <c r="G1039" s="21">
        <v>18.5</v>
      </c>
      <c r="H1039" s="21">
        <f t="shared" si="16"/>
        <v>92.5</v>
      </c>
      <c r="I1039" s="29" t="s">
        <v>26</v>
      </c>
      <c r="J1039" s="29" t="s">
        <v>29</v>
      </c>
      <c r="K1039" s="19" t="s">
        <v>38</v>
      </c>
    </row>
    <row r="1040" spans="2:11" ht="19.899999999999999" customHeight="1">
      <c r="B1040" s="29">
        <v>2501037</v>
      </c>
      <c r="C1040" s="20" t="s">
        <v>49</v>
      </c>
      <c r="D1040" s="40">
        <v>44505</v>
      </c>
      <c r="E1040" s="29" t="s">
        <v>24</v>
      </c>
      <c r="F1040" s="25">
        <v>4</v>
      </c>
      <c r="G1040" s="21">
        <v>25.5</v>
      </c>
      <c r="H1040" s="21">
        <f t="shared" si="16"/>
        <v>102</v>
      </c>
      <c r="I1040" s="29" t="s">
        <v>26</v>
      </c>
      <c r="J1040" s="29" t="s">
        <v>29</v>
      </c>
      <c r="K1040" s="19" t="s">
        <v>38</v>
      </c>
    </row>
    <row r="1041" spans="2:11" ht="19.899999999999999" customHeight="1">
      <c r="B1041" s="29">
        <v>2501038</v>
      </c>
      <c r="C1041" s="20" t="s">
        <v>48</v>
      </c>
      <c r="D1041" s="40">
        <v>44506</v>
      </c>
      <c r="E1041" s="29" t="s">
        <v>21</v>
      </c>
      <c r="F1041" s="25">
        <v>8</v>
      </c>
      <c r="G1041" s="21">
        <v>48</v>
      </c>
      <c r="H1041" s="21">
        <f t="shared" si="16"/>
        <v>384</v>
      </c>
      <c r="I1041" s="29" t="s">
        <v>22</v>
      </c>
      <c r="J1041" s="29" t="s">
        <v>19</v>
      </c>
      <c r="K1041" s="19" t="s">
        <v>36</v>
      </c>
    </row>
    <row r="1042" spans="2:11" ht="19.899999999999999" customHeight="1">
      <c r="B1042" s="29">
        <v>2501039</v>
      </c>
      <c r="C1042" s="20" t="s">
        <v>43</v>
      </c>
      <c r="D1042" s="40">
        <v>44507</v>
      </c>
      <c r="E1042" s="29" t="s">
        <v>9</v>
      </c>
      <c r="F1042" s="25">
        <v>7</v>
      </c>
      <c r="G1042" s="21">
        <v>18.5</v>
      </c>
      <c r="H1042" s="21">
        <f t="shared" si="16"/>
        <v>129.5</v>
      </c>
      <c r="I1042" s="29" t="s">
        <v>28</v>
      </c>
      <c r="J1042" s="29" t="s">
        <v>30</v>
      </c>
      <c r="K1042" s="19" t="s">
        <v>33</v>
      </c>
    </row>
    <row r="1043" spans="2:11" ht="19.899999999999999" customHeight="1">
      <c r="B1043" s="29">
        <v>2501040</v>
      </c>
      <c r="C1043" s="20" t="s">
        <v>44</v>
      </c>
      <c r="D1043" s="40">
        <v>44508</v>
      </c>
      <c r="E1043" s="29" t="s">
        <v>20</v>
      </c>
      <c r="F1043" s="25">
        <v>1</v>
      </c>
      <c r="G1043" s="21">
        <v>36</v>
      </c>
      <c r="H1043" s="21">
        <f t="shared" si="16"/>
        <v>36</v>
      </c>
      <c r="I1043" s="29" t="s">
        <v>25</v>
      </c>
      <c r="J1043" s="29" t="s">
        <v>23</v>
      </c>
      <c r="K1043" s="19" t="s">
        <v>37</v>
      </c>
    </row>
    <row r="1044" spans="2:11" ht="19.899999999999999" customHeight="1">
      <c r="B1044" s="29">
        <v>2501041</v>
      </c>
      <c r="C1044" s="20" t="s">
        <v>42</v>
      </c>
      <c r="D1044" s="40">
        <v>44509</v>
      </c>
      <c r="E1044" s="29" t="s">
        <v>21</v>
      </c>
      <c r="F1044" s="25">
        <v>4</v>
      </c>
      <c r="G1044" s="21">
        <v>48</v>
      </c>
      <c r="H1044" s="21">
        <f t="shared" si="16"/>
        <v>192</v>
      </c>
      <c r="I1044" s="29" t="s">
        <v>22</v>
      </c>
      <c r="J1044" s="29" t="s">
        <v>19</v>
      </c>
      <c r="K1044" s="19" t="s">
        <v>36</v>
      </c>
    </row>
    <row r="1045" spans="2:11" ht="19.899999999999999" customHeight="1">
      <c r="B1045" s="29">
        <v>2501042</v>
      </c>
      <c r="C1045" s="20" t="s">
        <v>48</v>
      </c>
      <c r="D1045" s="40">
        <v>44510</v>
      </c>
      <c r="E1045" s="29" t="s">
        <v>21</v>
      </c>
      <c r="F1045" s="25">
        <v>8</v>
      </c>
      <c r="G1045" s="21">
        <v>48</v>
      </c>
      <c r="H1045" s="21">
        <f t="shared" si="16"/>
        <v>384</v>
      </c>
      <c r="I1045" s="29" t="s">
        <v>10</v>
      </c>
      <c r="J1045" s="29" t="s">
        <v>11</v>
      </c>
      <c r="K1045" s="19" t="s">
        <v>32</v>
      </c>
    </row>
    <row r="1046" spans="2:11" ht="19.899999999999999" customHeight="1">
      <c r="B1046" s="29">
        <v>2501043</v>
      </c>
      <c r="C1046" s="20" t="s">
        <v>43</v>
      </c>
      <c r="D1046" s="40">
        <v>44511</v>
      </c>
      <c r="E1046" s="29" t="s">
        <v>24</v>
      </c>
      <c r="F1046" s="25">
        <v>7</v>
      </c>
      <c r="G1046" s="21">
        <v>25.5</v>
      </c>
      <c r="H1046" s="21">
        <f t="shared" si="16"/>
        <v>178.5</v>
      </c>
      <c r="I1046" s="29" t="s">
        <v>26</v>
      </c>
      <c r="J1046" s="29" t="s">
        <v>29</v>
      </c>
      <c r="K1046" s="19" t="s">
        <v>38</v>
      </c>
    </row>
    <row r="1047" spans="2:11" ht="19.899999999999999" customHeight="1">
      <c r="B1047" s="29">
        <v>2501044</v>
      </c>
      <c r="C1047" s="20" t="s">
        <v>48</v>
      </c>
      <c r="D1047" s="40">
        <v>44512</v>
      </c>
      <c r="E1047" s="29" t="s">
        <v>12</v>
      </c>
      <c r="F1047" s="25">
        <v>9</v>
      </c>
      <c r="G1047" s="21">
        <v>32</v>
      </c>
      <c r="H1047" s="21">
        <f t="shared" si="16"/>
        <v>288</v>
      </c>
      <c r="I1047" s="29" t="s">
        <v>10</v>
      </c>
      <c r="J1047" s="29" t="s">
        <v>11</v>
      </c>
      <c r="K1047" s="19" t="s">
        <v>32</v>
      </c>
    </row>
    <row r="1048" spans="2:11" ht="19.899999999999999" customHeight="1">
      <c r="B1048" s="29">
        <v>2501045</v>
      </c>
      <c r="C1048" s="20" t="s">
        <v>48</v>
      </c>
      <c r="D1048" s="40">
        <v>44513</v>
      </c>
      <c r="E1048" s="29" t="s">
        <v>12</v>
      </c>
      <c r="F1048" s="25">
        <v>2</v>
      </c>
      <c r="G1048" s="21">
        <v>32</v>
      </c>
      <c r="H1048" s="21">
        <f t="shared" si="16"/>
        <v>64</v>
      </c>
      <c r="I1048" s="29" t="s">
        <v>17</v>
      </c>
      <c r="J1048" s="29" t="s">
        <v>18</v>
      </c>
      <c r="K1048" s="19" t="s">
        <v>35</v>
      </c>
    </row>
    <row r="1049" spans="2:11" ht="19.899999999999999" customHeight="1">
      <c r="B1049" s="29">
        <v>2501046</v>
      </c>
      <c r="C1049" s="20" t="s">
        <v>40</v>
      </c>
      <c r="D1049" s="40">
        <v>44514</v>
      </c>
      <c r="E1049" s="29" t="s">
        <v>21</v>
      </c>
      <c r="F1049" s="25">
        <v>2</v>
      </c>
      <c r="G1049" s="21">
        <v>48</v>
      </c>
      <c r="H1049" s="21">
        <f t="shared" si="16"/>
        <v>96</v>
      </c>
      <c r="I1049" s="29" t="s">
        <v>10</v>
      </c>
      <c r="J1049" s="29" t="s">
        <v>11</v>
      </c>
      <c r="K1049" s="19" t="s">
        <v>32</v>
      </c>
    </row>
    <row r="1050" spans="2:11" ht="19.899999999999999" customHeight="1">
      <c r="B1050" s="29">
        <v>2501047</v>
      </c>
      <c r="C1050" s="20" t="s">
        <v>46</v>
      </c>
      <c r="D1050" s="40">
        <v>44515</v>
      </c>
      <c r="E1050" s="29" t="s">
        <v>21</v>
      </c>
      <c r="F1050" s="25">
        <v>2</v>
      </c>
      <c r="G1050" s="21">
        <v>48</v>
      </c>
      <c r="H1050" s="21">
        <f t="shared" si="16"/>
        <v>96</v>
      </c>
      <c r="I1050" s="29" t="s">
        <v>22</v>
      </c>
      <c r="J1050" s="29" t="s">
        <v>19</v>
      </c>
      <c r="K1050" s="19" t="s">
        <v>36</v>
      </c>
    </row>
    <row r="1051" spans="2:11" ht="19.899999999999999" customHeight="1">
      <c r="B1051" s="29">
        <v>2501048</v>
      </c>
      <c r="C1051" s="20" t="s">
        <v>42</v>
      </c>
      <c r="D1051" s="40">
        <v>44516</v>
      </c>
      <c r="E1051" s="29" t="s">
        <v>9</v>
      </c>
      <c r="F1051" s="25">
        <v>7</v>
      </c>
      <c r="G1051" s="21">
        <v>18.5</v>
      </c>
      <c r="H1051" s="21">
        <f t="shared" si="16"/>
        <v>129.5</v>
      </c>
      <c r="I1051" s="29" t="s">
        <v>13</v>
      </c>
      <c r="J1051" s="29" t="s">
        <v>14</v>
      </c>
      <c r="K1051" s="19" t="s">
        <v>33</v>
      </c>
    </row>
    <row r="1052" spans="2:11" ht="19.899999999999999" customHeight="1">
      <c r="B1052" s="29">
        <v>2501049</v>
      </c>
      <c r="C1052" s="20" t="s">
        <v>42</v>
      </c>
      <c r="D1052" s="40">
        <v>44517</v>
      </c>
      <c r="E1052" s="29" t="s">
        <v>24</v>
      </c>
      <c r="F1052" s="25">
        <v>8</v>
      </c>
      <c r="G1052" s="21">
        <v>25.5</v>
      </c>
      <c r="H1052" s="21">
        <f t="shared" si="16"/>
        <v>204</v>
      </c>
      <c r="I1052" s="29" t="s">
        <v>26</v>
      </c>
      <c r="J1052" s="29" t="s">
        <v>29</v>
      </c>
      <c r="K1052" s="19" t="s">
        <v>38</v>
      </c>
    </row>
    <row r="1053" spans="2:11" ht="19.899999999999999" customHeight="1">
      <c r="B1053" s="29">
        <v>2501050</v>
      </c>
      <c r="C1053" s="20" t="s">
        <v>48</v>
      </c>
      <c r="D1053" s="40">
        <v>44518</v>
      </c>
      <c r="E1053" s="29" t="s">
        <v>27</v>
      </c>
      <c r="F1053" s="25">
        <v>5</v>
      </c>
      <c r="G1053" s="21">
        <v>15.5</v>
      </c>
      <c r="H1053" s="21">
        <f t="shared" si="16"/>
        <v>77.5</v>
      </c>
      <c r="I1053" s="29" t="s">
        <v>28</v>
      </c>
      <c r="J1053" s="29" t="s">
        <v>30</v>
      </c>
      <c r="K1053" s="19" t="s">
        <v>33</v>
      </c>
    </row>
    <row r="1054" spans="2:11" ht="19.899999999999999" customHeight="1">
      <c r="B1054" s="29">
        <v>2501051</v>
      </c>
      <c r="C1054" s="20" t="s">
        <v>42</v>
      </c>
      <c r="D1054" s="40">
        <v>44519</v>
      </c>
      <c r="E1054" s="29" t="s">
        <v>12</v>
      </c>
      <c r="F1054" s="25">
        <v>3</v>
      </c>
      <c r="G1054" s="21">
        <v>32</v>
      </c>
      <c r="H1054" s="21">
        <f t="shared" si="16"/>
        <v>96</v>
      </c>
      <c r="I1054" s="29" t="s">
        <v>10</v>
      </c>
      <c r="J1054" s="29" t="s">
        <v>11</v>
      </c>
      <c r="K1054" s="19" t="s">
        <v>32</v>
      </c>
    </row>
    <row r="1055" spans="2:11" ht="19.899999999999999" customHeight="1">
      <c r="B1055" s="29">
        <v>2501052</v>
      </c>
      <c r="C1055" s="20" t="s">
        <v>46</v>
      </c>
      <c r="D1055" s="40">
        <v>44520</v>
      </c>
      <c r="E1055" s="29" t="s">
        <v>24</v>
      </c>
      <c r="F1055" s="25">
        <v>4</v>
      </c>
      <c r="G1055" s="21">
        <v>25.5</v>
      </c>
      <c r="H1055" s="21">
        <f t="shared" si="16"/>
        <v>102</v>
      </c>
      <c r="I1055" s="29" t="s">
        <v>17</v>
      </c>
      <c r="J1055" s="29" t="s">
        <v>18</v>
      </c>
      <c r="K1055" s="19" t="s">
        <v>35</v>
      </c>
    </row>
    <row r="1056" spans="2:11" ht="19.899999999999999" customHeight="1">
      <c r="B1056" s="29">
        <v>2501053</v>
      </c>
      <c r="C1056" s="20" t="s">
        <v>44</v>
      </c>
      <c r="D1056" s="40">
        <v>44521</v>
      </c>
      <c r="E1056" s="29" t="s">
        <v>24</v>
      </c>
      <c r="F1056" s="25">
        <v>7</v>
      </c>
      <c r="G1056" s="21">
        <v>25.5</v>
      </c>
      <c r="H1056" s="21">
        <f t="shared" si="16"/>
        <v>178.5</v>
      </c>
      <c r="I1056" s="29" t="s">
        <v>26</v>
      </c>
      <c r="J1056" s="29" t="s">
        <v>29</v>
      </c>
      <c r="K1056" s="19" t="s">
        <v>38</v>
      </c>
    </row>
    <row r="1057" spans="2:11" ht="19.899999999999999" customHeight="1">
      <c r="B1057" s="29">
        <v>2501054</v>
      </c>
      <c r="C1057" s="20" t="s">
        <v>42</v>
      </c>
      <c r="D1057" s="40">
        <v>44522</v>
      </c>
      <c r="E1057" s="29" t="s">
        <v>9</v>
      </c>
      <c r="F1057" s="25">
        <v>6</v>
      </c>
      <c r="G1057" s="21">
        <v>18.5</v>
      </c>
      <c r="H1057" s="21">
        <f t="shared" si="16"/>
        <v>111</v>
      </c>
      <c r="I1057" s="29" t="s">
        <v>28</v>
      </c>
      <c r="J1057" s="29" t="s">
        <v>30</v>
      </c>
      <c r="K1057" s="19" t="s">
        <v>33</v>
      </c>
    </row>
    <row r="1058" spans="2:11" ht="19.899999999999999" customHeight="1">
      <c r="B1058" s="29">
        <v>2501055</v>
      </c>
      <c r="C1058" s="20" t="s">
        <v>44</v>
      </c>
      <c r="D1058" s="40">
        <v>44523</v>
      </c>
      <c r="E1058" s="29" t="s">
        <v>20</v>
      </c>
      <c r="F1058" s="25">
        <v>6</v>
      </c>
      <c r="G1058" s="21">
        <v>36</v>
      </c>
      <c r="H1058" s="21">
        <f t="shared" si="16"/>
        <v>216</v>
      </c>
      <c r="I1058" s="29" t="s">
        <v>28</v>
      </c>
      <c r="J1058" s="29" t="s">
        <v>30</v>
      </c>
      <c r="K1058" s="19" t="s">
        <v>33</v>
      </c>
    </row>
    <row r="1059" spans="2:11" ht="19.899999999999999" customHeight="1">
      <c r="B1059" s="29">
        <v>2501056</v>
      </c>
      <c r="C1059" s="20" t="s">
        <v>49</v>
      </c>
      <c r="D1059" s="40">
        <v>44524</v>
      </c>
      <c r="E1059" s="29" t="s">
        <v>21</v>
      </c>
      <c r="F1059" s="25">
        <v>4</v>
      </c>
      <c r="G1059" s="21">
        <v>48</v>
      </c>
      <c r="H1059" s="21">
        <f t="shared" si="16"/>
        <v>192</v>
      </c>
      <c r="I1059" s="29" t="s">
        <v>22</v>
      </c>
      <c r="J1059" s="29" t="s">
        <v>19</v>
      </c>
      <c r="K1059" s="19" t="s">
        <v>36</v>
      </c>
    </row>
    <row r="1060" spans="2:11" ht="19.899999999999999" customHeight="1">
      <c r="B1060" s="29">
        <v>2501057</v>
      </c>
      <c r="C1060" s="20" t="s">
        <v>43</v>
      </c>
      <c r="D1060" s="40">
        <v>44525</v>
      </c>
      <c r="E1060" s="29" t="s">
        <v>24</v>
      </c>
      <c r="F1060" s="25">
        <v>5</v>
      </c>
      <c r="G1060" s="21">
        <v>25.5</v>
      </c>
      <c r="H1060" s="21">
        <f t="shared" si="16"/>
        <v>127.5</v>
      </c>
      <c r="I1060" s="29" t="s">
        <v>28</v>
      </c>
      <c r="J1060" s="29" t="s">
        <v>30</v>
      </c>
      <c r="K1060" s="19" t="s">
        <v>33</v>
      </c>
    </row>
    <row r="1061" spans="2:11" ht="19.899999999999999" customHeight="1">
      <c r="B1061" s="29">
        <v>2501058</v>
      </c>
      <c r="C1061" s="20" t="s">
        <v>44</v>
      </c>
      <c r="D1061" s="40">
        <v>44526</v>
      </c>
      <c r="E1061" s="29" t="s">
        <v>20</v>
      </c>
      <c r="F1061" s="25">
        <v>10</v>
      </c>
      <c r="G1061" s="21">
        <v>36</v>
      </c>
      <c r="H1061" s="21">
        <f t="shared" si="16"/>
        <v>360</v>
      </c>
      <c r="I1061" s="29" t="s">
        <v>26</v>
      </c>
      <c r="J1061" s="29" t="s">
        <v>29</v>
      </c>
      <c r="K1061" s="19" t="s">
        <v>38</v>
      </c>
    </row>
    <row r="1062" spans="2:11" ht="19.899999999999999" customHeight="1">
      <c r="B1062" s="29">
        <v>2501059</v>
      </c>
      <c r="C1062" s="20" t="s">
        <v>44</v>
      </c>
      <c r="D1062" s="40">
        <v>44527</v>
      </c>
      <c r="E1062" s="29" t="s">
        <v>27</v>
      </c>
      <c r="F1062" s="25">
        <v>4</v>
      </c>
      <c r="G1062" s="21">
        <v>15.5</v>
      </c>
      <c r="H1062" s="21">
        <f t="shared" si="16"/>
        <v>62</v>
      </c>
      <c r="I1062" s="29" t="s">
        <v>26</v>
      </c>
      <c r="J1062" s="29" t="s">
        <v>29</v>
      </c>
      <c r="K1062" s="19" t="s">
        <v>38</v>
      </c>
    </row>
    <row r="1063" spans="2:11" ht="19.899999999999999" customHeight="1">
      <c r="B1063" s="29">
        <v>2501060</v>
      </c>
      <c r="C1063" s="20" t="s">
        <v>48</v>
      </c>
      <c r="D1063" s="40">
        <v>44528</v>
      </c>
      <c r="E1063" s="29" t="s">
        <v>9</v>
      </c>
      <c r="F1063" s="25">
        <v>10</v>
      </c>
      <c r="G1063" s="21">
        <v>18.5</v>
      </c>
      <c r="H1063" s="21">
        <f t="shared" si="16"/>
        <v>185</v>
      </c>
      <c r="I1063" s="29" t="s">
        <v>15</v>
      </c>
      <c r="J1063" s="29" t="s">
        <v>16</v>
      </c>
      <c r="K1063" s="19" t="s">
        <v>34</v>
      </c>
    </row>
    <row r="1064" spans="2:11" ht="19.899999999999999" customHeight="1">
      <c r="B1064" s="29">
        <v>2501061</v>
      </c>
      <c r="C1064" s="20" t="s">
        <v>43</v>
      </c>
      <c r="D1064" s="40">
        <v>44529</v>
      </c>
      <c r="E1064" s="29" t="s">
        <v>9</v>
      </c>
      <c r="F1064" s="25">
        <v>10</v>
      </c>
      <c r="G1064" s="21">
        <v>18.5</v>
      </c>
      <c r="H1064" s="21">
        <f t="shared" si="16"/>
        <v>185</v>
      </c>
      <c r="I1064" s="29" t="s">
        <v>13</v>
      </c>
      <c r="J1064" s="29" t="s">
        <v>14</v>
      </c>
      <c r="K1064" s="19" t="s">
        <v>33</v>
      </c>
    </row>
    <row r="1065" spans="2:11" ht="19.899999999999999" customHeight="1">
      <c r="B1065" s="29">
        <v>2501062</v>
      </c>
      <c r="C1065" s="20" t="s">
        <v>45</v>
      </c>
      <c r="D1065" s="40">
        <v>44530</v>
      </c>
      <c r="E1065" s="29" t="s">
        <v>24</v>
      </c>
      <c r="F1065" s="25">
        <v>2</v>
      </c>
      <c r="G1065" s="21">
        <v>25.5</v>
      </c>
      <c r="H1065" s="21">
        <f t="shared" si="16"/>
        <v>51</v>
      </c>
      <c r="I1065" s="29" t="s">
        <v>15</v>
      </c>
      <c r="J1065" s="29" t="s">
        <v>16</v>
      </c>
      <c r="K1065" s="19" t="s">
        <v>34</v>
      </c>
    </row>
    <row r="1066" spans="2:11" ht="19.899999999999999" customHeight="1">
      <c r="B1066" s="29">
        <v>2501063</v>
      </c>
      <c r="C1066" s="20" t="s">
        <v>42</v>
      </c>
      <c r="D1066" s="40">
        <v>44531</v>
      </c>
      <c r="E1066" s="29" t="s">
        <v>21</v>
      </c>
      <c r="F1066" s="25">
        <v>6</v>
      </c>
      <c r="G1066" s="21">
        <v>48</v>
      </c>
      <c r="H1066" s="21">
        <f t="shared" si="16"/>
        <v>288</v>
      </c>
      <c r="I1066" s="29" t="s">
        <v>26</v>
      </c>
      <c r="J1066" s="29" t="s">
        <v>29</v>
      </c>
      <c r="K1066" s="19" t="s">
        <v>38</v>
      </c>
    </row>
    <row r="1067" spans="2:11" ht="19.899999999999999" customHeight="1">
      <c r="B1067" s="29">
        <v>2501064</v>
      </c>
      <c r="C1067" s="20" t="s">
        <v>41</v>
      </c>
      <c r="D1067" s="40">
        <v>44532</v>
      </c>
      <c r="E1067" s="29" t="s">
        <v>20</v>
      </c>
      <c r="F1067" s="25">
        <v>9</v>
      </c>
      <c r="G1067" s="21">
        <v>36</v>
      </c>
      <c r="H1067" s="21">
        <f t="shared" si="16"/>
        <v>324</v>
      </c>
      <c r="I1067" s="29" t="s">
        <v>10</v>
      </c>
      <c r="J1067" s="29" t="s">
        <v>11</v>
      </c>
      <c r="K1067" s="19" t="s">
        <v>32</v>
      </c>
    </row>
    <row r="1068" spans="2:11" ht="19.899999999999999" customHeight="1">
      <c r="B1068" s="29">
        <v>2501065</v>
      </c>
      <c r="C1068" s="20" t="s">
        <v>42</v>
      </c>
      <c r="D1068" s="40">
        <v>44533</v>
      </c>
      <c r="E1068" s="29" t="s">
        <v>12</v>
      </c>
      <c r="F1068" s="25">
        <v>6</v>
      </c>
      <c r="G1068" s="21">
        <v>32</v>
      </c>
      <c r="H1068" s="21">
        <f t="shared" si="16"/>
        <v>192</v>
      </c>
      <c r="I1068" s="29" t="s">
        <v>26</v>
      </c>
      <c r="J1068" s="29" t="s">
        <v>29</v>
      </c>
      <c r="K1068" s="19" t="s">
        <v>38</v>
      </c>
    </row>
    <row r="1069" spans="2:11" ht="19.899999999999999" customHeight="1">
      <c r="B1069" s="29">
        <v>2501066</v>
      </c>
      <c r="C1069" s="20" t="s">
        <v>45</v>
      </c>
      <c r="D1069" s="40">
        <v>44534</v>
      </c>
      <c r="E1069" s="29" t="s">
        <v>27</v>
      </c>
      <c r="F1069" s="25">
        <v>8</v>
      </c>
      <c r="G1069" s="21">
        <v>15.5</v>
      </c>
      <c r="H1069" s="21">
        <f t="shared" si="16"/>
        <v>124</v>
      </c>
      <c r="I1069" s="29" t="s">
        <v>15</v>
      </c>
      <c r="J1069" s="29" t="s">
        <v>16</v>
      </c>
      <c r="K1069" s="19" t="s">
        <v>34</v>
      </c>
    </row>
    <row r="1070" spans="2:11" ht="19.899999999999999" customHeight="1">
      <c r="B1070" s="29">
        <v>2501067</v>
      </c>
      <c r="C1070" s="20" t="s">
        <v>48</v>
      </c>
      <c r="D1070" s="40">
        <v>44535</v>
      </c>
      <c r="E1070" s="29" t="s">
        <v>12</v>
      </c>
      <c r="F1070" s="25">
        <v>3</v>
      </c>
      <c r="G1070" s="21">
        <v>32</v>
      </c>
      <c r="H1070" s="21">
        <f t="shared" si="16"/>
        <v>96</v>
      </c>
      <c r="I1070" s="29" t="s">
        <v>28</v>
      </c>
      <c r="J1070" s="29" t="s">
        <v>30</v>
      </c>
      <c r="K1070" s="19" t="s">
        <v>33</v>
      </c>
    </row>
    <row r="1071" spans="2:11" ht="19.899999999999999" customHeight="1">
      <c r="B1071" s="29">
        <v>2501068</v>
      </c>
      <c r="C1071" s="20" t="s">
        <v>40</v>
      </c>
      <c r="D1071" s="40">
        <v>44536</v>
      </c>
      <c r="E1071" s="29" t="s">
        <v>24</v>
      </c>
      <c r="F1071" s="25">
        <v>3</v>
      </c>
      <c r="G1071" s="21">
        <v>25.5</v>
      </c>
      <c r="H1071" s="21">
        <f t="shared" si="16"/>
        <v>76.5</v>
      </c>
      <c r="I1071" s="29" t="s">
        <v>17</v>
      </c>
      <c r="J1071" s="29" t="s">
        <v>18</v>
      </c>
      <c r="K1071" s="19" t="s">
        <v>35</v>
      </c>
    </row>
    <row r="1072" spans="2:11" ht="19.899999999999999" customHeight="1">
      <c r="B1072" s="29">
        <v>2501069</v>
      </c>
      <c r="C1072" s="20" t="s">
        <v>47</v>
      </c>
      <c r="D1072" s="40">
        <v>44537</v>
      </c>
      <c r="E1072" s="29" t="s">
        <v>24</v>
      </c>
      <c r="F1072" s="25">
        <v>7</v>
      </c>
      <c r="G1072" s="21">
        <v>25.5</v>
      </c>
      <c r="H1072" s="21">
        <f t="shared" si="16"/>
        <v>178.5</v>
      </c>
      <c r="I1072" s="29" t="s">
        <v>28</v>
      </c>
      <c r="J1072" s="29" t="s">
        <v>30</v>
      </c>
      <c r="K1072" s="19" t="s">
        <v>33</v>
      </c>
    </row>
    <row r="1073" spans="2:11" ht="19.899999999999999" customHeight="1">
      <c r="B1073" s="29">
        <v>2501070</v>
      </c>
      <c r="C1073" s="20" t="s">
        <v>47</v>
      </c>
      <c r="D1073" s="40">
        <v>44538</v>
      </c>
      <c r="E1073" s="29" t="s">
        <v>21</v>
      </c>
      <c r="F1073" s="25">
        <v>7</v>
      </c>
      <c r="G1073" s="21">
        <v>48</v>
      </c>
      <c r="H1073" s="21">
        <f t="shared" si="16"/>
        <v>336</v>
      </c>
      <c r="I1073" s="29" t="s">
        <v>28</v>
      </c>
      <c r="J1073" s="29" t="s">
        <v>30</v>
      </c>
      <c r="K1073" s="19" t="s">
        <v>33</v>
      </c>
    </row>
    <row r="1074" spans="2:11" ht="19.899999999999999" customHeight="1">
      <c r="B1074" s="29">
        <v>2501071</v>
      </c>
      <c r="C1074" s="20" t="s">
        <v>47</v>
      </c>
      <c r="D1074" s="40">
        <v>44539</v>
      </c>
      <c r="E1074" s="29" t="s">
        <v>27</v>
      </c>
      <c r="F1074" s="25">
        <v>3</v>
      </c>
      <c r="G1074" s="21">
        <v>15.5</v>
      </c>
      <c r="H1074" s="21">
        <f t="shared" si="16"/>
        <v>46.5</v>
      </c>
      <c r="I1074" s="29" t="s">
        <v>26</v>
      </c>
      <c r="J1074" s="29" t="s">
        <v>29</v>
      </c>
      <c r="K1074" s="19" t="s">
        <v>38</v>
      </c>
    </row>
    <row r="1075" spans="2:11" ht="19.899999999999999" customHeight="1">
      <c r="B1075" s="29">
        <v>2501072</v>
      </c>
      <c r="C1075" s="20" t="s">
        <v>48</v>
      </c>
      <c r="D1075" s="40">
        <v>44540</v>
      </c>
      <c r="E1075" s="29" t="s">
        <v>20</v>
      </c>
      <c r="F1075" s="25">
        <v>8</v>
      </c>
      <c r="G1075" s="21">
        <v>36</v>
      </c>
      <c r="H1075" s="21">
        <f t="shared" si="16"/>
        <v>288</v>
      </c>
      <c r="I1075" s="29" t="s">
        <v>25</v>
      </c>
      <c r="J1075" s="29" t="s">
        <v>23</v>
      </c>
      <c r="K1075" s="19" t="s">
        <v>37</v>
      </c>
    </row>
    <row r="1076" spans="2:11" ht="19.899999999999999" customHeight="1">
      <c r="B1076" s="29">
        <v>2501073</v>
      </c>
      <c r="C1076" s="20" t="s">
        <v>41</v>
      </c>
      <c r="D1076" s="40">
        <v>44541</v>
      </c>
      <c r="E1076" s="29" t="s">
        <v>9</v>
      </c>
      <c r="F1076" s="25">
        <v>4</v>
      </c>
      <c r="G1076" s="21">
        <v>18.5</v>
      </c>
      <c r="H1076" s="21">
        <f t="shared" si="16"/>
        <v>74</v>
      </c>
      <c r="I1076" s="29" t="s">
        <v>13</v>
      </c>
      <c r="J1076" s="29" t="s">
        <v>14</v>
      </c>
      <c r="K1076" s="19" t="s">
        <v>33</v>
      </c>
    </row>
    <row r="1077" spans="2:11" ht="19.899999999999999" customHeight="1">
      <c r="B1077" s="29">
        <v>2501074</v>
      </c>
      <c r="C1077" s="20" t="s">
        <v>49</v>
      </c>
      <c r="D1077" s="40">
        <v>44542</v>
      </c>
      <c r="E1077" s="29" t="s">
        <v>12</v>
      </c>
      <c r="F1077" s="25">
        <v>1</v>
      </c>
      <c r="G1077" s="21">
        <v>32</v>
      </c>
      <c r="H1077" s="21">
        <f t="shared" si="16"/>
        <v>32</v>
      </c>
      <c r="I1077" s="29" t="s">
        <v>26</v>
      </c>
      <c r="J1077" s="29" t="s">
        <v>29</v>
      </c>
      <c r="K1077" s="19" t="s">
        <v>38</v>
      </c>
    </row>
    <row r="1078" spans="2:11" ht="19.899999999999999" customHeight="1">
      <c r="B1078" s="29">
        <v>2501075</v>
      </c>
      <c r="C1078" s="20" t="s">
        <v>41</v>
      </c>
      <c r="D1078" s="40">
        <v>44543</v>
      </c>
      <c r="E1078" s="29" t="s">
        <v>27</v>
      </c>
      <c r="F1078" s="25">
        <v>1</v>
      </c>
      <c r="G1078" s="21">
        <v>15.5</v>
      </c>
      <c r="H1078" s="21">
        <f t="shared" si="16"/>
        <v>15.5</v>
      </c>
      <c r="I1078" s="29" t="s">
        <v>26</v>
      </c>
      <c r="J1078" s="29" t="s">
        <v>29</v>
      </c>
      <c r="K1078" s="19" t="s">
        <v>38</v>
      </c>
    </row>
    <row r="1079" spans="2:11" ht="19.899999999999999" customHeight="1">
      <c r="B1079" s="29">
        <v>2501076</v>
      </c>
      <c r="C1079" s="20" t="s">
        <v>40</v>
      </c>
      <c r="D1079" s="40">
        <v>44544</v>
      </c>
      <c r="E1079" s="29" t="s">
        <v>20</v>
      </c>
      <c r="F1079" s="25">
        <v>10</v>
      </c>
      <c r="G1079" s="21">
        <v>36</v>
      </c>
      <c r="H1079" s="21">
        <f t="shared" si="16"/>
        <v>360</v>
      </c>
      <c r="I1079" s="29" t="s">
        <v>17</v>
      </c>
      <c r="J1079" s="29" t="s">
        <v>18</v>
      </c>
      <c r="K1079" s="19" t="s">
        <v>35</v>
      </c>
    </row>
    <row r="1080" spans="2:11" ht="19.899999999999999" customHeight="1">
      <c r="B1080" s="29">
        <v>2501077</v>
      </c>
      <c r="C1080" s="20" t="s">
        <v>40</v>
      </c>
      <c r="D1080" s="40">
        <v>44545</v>
      </c>
      <c r="E1080" s="29" t="s">
        <v>27</v>
      </c>
      <c r="F1080" s="25">
        <v>9</v>
      </c>
      <c r="G1080" s="21">
        <v>15.5</v>
      </c>
      <c r="H1080" s="21">
        <f t="shared" si="16"/>
        <v>139.5</v>
      </c>
      <c r="I1080" s="29" t="s">
        <v>17</v>
      </c>
      <c r="J1080" s="29" t="s">
        <v>18</v>
      </c>
      <c r="K1080" s="19" t="s">
        <v>35</v>
      </c>
    </row>
    <row r="1081" spans="2:11" ht="19.899999999999999" customHeight="1">
      <c r="B1081" s="29">
        <v>2501078</v>
      </c>
      <c r="C1081" s="20" t="s">
        <v>43</v>
      </c>
      <c r="D1081" s="40">
        <v>44546</v>
      </c>
      <c r="E1081" s="29" t="s">
        <v>24</v>
      </c>
      <c r="F1081" s="25">
        <v>5</v>
      </c>
      <c r="G1081" s="21">
        <v>25.5</v>
      </c>
      <c r="H1081" s="21">
        <f t="shared" si="16"/>
        <v>127.5</v>
      </c>
      <c r="I1081" s="29" t="s">
        <v>17</v>
      </c>
      <c r="J1081" s="29" t="s">
        <v>18</v>
      </c>
      <c r="K1081" s="19" t="s">
        <v>35</v>
      </c>
    </row>
    <row r="1082" spans="2:11" ht="19.899999999999999" customHeight="1">
      <c r="B1082" s="29">
        <v>2501079</v>
      </c>
      <c r="C1082" s="20" t="s">
        <v>47</v>
      </c>
      <c r="D1082" s="40">
        <v>44547</v>
      </c>
      <c r="E1082" s="29" t="s">
        <v>21</v>
      </c>
      <c r="F1082" s="25">
        <v>3</v>
      </c>
      <c r="G1082" s="21">
        <v>48</v>
      </c>
      <c r="H1082" s="21">
        <f t="shared" si="16"/>
        <v>144</v>
      </c>
      <c r="I1082" s="29" t="s">
        <v>25</v>
      </c>
      <c r="J1082" s="29" t="s">
        <v>23</v>
      </c>
      <c r="K1082" s="19" t="s">
        <v>37</v>
      </c>
    </row>
    <row r="1083" spans="2:11" ht="19.899999999999999" customHeight="1">
      <c r="B1083" s="29">
        <v>2501080</v>
      </c>
      <c r="C1083" s="20" t="s">
        <v>40</v>
      </c>
      <c r="D1083" s="40">
        <v>44548</v>
      </c>
      <c r="E1083" s="29" t="s">
        <v>20</v>
      </c>
      <c r="F1083" s="25">
        <v>2</v>
      </c>
      <c r="G1083" s="21">
        <v>36</v>
      </c>
      <c r="H1083" s="21">
        <f t="shared" si="16"/>
        <v>72</v>
      </c>
      <c r="I1083" s="29" t="s">
        <v>10</v>
      </c>
      <c r="J1083" s="29" t="s">
        <v>11</v>
      </c>
      <c r="K1083" s="19" t="s">
        <v>32</v>
      </c>
    </row>
    <row r="1084" spans="2:11" ht="19.899999999999999" customHeight="1">
      <c r="B1084" s="29">
        <v>2501081</v>
      </c>
      <c r="C1084" s="20" t="s">
        <v>45</v>
      </c>
      <c r="D1084" s="40">
        <v>44549</v>
      </c>
      <c r="E1084" s="29" t="s">
        <v>27</v>
      </c>
      <c r="F1084" s="25">
        <v>1</v>
      </c>
      <c r="G1084" s="21">
        <v>15.5</v>
      </c>
      <c r="H1084" s="21">
        <f t="shared" si="16"/>
        <v>15.5</v>
      </c>
      <c r="I1084" s="29" t="s">
        <v>15</v>
      </c>
      <c r="J1084" s="29" t="s">
        <v>16</v>
      </c>
      <c r="K1084" s="19" t="s">
        <v>34</v>
      </c>
    </row>
    <row r="1085" spans="2:11" ht="19.899999999999999" customHeight="1">
      <c r="B1085" s="29">
        <v>2501082</v>
      </c>
      <c r="C1085" s="20" t="s">
        <v>45</v>
      </c>
      <c r="D1085" s="40">
        <v>44550</v>
      </c>
      <c r="E1085" s="29" t="s">
        <v>24</v>
      </c>
      <c r="F1085" s="25">
        <v>8</v>
      </c>
      <c r="G1085" s="21">
        <v>25.5</v>
      </c>
      <c r="H1085" s="21">
        <f t="shared" si="16"/>
        <v>204</v>
      </c>
      <c r="I1085" s="29" t="s">
        <v>25</v>
      </c>
      <c r="J1085" s="29" t="s">
        <v>23</v>
      </c>
      <c r="K1085" s="19" t="s">
        <v>37</v>
      </c>
    </row>
    <row r="1086" spans="2:11" ht="19.899999999999999" customHeight="1">
      <c r="B1086" s="29">
        <v>2501083</v>
      </c>
      <c r="C1086" s="20" t="s">
        <v>46</v>
      </c>
      <c r="D1086" s="40">
        <v>44551</v>
      </c>
      <c r="E1086" s="29" t="s">
        <v>20</v>
      </c>
      <c r="F1086" s="25">
        <v>8</v>
      </c>
      <c r="G1086" s="21">
        <v>36</v>
      </c>
      <c r="H1086" s="21">
        <f t="shared" si="16"/>
        <v>288</v>
      </c>
      <c r="I1086" s="29" t="s">
        <v>28</v>
      </c>
      <c r="J1086" s="29" t="s">
        <v>30</v>
      </c>
      <c r="K1086" s="19" t="s">
        <v>33</v>
      </c>
    </row>
    <row r="1087" spans="2:11" ht="19.899999999999999" customHeight="1">
      <c r="B1087" s="29">
        <v>2501084</v>
      </c>
      <c r="C1087" s="20" t="s">
        <v>47</v>
      </c>
      <c r="D1087" s="40">
        <v>44552</v>
      </c>
      <c r="E1087" s="29" t="s">
        <v>9</v>
      </c>
      <c r="F1087" s="25">
        <v>9</v>
      </c>
      <c r="G1087" s="21">
        <v>18.5</v>
      </c>
      <c r="H1087" s="21">
        <f t="shared" si="16"/>
        <v>166.5</v>
      </c>
      <c r="I1087" s="29" t="s">
        <v>22</v>
      </c>
      <c r="J1087" s="29" t="s">
        <v>19</v>
      </c>
      <c r="K1087" s="19" t="s">
        <v>36</v>
      </c>
    </row>
    <row r="1088" spans="2:11" ht="19.899999999999999" customHeight="1">
      <c r="B1088" s="29">
        <v>2501085</v>
      </c>
      <c r="C1088" s="20" t="s">
        <v>42</v>
      </c>
      <c r="D1088" s="40">
        <v>44553</v>
      </c>
      <c r="E1088" s="29" t="s">
        <v>12</v>
      </c>
      <c r="F1088" s="25">
        <v>2</v>
      </c>
      <c r="G1088" s="21">
        <v>32</v>
      </c>
      <c r="H1088" s="21">
        <f t="shared" si="16"/>
        <v>64</v>
      </c>
      <c r="I1088" s="29" t="s">
        <v>22</v>
      </c>
      <c r="J1088" s="29" t="s">
        <v>19</v>
      </c>
      <c r="K1088" s="19" t="s">
        <v>36</v>
      </c>
    </row>
    <row r="1089" spans="2:11" ht="19.899999999999999" customHeight="1">
      <c r="B1089" s="29">
        <v>2501086</v>
      </c>
      <c r="C1089" s="20" t="s">
        <v>41</v>
      </c>
      <c r="D1089" s="40">
        <v>44554</v>
      </c>
      <c r="E1089" s="29" t="s">
        <v>27</v>
      </c>
      <c r="F1089" s="25">
        <v>7</v>
      </c>
      <c r="G1089" s="21">
        <v>15.5</v>
      </c>
      <c r="H1089" s="21">
        <f t="shared" si="16"/>
        <v>108.5</v>
      </c>
      <c r="I1089" s="29" t="s">
        <v>15</v>
      </c>
      <c r="J1089" s="29" t="s">
        <v>16</v>
      </c>
      <c r="K1089" s="19" t="s">
        <v>34</v>
      </c>
    </row>
    <row r="1090" spans="2:11" ht="19.899999999999999" customHeight="1">
      <c r="B1090" s="29">
        <v>2501087</v>
      </c>
      <c r="C1090" s="20" t="s">
        <v>45</v>
      </c>
      <c r="D1090" s="40">
        <v>44555</v>
      </c>
      <c r="E1090" s="29" t="s">
        <v>9</v>
      </c>
      <c r="F1090" s="25">
        <v>5</v>
      </c>
      <c r="G1090" s="21">
        <v>18.5</v>
      </c>
      <c r="H1090" s="21">
        <f t="shared" si="16"/>
        <v>92.5</v>
      </c>
      <c r="I1090" s="29" t="s">
        <v>25</v>
      </c>
      <c r="J1090" s="29" t="s">
        <v>23</v>
      </c>
      <c r="K1090" s="19" t="s">
        <v>37</v>
      </c>
    </row>
    <row r="1091" spans="2:11" ht="19.899999999999999" customHeight="1">
      <c r="B1091" s="29">
        <v>2501088</v>
      </c>
      <c r="C1091" s="20" t="s">
        <v>45</v>
      </c>
      <c r="D1091" s="40">
        <v>44556</v>
      </c>
      <c r="E1091" s="29" t="s">
        <v>20</v>
      </c>
      <c r="F1091" s="25">
        <v>10</v>
      </c>
      <c r="G1091" s="21">
        <v>36</v>
      </c>
      <c r="H1091" s="21">
        <f t="shared" si="16"/>
        <v>360</v>
      </c>
      <c r="I1091" s="29" t="s">
        <v>10</v>
      </c>
      <c r="J1091" s="29" t="s">
        <v>11</v>
      </c>
      <c r="K1091" s="19" t="s">
        <v>32</v>
      </c>
    </row>
    <row r="1092" spans="2:11" ht="19.899999999999999" customHeight="1">
      <c r="B1092" s="29">
        <v>2501089</v>
      </c>
      <c r="C1092" s="20" t="s">
        <v>44</v>
      </c>
      <c r="D1092" s="40">
        <v>44557</v>
      </c>
      <c r="E1092" s="29" t="s">
        <v>12</v>
      </c>
      <c r="F1092" s="25">
        <v>4</v>
      </c>
      <c r="G1092" s="21">
        <v>32</v>
      </c>
      <c r="H1092" s="21">
        <f t="shared" si="16"/>
        <v>128</v>
      </c>
      <c r="I1092" s="29" t="s">
        <v>26</v>
      </c>
      <c r="J1092" s="29" t="s">
        <v>29</v>
      </c>
      <c r="K1092" s="19" t="s">
        <v>38</v>
      </c>
    </row>
    <row r="1093" spans="2:11" ht="19.899999999999999" customHeight="1">
      <c r="B1093" s="29">
        <v>2501090</v>
      </c>
      <c r="C1093" s="20" t="s">
        <v>40</v>
      </c>
      <c r="D1093" s="40">
        <v>44558</v>
      </c>
      <c r="E1093" s="29" t="s">
        <v>20</v>
      </c>
      <c r="F1093" s="25">
        <v>8</v>
      </c>
      <c r="G1093" s="21">
        <v>36</v>
      </c>
      <c r="H1093" s="21">
        <f t="shared" si="16"/>
        <v>288</v>
      </c>
      <c r="I1093" s="29" t="s">
        <v>25</v>
      </c>
      <c r="J1093" s="29" t="s">
        <v>23</v>
      </c>
      <c r="K1093" s="19" t="s">
        <v>37</v>
      </c>
    </row>
    <row r="1094" spans="2:11" ht="19.899999999999999" customHeight="1">
      <c r="B1094" s="29">
        <v>2501091</v>
      </c>
      <c r="C1094" s="20" t="s">
        <v>47</v>
      </c>
      <c r="D1094" s="40">
        <v>44559</v>
      </c>
      <c r="E1094" s="29" t="s">
        <v>24</v>
      </c>
      <c r="F1094" s="25">
        <v>6</v>
      </c>
      <c r="G1094" s="21">
        <v>25.5</v>
      </c>
      <c r="H1094" s="21">
        <f t="shared" ref="H1094:H1096" si="17">+G1094*F1094</f>
        <v>153</v>
      </c>
      <c r="I1094" s="29" t="s">
        <v>28</v>
      </c>
      <c r="J1094" s="29" t="s">
        <v>30</v>
      </c>
      <c r="K1094" s="19" t="s">
        <v>33</v>
      </c>
    </row>
    <row r="1095" spans="2:11" ht="19.899999999999999" customHeight="1">
      <c r="B1095" s="29">
        <v>2501092</v>
      </c>
      <c r="C1095" s="20" t="s">
        <v>43</v>
      </c>
      <c r="D1095" s="40">
        <v>44560</v>
      </c>
      <c r="E1095" s="29" t="s">
        <v>21</v>
      </c>
      <c r="F1095" s="25">
        <v>3</v>
      </c>
      <c r="G1095" s="21">
        <v>48</v>
      </c>
      <c r="H1095" s="21">
        <f t="shared" si="17"/>
        <v>144</v>
      </c>
      <c r="I1095" s="29" t="s">
        <v>17</v>
      </c>
      <c r="J1095" s="29" t="s">
        <v>18</v>
      </c>
      <c r="K1095" s="19" t="s">
        <v>35</v>
      </c>
    </row>
    <row r="1096" spans="2:11" ht="19.899999999999999" customHeight="1">
      <c r="B1096" s="29">
        <v>2501093</v>
      </c>
      <c r="C1096" s="20" t="s">
        <v>45</v>
      </c>
      <c r="D1096" s="40">
        <v>44561</v>
      </c>
      <c r="E1096" s="29" t="s">
        <v>9</v>
      </c>
      <c r="F1096" s="25">
        <v>10</v>
      </c>
      <c r="G1096" s="21">
        <v>18.5</v>
      </c>
      <c r="H1096" s="21">
        <f t="shared" si="17"/>
        <v>185</v>
      </c>
      <c r="I1096" s="29" t="s">
        <v>13</v>
      </c>
      <c r="J1096" s="29" t="s">
        <v>14</v>
      </c>
      <c r="K1096" s="19" t="s">
        <v>33</v>
      </c>
    </row>
  </sheetData>
  <autoFilter ref="B3:J1096" xr:uid="{DE9A1458-0080-4E1D-BE7A-7D641A7B31EA}"/>
  <printOptions horizontalCentered="1"/>
  <pageMargins left="0.25" right="0.7" top="0.75" bottom="0.25" header="0.3" footer="0.3"/>
  <pageSetup paperSize="9" scale="52" fitToHeight="100" orientation="portrait" r:id="rId1"/>
  <headerFooter>
    <oddHeader>&amp;L&amp;P - &amp;N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ACC27-B951-42F2-8499-15C7ABF363CB}">
  <sheetPr>
    <tabColor theme="2" tint="-0.499984740745262"/>
  </sheetPr>
  <dimension ref="A1:E88"/>
  <sheetViews>
    <sheetView showGridLines="0" zoomScale="85" zoomScaleNormal="85" workbookViewId="0">
      <selection activeCell="K40" sqref="K40"/>
    </sheetView>
  </sheetViews>
  <sheetFormatPr defaultColWidth="8.85546875" defaultRowHeight="15"/>
  <cols>
    <col min="1" max="1" width="19.85546875" style="35" bestFit="1" customWidth="1"/>
    <col min="2" max="2" width="17.28515625" style="35" bestFit="1" customWidth="1"/>
    <col min="3" max="4" width="12.7109375" style="35" bestFit="1" customWidth="1"/>
    <col min="5" max="5" width="14.140625" style="35" bestFit="1" customWidth="1"/>
    <col min="6" max="1045" width="15.5703125" style="35" bestFit="1" customWidth="1"/>
    <col min="1046" max="1046" width="10.7109375" style="35" bestFit="1" customWidth="1"/>
    <col min="1047" max="16384" width="8.85546875" style="35"/>
  </cols>
  <sheetData>
    <row r="1" spans="1:5" ht="15.75" thickBot="1">
      <c r="A1" s="42" t="s">
        <v>50</v>
      </c>
      <c r="B1" s="43"/>
      <c r="C1" s="43"/>
      <c r="D1" s="43"/>
      <c r="E1" s="43"/>
    </row>
    <row r="2" spans="1:5" ht="15.75" thickTop="1"/>
    <row r="3" spans="1:5">
      <c r="A3" s="36" t="s">
        <v>56</v>
      </c>
      <c r="B3" s="36" t="s">
        <v>57</v>
      </c>
    </row>
    <row r="4" spans="1:5">
      <c r="A4" s="36" t="s">
        <v>58</v>
      </c>
      <c r="B4" s="35" t="s">
        <v>53</v>
      </c>
      <c r="C4" s="35" t="s">
        <v>54</v>
      </c>
      <c r="D4" s="35" t="s">
        <v>55</v>
      </c>
      <c r="E4" s="35" t="s">
        <v>51</v>
      </c>
    </row>
    <row r="5" spans="1:5">
      <c r="A5" s="41" t="s">
        <v>49</v>
      </c>
      <c r="B5" s="49">
        <v>0.30287398673544585</v>
      </c>
      <c r="C5" s="49">
        <v>0.36726234340456893</v>
      </c>
      <c r="D5" s="49">
        <v>0.32986366985998528</v>
      </c>
      <c r="E5" s="49">
        <v>1</v>
      </c>
    </row>
    <row r="6" spans="1:5">
      <c r="A6" s="41" t="s">
        <v>45</v>
      </c>
      <c r="B6" s="49">
        <v>0.31005769530640886</v>
      </c>
      <c r="C6" s="49">
        <v>0.3205987837205676</v>
      </c>
      <c r="D6" s="49">
        <v>0.36934352097302353</v>
      </c>
      <c r="E6" s="49">
        <v>1</v>
      </c>
    </row>
    <row r="7" spans="1:5">
      <c r="A7" s="41" t="s">
        <v>42</v>
      </c>
      <c r="B7" s="49">
        <v>0.35774046830254363</v>
      </c>
      <c r="C7" s="49">
        <v>0.28317143017575386</v>
      </c>
      <c r="D7" s="49">
        <v>0.35908810152170251</v>
      </c>
      <c r="E7" s="49">
        <v>1</v>
      </c>
    </row>
    <row r="8" spans="1:5">
      <c r="A8" s="41" t="s">
        <v>47</v>
      </c>
      <c r="B8" s="49">
        <v>0.35260423604635671</v>
      </c>
      <c r="C8" s="49">
        <v>0.2769415212468363</v>
      </c>
      <c r="D8" s="49">
        <v>0.37045424270680699</v>
      </c>
      <c r="E8" s="49">
        <v>1</v>
      </c>
    </row>
    <row r="9" spans="1:5">
      <c r="A9" s="41" t="s">
        <v>40</v>
      </c>
      <c r="B9" s="49">
        <v>0.30037159958017756</v>
      </c>
      <c r="C9" s="49">
        <v>0.39562590417836779</v>
      </c>
      <c r="D9" s="49">
        <v>0.30400249624145464</v>
      </c>
      <c r="E9" s="49">
        <v>1</v>
      </c>
    </row>
    <row r="10" spans="1:5">
      <c r="A10" s="41" t="s">
        <v>44</v>
      </c>
      <c r="B10" s="49">
        <v>0.35443560595634582</v>
      </c>
      <c r="C10" s="49">
        <v>0.35154551209710716</v>
      </c>
      <c r="D10" s="49">
        <v>0.29401888194654702</v>
      </c>
      <c r="E10" s="49">
        <v>1</v>
      </c>
    </row>
    <row r="11" spans="1:5">
      <c r="A11" s="41" t="s">
        <v>48</v>
      </c>
      <c r="B11" s="49">
        <v>0.29095959900960205</v>
      </c>
      <c r="C11" s="49">
        <v>0.25729210701129296</v>
      </c>
      <c r="D11" s="49">
        <v>0.45174829397910504</v>
      </c>
      <c r="E11" s="49">
        <v>1</v>
      </c>
    </row>
    <row r="12" spans="1:5">
      <c r="A12" s="41" t="s">
        <v>46</v>
      </c>
      <c r="B12" s="49">
        <v>0.30030008908894829</v>
      </c>
      <c r="C12" s="49">
        <v>0.40737093824729215</v>
      </c>
      <c r="D12" s="49">
        <v>0.29232897266375957</v>
      </c>
      <c r="E12" s="49">
        <v>1</v>
      </c>
    </row>
    <row r="13" spans="1:5">
      <c r="A13" s="41" t="s">
        <v>41</v>
      </c>
      <c r="B13" s="49">
        <v>0.42236812168882243</v>
      </c>
      <c r="C13" s="49">
        <v>0.30243442649592095</v>
      </c>
      <c r="D13" s="49">
        <v>0.27519745181525662</v>
      </c>
      <c r="E13" s="49">
        <v>1</v>
      </c>
    </row>
    <row r="14" spans="1:5">
      <c r="A14" s="41" t="s">
        <v>43</v>
      </c>
      <c r="B14" s="49">
        <v>0.29424239818874848</v>
      </c>
      <c r="C14" s="49">
        <v>0.39265755309087785</v>
      </c>
      <c r="D14" s="49">
        <v>0.31310004872037372</v>
      </c>
      <c r="E14" s="49">
        <v>1</v>
      </c>
    </row>
    <row r="15" spans="1:5">
      <c r="A15" s="41" t="s">
        <v>51</v>
      </c>
      <c r="B15" s="49">
        <v>0.32769482500099772</v>
      </c>
      <c r="C15" s="49">
        <v>0.33735269468247048</v>
      </c>
      <c r="D15" s="49">
        <v>0.33495248031653185</v>
      </c>
      <c r="E15" s="49">
        <v>1</v>
      </c>
    </row>
    <row r="18" spans="1:5" ht="15.75" thickBot="1">
      <c r="A18" s="42" t="s">
        <v>59</v>
      </c>
      <c r="B18" s="43"/>
      <c r="C18" s="43"/>
      <c r="D18" s="43"/>
      <c r="E18" s="43"/>
    </row>
    <row r="19" spans="1:5" ht="15.75" thickTop="1"/>
    <row r="20" spans="1:5">
      <c r="A20" s="36" t="s">
        <v>56</v>
      </c>
      <c r="B20" s="36" t="s">
        <v>57</v>
      </c>
    </row>
    <row r="21" spans="1:5">
      <c r="A21" s="36" t="s">
        <v>58</v>
      </c>
      <c r="B21" s="35" t="s">
        <v>53</v>
      </c>
      <c r="C21" s="35" t="s">
        <v>54</v>
      </c>
      <c r="D21" s="35" t="s">
        <v>55</v>
      </c>
      <c r="E21" s="35" t="s">
        <v>51</v>
      </c>
    </row>
    <row r="22" spans="1:5">
      <c r="A22" s="41" t="s">
        <v>49</v>
      </c>
      <c r="B22" s="49">
        <v>8.5806743449667697E-2</v>
      </c>
      <c r="C22" s="49">
        <v>0.10106976272561347</v>
      </c>
      <c r="D22" s="49">
        <v>9.1428231008833891E-2</v>
      </c>
      <c r="E22" s="49">
        <v>9.2838695332409737E-2</v>
      </c>
    </row>
    <row r="23" spans="1:5">
      <c r="A23" s="41" t="s">
        <v>45</v>
      </c>
      <c r="B23" s="49">
        <v>8.6485263927067749E-2</v>
      </c>
      <c r="C23" s="49">
        <v>8.6865409315216663E-2</v>
      </c>
      <c r="D23" s="49">
        <v>0.10078977379108441</v>
      </c>
      <c r="E23" s="49">
        <v>9.140483805679557E-2</v>
      </c>
    </row>
    <row r="24" spans="1:5">
      <c r="A24" s="41" t="s">
        <v>42</v>
      </c>
      <c r="B24" s="49">
        <v>0.1108424092696336</v>
      </c>
      <c r="C24" s="49">
        <v>8.5226120462380858E-2</v>
      </c>
      <c r="D24" s="49">
        <v>0.10884921107725826</v>
      </c>
      <c r="E24" s="49">
        <v>0.10153305853444393</v>
      </c>
    </row>
    <row r="25" spans="1:5">
      <c r="A25" s="41" t="s">
        <v>47</v>
      </c>
      <c r="B25" s="49">
        <v>0.11513100664602109</v>
      </c>
      <c r="C25" s="49">
        <v>8.7837152707361588E-2</v>
      </c>
      <c r="D25" s="49">
        <v>0.11833841126108492</v>
      </c>
      <c r="E25" s="49">
        <v>0.10699767960273887</v>
      </c>
    </row>
    <row r="26" spans="1:5">
      <c r="A26" s="41" t="s">
        <v>40</v>
      </c>
      <c r="B26" s="49">
        <v>9.2113504297296353E-2</v>
      </c>
      <c r="C26" s="49">
        <v>0.11785134861082945</v>
      </c>
      <c r="D26" s="49">
        <v>9.1206958179435249E-2</v>
      </c>
      <c r="E26" s="49">
        <v>0.10049258556108574</v>
      </c>
    </row>
    <row r="27" spans="1:5">
      <c r="A27" s="41" t="s">
        <v>44</v>
      </c>
      <c r="B27" s="49">
        <v>0.11201677163436445</v>
      </c>
      <c r="C27" s="49">
        <v>0.10792266612587034</v>
      </c>
      <c r="D27" s="49">
        <v>9.0909090909090912E-2</v>
      </c>
      <c r="E27" s="49">
        <v>0.10356554409609979</v>
      </c>
    </row>
    <row r="28" spans="1:5">
      <c r="A28" s="41" t="s">
        <v>48</v>
      </c>
      <c r="B28" s="49">
        <v>8.3823375900344485E-2</v>
      </c>
      <c r="C28" s="49">
        <v>7.2001960386669367E-2</v>
      </c>
      <c r="D28" s="49">
        <v>0.1273254923320454</v>
      </c>
      <c r="E28" s="49">
        <v>9.4406531319661799E-2</v>
      </c>
    </row>
    <row r="29" spans="1:5">
      <c r="A29" s="41" t="s">
        <v>46</v>
      </c>
      <c r="B29" s="49">
        <v>0.11142524096175928</v>
      </c>
      <c r="C29" s="49">
        <v>0.14682620158182924</v>
      </c>
      <c r="D29" s="49">
        <v>0.10611734268352879</v>
      </c>
      <c r="E29" s="49">
        <v>0.12158995672772675</v>
      </c>
    </row>
    <row r="30" spans="1:5">
      <c r="A30" s="41" t="s">
        <v>41</v>
      </c>
      <c r="B30" s="49">
        <v>0.11304325133094402</v>
      </c>
      <c r="C30" s="49">
        <v>7.8626715338335693E-2</v>
      </c>
      <c r="D30" s="49">
        <v>7.2058347943013731E-2</v>
      </c>
      <c r="E30" s="49">
        <v>8.7704745126880687E-2</v>
      </c>
    </row>
    <row r="31" spans="1:5">
      <c r="A31" s="41" t="s">
        <v>43</v>
      </c>
      <c r="B31" s="49">
        <v>8.931243258290128E-2</v>
      </c>
      <c r="C31" s="49">
        <v>0.11577266274589333</v>
      </c>
      <c r="D31" s="49">
        <v>9.2977140814624437E-2</v>
      </c>
      <c r="E31" s="49">
        <v>9.946636564215712E-2</v>
      </c>
    </row>
    <row r="32" spans="1:5">
      <c r="A32" s="41" t="s">
        <v>51</v>
      </c>
      <c r="B32" s="49">
        <v>1</v>
      </c>
      <c r="C32" s="49">
        <v>1</v>
      </c>
      <c r="D32" s="49">
        <v>1</v>
      </c>
      <c r="E32" s="49">
        <v>1</v>
      </c>
    </row>
    <row r="35" spans="1:5" ht="15.75" thickBot="1">
      <c r="A35" s="42" t="s">
        <v>60</v>
      </c>
      <c r="B35" s="43"/>
      <c r="C35" s="43"/>
      <c r="D35" s="43"/>
      <c r="E35" s="43"/>
    </row>
    <row r="36" spans="1:5" ht="15.75" thickTop="1"/>
    <row r="37" spans="1:5">
      <c r="A37" s="36" t="s">
        <v>56</v>
      </c>
      <c r="B37" s="36" t="s">
        <v>57</v>
      </c>
    </row>
    <row r="38" spans="1:5">
      <c r="A38" s="36" t="s">
        <v>58</v>
      </c>
      <c r="B38" s="35" t="s">
        <v>53</v>
      </c>
      <c r="C38" s="35" t="s">
        <v>54</v>
      </c>
      <c r="D38" s="35" t="s">
        <v>55</v>
      </c>
      <c r="E38" s="35" t="s">
        <v>51</v>
      </c>
    </row>
    <row r="39" spans="1:5">
      <c r="A39" s="41" t="s">
        <v>49</v>
      </c>
      <c r="B39" s="49">
        <v>2.8118425778644363E-2</v>
      </c>
      <c r="C39" s="49">
        <v>3.4096156806403613E-2</v>
      </c>
      <c r="D39" s="49">
        <v>3.0624112747361761E-2</v>
      </c>
      <c r="E39" s="49">
        <v>9.2838695332409737E-2</v>
      </c>
    </row>
    <row r="40" spans="1:5">
      <c r="A40" s="41" t="s">
        <v>45</v>
      </c>
      <c r="B40" s="49">
        <v>2.8340773427745564E-2</v>
      </c>
      <c r="C40" s="49">
        <v>2.9304279907184108E-2</v>
      </c>
      <c r="D40" s="49">
        <v>3.3759784721865894E-2</v>
      </c>
      <c r="E40" s="49">
        <v>9.140483805679557E-2</v>
      </c>
    </row>
    <row r="41" spans="1:5">
      <c r="A41" s="41" t="s">
        <v>42</v>
      </c>
      <c r="B41" s="49">
        <v>3.6322483908301548E-2</v>
      </c>
      <c r="C41" s="49">
        <v>2.8751261395317015E-2</v>
      </c>
      <c r="D41" s="49">
        <v>3.6459313230825366E-2</v>
      </c>
      <c r="E41" s="49">
        <v>0.10153305853444393</v>
      </c>
    </row>
    <row r="42" spans="1:5">
      <c r="A42" s="41" t="s">
        <v>47</v>
      </c>
      <c r="B42" s="49">
        <v>3.7727835075056587E-2</v>
      </c>
      <c r="C42" s="49">
        <v>2.9632100159064086E-2</v>
      </c>
      <c r="D42" s="49">
        <v>3.9637744368618194E-2</v>
      </c>
      <c r="E42" s="49">
        <v>0.10699767960273887</v>
      </c>
    </row>
    <row r="43" spans="1:5">
      <c r="A43" s="41" t="s">
        <v>40</v>
      </c>
      <c r="B43" s="49">
        <v>3.0185118670931179E-2</v>
      </c>
      <c r="C43" s="49">
        <v>3.9757470025826532E-2</v>
      </c>
      <c r="D43" s="49">
        <v>3.0549996864328025E-2</v>
      </c>
      <c r="E43" s="49">
        <v>0.10049258556108574</v>
      </c>
    </row>
    <row r="44" spans="1:5">
      <c r="A44" s="41" t="s">
        <v>44</v>
      </c>
      <c r="B44" s="49">
        <v>3.6707316377899785E-2</v>
      </c>
      <c r="C44" s="49">
        <v>3.6408002234878938E-2</v>
      </c>
      <c r="D44" s="49">
        <v>3.0450225483321075E-2</v>
      </c>
      <c r="E44" s="49">
        <v>0.10356554409609979</v>
      </c>
    </row>
    <row r="45" spans="1:5">
      <c r="A45" s="41" t="s">
        <v>48</v>
      </c>
      <c r="B45" s="49">
        <v>2.7468486496656234E-2</v>
      </c>
      <c r="C45" s="49">
        <v>2.4290055358863406E-2</v>
      </c>
      <c r="D45" s="49">
        <v>4.2647989464142166E-2</v>
      </c>
      <c r="E45" s="49">
        <v>9.4406531319661799E-2</v>
      </c>
    </row>
    <row r="46" spans="1:5">
      <c r="A46" s="41" t="s">
        <v>46</v>
      </c>
      <c r="B46" s="49">
        <v>3.6513474837657711E-2</v>
      </c>
      <c r="C46" s="49">
        <v>4.9532214753621698E-2</v>
      </c>
      <c r="D46" s="49">
        <v>3.5544267136447344E-2</v>
      </c>
      <c r="E46" s="49">
        <v>0.12158995672772675</v>
      </c>
    </row>
    <row r="47" spans="1:5">
      <c r="A47" s="41" t="s">
        <v>41</v>
      </c>
      <c r="B47" s="49">
        <v>3.7043688462437503E-2</v>
      </c>
      <c r="C47" s="49">
        <v>2.6524934293419081E-2</v>
      </c>
      <c r="D47" s="49">
        <v>2.413612237102411E-2</v>
      </c>
      <c r="E47" s="49">
        <v>8.7704745126880687E-2</v>
      </c>
    </row>
    <row r="48" spans="1:5">
      <c r="A48" s="41" t="s">
        <v>43</v>
      </c>
      <c r="B48" s="49">
        <v>2.9267221965667244E-2</v>
      </c>
      <c r="C48" s="49">
        <v>3.9056219747891974E-2</v>
      </c>
      <c r="D48" s="49">
        <v>3.1142923928597899E-2</v>
      </c>
      <c r="E48" s="49">
        <v>9.946636564215712E-2</v>
      </c>
    </row>
    <row r="49" spans="1:5">
      <c r="A49" s="41" t="s">
        <v>51</v>
      </c>
      <c r="B49" s="49">
        <v>0.32769482500099772</v>
      </c>
      <c r="C49" s="49">
        <v>0.33735269468247048</v>
      </c>
      <c r="D49" s="49">
        <v>0.33495248031653185</v>
      </c>
      <c r="E49" s="49">
        <v>1</v>
      </c>
    </row>
    <row r="52" spans="1:5" ht="15.75" thickBot="1">
      <c r="A52" s="42" t="s">
        <v>61</v>
      </c>
      <c r="B52" s="43"/>
      <c r="C52" s="43"/>
      <c r="D52" s="43"/>
      <c r="E52" s="43"/>
    </row>
    <row r="53" spans="1:5" ht="15.75" thickTop="1"/>
    <row r="54" spans="1:5">
      <c r="A54" s="36" t="s">
        <v>58</v>
      </c>
      <c r="B54" s="35" t="s">
        <v>56</v>
      </c>
      <c r="C54"/>
      <c r="D54"/>
      <c r="E54"/>
    </row>
    <row r="55" spans="1:5">
      <c r="A55" s="41" t="s">
        <v>53</v>
      </c>
      <c r="B55" s="37">
        <v>57478</v>
      </c>
      <c r="C55"/>
      <c r="D55"/>
      <c r="E55"/>
    </row>
    <row r="56" spans="1:5">
      <c r="A56" s="50" t="s">
        <v>47</v>
      </c>
      <c r="B56" s="37">
        <v>6617.5</v>
      </c>
      <c r="C56"/>
      <c r="D56"/>
      <c r="E56"/>
    </row>
    <row r="57" spans="1:5">
      <c r="A57" s="50" t="s">
        <v>41</v>
      </c>
      <c r="B57" s="37">
        <v>6497.5</v>
      </c>
      <c r="C57"/>
      <c r="D57"/>
      <c r="E57"/>
    </row>
    <row r="58" spans="1:5">
      <c r="A58" s="50" t="s">
        <v>44</v>
      </c>
      <c r="B58" s="37">
        <v>6438.5</v>
      </c>
      <c r="C58"/>
      <c r="D58"/>
      <c r="E58"/>
    </row>
    <row r="59" spans="1:5">
      <c r="A59" s="50" t="s">
        <v>46</v>
      </c>
      <c r="B59" s="37">
        <v>6404.5</v>
      </c>
      <c r="C59"/>
      <c r="D59"/>
      <c r="E59"/>
    </row>
    <row r="60" spans="1:5">
      <c r="A60" s="50" t="s">
        <v>42</v>
      </c>
      <c r="B60" s="37">
        <v>6371</v>
      </c>
      <c r="C60"/>
      <c r="D60"/>
      <c r="E60"/>
    </row>
    <row r="61" spans="1:5">
      <c r="A61" s="50" t="s">
        <v>40</v>
      </c>
      <c r="B61" s="37">
        <v>5294.5</v>
      </c>
      <c r="C61"/>
      <c r="D61"/>
      <c r="E61"/>
    </row>
    <row r="62" spans="1:5">
      <c r="A62" s="50" t="s">
        <v>43</v>
      </c>
      <c r="B62" s="37">
        <v>5133.5</v>
      </c>
      <c r="C62"/>
      <c r="D62"/>
      <c r="E62"/>
    </row>
    <row r="63" spans="1:5">
      <c r="A63" s="50" t="s">
        <v>45</v>
      </c>
      <c r="B63" s="37">
        <v>4971</v>
      </c>
      <c r="C63"/>
      <c r="D63"/>
      <c r="E63"/>
    </row>
    <row r="64" spans="1:5">
      <c r="A64" s="50" t="s">
        <v>49</v>
      </c>
      <c r="B64" s="37">
        <v>4932</v>
      </c>
      <c r="C64"/>
      <c r="D64"/>
      <c r="E64"/>
    </row>
    <row r="65" spans="1:5">
      <c r="A65" s="50" t="s">
        <v>48</v>
      </c>
      <c r="B65" s="37">
        <v>4818</v>
      </c>
      <c r="C65"/>
      <c r="D65"/>
      <c r="E65"/>
    </row>
    <row r="66" spans="1:5">
      <c r="A66" s="41" t="s">
        <v>54</v>
      </c>
      <c r="B66" s="37">
        <v>59172</v>
      </c>
      <c r="C66"/>
      <c r="D66"/>
      <c r="E66"/>
    </row>
    <row r="67" spans="1:5">
      <c r="A67" s="50" t="s">
        <v>46</v>
      </c>
      <c r="B67" s="37">
        <v>8688</v>
      </c>
    </row>
    <row r="68" spans="1:5">
      <c r="A68" s="50" t="s">
        <v>40</v>
      </c>
      <c r="B68" s="37">
        <v>6973.5</v>
      </c>
    </row>
    <row r="69" spans="1:5">
      <c r="A69" s="50" t="s">
        <v>43</v>
      </c>
      <c r="B69" s="37">
        <v>6850.5</v>
      </c>
    </row>
    <row r="70" spans="1:5">
      <c r="A70" s="50" t="s">
        <v>44</v>
      </c>
      <c r="B70" s="37">
        <v>6386</v>
      </c>
    </row>
    <row r="71" spans="1:5">
      <c r="A71" s="50" t="s">
        <v>49</v>
      </c>
      <c r="B71" s="37">
        <v>5980.5</v>
      </c>
    </row>
    <row r="72" spans="1:5">
      <c r="A72" s="50" t="s">
        <v>47</v>
      </c>
      <c r="B72" s="37">
        <v>5197.5</v>
      </c>
    </row>
    <row r="73" spans="1:5">
      <c r="A73" s="50" t="s">
        <v>45</v>
      </c>
      <c r="B73" s="37">
        <v>5140</v>
      </c>
    </row>
    <row r="74" spans="1:5">
      <c r="A74" s="50" t="s">
        <v>42</v>
      </c>
      <c r="B74" s="37">
        <v>5043</v>
      </c>
    </row>
    <row r="75" spans="1:5">
      <c r="A75" s="50" t="s">
        <v>41</v>
      </c>
      <c r="B75" s="37">
        <v>4652.5</v>
      </c>
    </row>
    <row r="76" spans="1:5">
      <c r="A76" s="50" t="s">
        <v>48</v>
      </c>
      <c r="B76" s="37">
        <v>4260.5</v>
      </c>
    </row>
    <row r="77" spans="1:5">
      <c r="A77" s="41" t="s">
        <v>55</v>
      </c>
      <c r="B77" s="37">
        <v>58751</v>
      </c>
    </row>
    <row r="78" spans="1:5">
      <c r="A78" s="50" t="s">
        <v>48</v>
      </c>
      <c r="B78" s="37">
        <v>7480.5</v>
      </c>
    </row>
    <row r="79" spans="1:5">
      <c r="A79" s="50" t="s">
        <v>47</v>
      </c>
      <c r="B79" s="37">
        <v>6952.5</v>
      </c>
    </row>
    <row r="80" spans="1:5">
      <c r="A80" s="50" t="s">
        <v>42</v>
      </c>
      <c r="B80" s="37">
        <v>6395</v>
      </c>
    </row>
    <row r="81" spans="1:2">
      <c r="A81" s="50" t="s">
        <v>46</v>
      </c>
      <c r="B81" s="37">
        <v>6234.5</v>
      </c>
    </row>
    <row r="82" spans="1:2">
      <c r="A82" s="50" t="s">
        <v>45</v>
      </c>
      <c r="B82" s="37">
        <v>5921.5</v>
      </c>
    </row>
    <row r="83" spans="1:2">
      <c r="A83" s="50" t="s">
        <v>43</v>
      </c>
      <c r="B83" s="37">
        <v>5462.5</v>
      </c>
    </row>
    <row r="84" spans="1:2">
      <c r="A84" s="50" t="s">
        <v>49</v>
      </c>
      <c r="B84" s="37">
        <v>5371.5</v>
      </c>
    </row>
    <row r="85" spans="1:2">
      <c r="A85" s="50" t="s">
        <v>40</v>
      </c>
      <c r="B85" s="37">
        <v>5358.5</v>
      </c>
    </row>
    <row r="86" spans="1:2">
      <c r="A86" s="50" t="s">
        <v>44</v>
      </c>
      <c r="B86" s="37">
        <v>5341</v>
      </c>
    </row>
    <row r="87" spans="1:2">
      <c r="A87" s="50" t="s">
        <v>41</v>
      </c>
      <c r="B87" s="37">
        <v>4233.5</v>
      </c>
    </row>
    <row r="88" spans="1:2">
      <c r="A88" s="41" t="s">
        <v>51</v>
      </c>
      <c r="B88" s="37">
        <v>175401</v>
      </c>
    </row>
  </sheetData>
  <pageMargins left="0.7" right="0.7" top="0.75" bottom="0.75" header="0.3" footer="0.3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EE5D7-CF93-45C8-A897-06E80E2D35CD}">
  <sheetPr>
    <tabColor theme="2" tint="-0.749992370372631"/>
  </sheetPr>
  <dimension ref="A2:M21"/>
  <sheetViews>
    <sheetView showGridLines="0" tabSelected="1" zoomScaleNormal="100" workbookViewId="0">
      <selection activeCell="I7" sqref="I7"/>
    </sheetView>
  </sheetViews>
  <sheetFormatPr defaultColWidth="8.85546875" defaultRowHeight="15"/>
  <cols>
    <col min="1" max="1" width="17.85546875" style="35" bestFit="1" customWidth="1"/>
    <col min="2" max="2" width="7.42578125" style="35" bestFit="1" customWidth="1"/>
    <col min="3" max="3" width="22.140625" style="35" bestFit="1" customWidth="1"/>
    <col min="4" max="5" width="12.28515625" style="35" bestFit="1" customWidth="1"/>
    <col min="6" max="1045" width="15.5703125" style="35" bestFit="1" customWidth="1"/>
    <col min="1046" max="1046" width="10.7109375" style="35" bestFit="1" customWidth="1"/>
    <col min="1047" max="16384" width="8.85546875" style="35"/>
  </cols>
  <sheetData>
    <row r="2" spans="1:13">
      <c r="A2" s="47" t="s">
        <v>3</v>
      </c>
      <c r="B2" s="47" t="s">
        <v>62</v>
      </c>
      <c r="C2" t="s">
        <v>67</v>
      </c>
      <c r="D2" t="s">
        <v>68</v>
      </c>
      <c r="E2" t="s">
        <v>69</v>
      </c>
      <c r="F2" t="s">
        <v>70</v>
      </c>
      <c r="G2" t="s">
        <v>71</v>
      </c>
    </row>
    <row r="3" spans="1:13">
      <c r="A3" t="s">
        <v>20</v>
      </c>
      <c r="B3" t="s">
        <v>53</v>
      </c>
      <c r="C3" s="51">
        <v>12492</v>
      </c>
      <c r="D3" s="51"/>
      <c r="E3" s="48"/>
      <c r="F3" s="51">
        <v>12492</v>
      </c>
      <c r="G3" s="48">
        <v>7.1219662373646672E-2</v>
      </c>
    </row>
    <row r="4" spans="1:13">
      <c r="A4"/>
      <c r="B4" t="s">
        <v>54</v>
      </c>
      <c r="C4" s="51">
        <v>12060</v>
      </c>
      <c r="D4" s="51">
        <v>-432</v>
      </c>
      <c r="E4" s="48">
        <v>-3.4582132564841501E-2</v>
      </c>
      <c r="F4" s="51">
        <v>24552</v>
      </c>
      <c r="G4" s="48">
        <v>0.13997639694186464</v>
      </c>
    </row>
    <row r="5" spans="1:13">
      <c r="A5"/>
      <c r="B5" t="s">
        <v>55</v>
      </c>
      <c r="C5" s="51">
        <v>10260</v>
      </c>
      <c r="D5" s="51">
        <v>-1800</v>
      </c>
      <c r="E5" s="48">
        <v>-0.14925373134328357</v>
      </c>
      <c r="F5" s="51">
        <v>34812</v>
      </c>
      <c r="G5" s="48">
        <v>0.19847093232079635</v>
      </c>
    </row>
    <row r="6" spans="1:13">
      <c r="A6" t="s">
        <v>27</v>
      </c>
      <c r="B6" t="s">
        <v>53</v>
      </c>
      <c r="C6" s="51">
        <v>4495</v>
      </c>
      <c r="D6" s="51"/>
      <c r="E6" s="48"/>
      <c r="F6" s="51">
        <v>4495</v>
      </c>
      <c r="G6" s="48">
        <v>2.5626991864356533E-2</v>
      </c>
    </row>
    <row r="7" spans="1:13">
      <c r="A7"/>
      <c r="B7" t="s">
        <v>54</v>
      </c>
      <c r="C7" s="51">
        <v>4650</v>
      </c>
      <c r="D7" s="51">
        <v>155</v>
      </c>
      <c r="E7" s="48">
        <v>3.4482758620689655E-2</v>
      </c>
      <c r="F7" s="51">
        <v>9145</v>
      </c>
      <c r="G7" s="48">
        <v>5.2137673103346049E-2</v>
      </c>
    </row>
    <row r="8" spans="1:13">
      <c r="A8"/>
      <c r="B8" t="s">
        <v>55</v>
      </c>
      <c r="C8" s="51">
        <v>5177</v>
      </c>
      <c r="D8" s="51">
        <v>527</v>
      </c>
      <c r="E8" s="48">
        <v>0.11333333333333333</v>
      </c>
      <c r="F8" s="51">
        <v>14322</v>
      </c>
      <c r="G8" s="48">
        <v>8.1652898216087705E-2</v>
      </c>
    </row>
    <row r="9" spans="1:13">
      <c r="A9" t="s">
        <v>21</v>
      </c>
      <c r="B9" t="s">
        <v>53</v>
      </c>
      <c r="C9" s="51">
        <v>15120</v>
      </c>
      <c r="D9" s="51"/>
      <c r="E9" s="48"/>
      <c r="F9" s="51">
        <v>15120</v>
      </c>
      <c r="G9" s="48">
        <v>8.6202473190004625E-2</v>
      </c>
      <c r="M9" s="44"/>
    </row>
    <row r="10" spans="1:13">
      <c r="A10"/>
      <c r="B10" t="s">
        <v>54</v>
      </c>
      <c r="C10" s="51">
        <v>16272</v>
      </c>
      <c r="D10" s="51">
        <v>1152</v>
      </c>
      <c r="E10" s="48">
        <v>7.6190476190476197E-2</v>
      </c>
      <c r="F10" s="51">
        <v>31392</v>
      </c>
      <c r="G10" s="48">
        <v>0.17897275386115244</v>
      </c>
      <c r="M10"/>
    </row>
    <row r="11" spans="1:13">
      <c r="A11"/>
      <c r="B11" t="s">
        <v>55</v>
      </c>
      <c r="C11" s="51">
        <v>15984</v>
      </c>
      <c r="D11" s="51">
        <v>-288</v>
      </c>
      <c r="E11" s="48">
        <v>-1.7699115044247787E-2</v>
      </c>
      <c r="F11" s="51">
        <v>47376</v>
      </c>
      <c r="G11" s="48">
        <v>0.27010108266201449</v>
      </c>
      <c r="M11" s="44"/>
    </row>
    <row r="12" spans="1:13">
      <c r="A12" t="s">
        <v>24</v>
      </c>
      <c r="B12" t="s">
        <v>53</v>
      </c>
      <c r="C12" s="51">
        <v>8466</v>
      </c>
      <c r="D12" s="51"/>
      <c r="E12" s="48"/>
      <c r="F12" s="51">
        <v>8466</v>
      </c>
      <c r="G12" s="48">
        <v>4.8266543520276393E-2</v>
      </c>
      <c r="M12"/>
    </row>
    <row r="13" spans="1:13">
      <c r="A13"/>
      <c r="B13" t="s">
        <v>54</v>
      </c>
      <c r="C13" s="51">
        <v>9435</v>
      </c>
      <c r="D13" s="51">
        <v>969</v>
      </c>
      <c r="E13" s="48">
        <v>0.1144578313253012</v>
      </c>
      <c r="F13" s="51">
        <v>17901</v>
      </c>
      <c r="G13" s="48">
        <v>0.10205757093745189</v>
      </c>
      <c r="M13" s="44"/>
    </row>
    <row r="14" spans="1:13">
      <c r="A14"/>
      <c r="B14" t="s">
        <v>55</v>
      </c>
      <c r="C14" s="51">
        <v>10608</v>
      </c>
      <c r="D14" s="51">
        <v>1173</v>
      </c>
      <c r="E14" s="48">
        <v>0.12432432432432433</v>
      </c>
      <c r="F14" s="51">
        <v>28509</v>
      </c>
      <c r="G14" s="48">
        <v>0.16253613149297894</v>
      </c>
    </row>
    <row r="15" spans="1:13">
      <c r="A15" t="s">
        <v>9</v>
      </c>
      <c r="B15" t="s">
        <v>53</v>
      </c>
      <c r="C15" s="51">
        <v>6697</v>
      </c>
      <c r="D15" s="51"/>
      <c r="E15" s="48"/>
      <c r="F15" s="51">
        <v>6697</v>
      </c>
      <c r="G15" s="48">
        <v>3.8181082205916726E-2</v>
      </c>
    </row>
    <row r="16" spans="1:13">
      <c r="A16"/>
      <c r="B16" t="s">
        <v>54</v>
      </c>
      <c r="C16" s="51">
        <v>5587</v>
      </c>
      <c r="D16" s="51">
        <v>-1110</v>
      </c>
      <c r="E16" s="48">
        <v>-0.16574585635359115</v>
      </c>
      <c r="F16" s="51">
        <v>12284</v>
      </c>
      <c r="G16" s="48">
        <v>7.0033808245106924E-2</v>
      </c>
    </row>
    <row r="17" spans="1:7">
      <c r="A17"/>
      <c r="B17" t="s">
        <v>55</v>
      </c>
      <c r="C17" s="51">
        <v>6290</v>
      </c>
      <c r="D17" s="51">
        <v>703</v>
      </c>
      <c r="E17" s="48">
        <v>0.12582781456953643</v>
      </c>
      <c r="F17" s="51">
        <v>18574</v>
      </c>
      <c r="G17" s="48">
        <v>0.1058944931898906</v>
      </c>
    </row>
    <row r="18" spans="1:7">
      <c r="A18" t="s">
        <v>12</v>
      </c>
      <c r="B18" t="s">
        <v>53</v>
      </c>
      <c r="C18" s="51">
        <v>10208</v>
      </c>
      <c r="D18" s="51"/>
      <c r="E18" s="48"/>
      <c r="F18" s="51">
        <v>10208</v>
      </c>
      <c r="G18" s="48">
        <v>5.8198071846796769E-2</v>
      </c>
    </row>
    <row r="19" spans="1:7">
      <c r="A19"/>
      <c r="B19" t="s">
        <v>54</v>
      </c>
      <c r="C19" s="51">
        <v>11168</v>
      </c>
      <c r="D19" s="51">
        <v>960</v>
      </c>
      <c r="E19" s="48">
        <v>9.4043887147335428E-2</v>
      </c>
      <c r="F19" s="51">
        <v>21376</v>
      </c>
      <c r="G19" s="48">
        <v>0.12186931659454621</v>
      </c>
    </row>
    <row r="20" spans="1:7">
      <c r="A20"/>
      <c r="B20" t="s">
        <v>55</v>
      </c>
      <c r="C20" s="51">
        <v>10432</v>
      </c>
      <c r="D20" s="51">
        <v>-736</v>
      </c>
      <c r="E20" s="48">
        <v>-6.5902578796561598E-2</v>
      </c>
      <c r="F20" s="51">
        <v>31808</v>
      </c>
      <c r="G20" s="48">
        <v>0.18134446211823194</v>
      </c>
    </row>
    <row r="21" spans="1:7">
      <c r="A21" t="s">
        <v>51</v>
      </c>
      <c r="B21"/>
      <c r="C21" s="51">
        <v>175401</v>
      </c>
      <c r="D21" s="51"/>
      <c r="E21" s="48"/>
      <c r="F21" s="51"/>
      <c r="G21" s="48"/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Challenge</vt:lpstr>
      <vt:lpstr>Dataset</vt:lpstr>
      <vt:lpstr>Ratios</vt:lpstr>
      <vt:lpstr>Totals</vt:lpstr>
      <vt:lpstr>Dataset</vt:lpstr>
      <vt:lpstr>Dataset!Print_Area</vt:lpstr>
      <vt:lpstr>Dataset!Print_Titles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2026-07-08T20:20:41Z</dcterms:modified>
</cp:coreProperties>
</file>