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featurePropertyBag/featurePropertyBag.xml" ContentType="application/vnd.ms-excel.featurepropertyba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ThinkPad\Desktop\Excel_Practice-main\46+ExcelChallenges_from_Goskills\48-Challenge_BuildALibraryBookTracker\"/>
    </mc:Choice>
  </mc:AlternateContent>
  <xr:revisionPtr revIDLastSave="0" documentId="13_ncr:1_{39A7B396-ECDB-4D01-BAA6-893C0B61B358}" xr6:coauthVersionLast="47" xr6:coauthVersionMax="47" xr10:uidLastSave="{00000000-0000-0000-0000-000000000000}"/>
  <bookViews>
    <workbookView xWindow="-120" yWindow="-120" windowWidth="29040" windowHeight="15720" tabRatio="665" activeTab="3" xr2:uid="{00000000-000D-0000-FFFF-FFFF00000000}"/>
  </bookViews>
  <sheets>
    <sheet name="Challenge" sheetId="8" r:id="rId1"/>
    <sheet name="Data" sheetId="1" r:id="rId2"/>
    <sheet name="Check" sheetId="6" r:id="rId3"/>
    <sheet name="Transactions" sheetId="3" r:id="rId4"/>
  </sheets>
  <definedNames>
    <definedName name="_xlnm._FilterDatabase" localSheetId="3" hidden="1">Transactions!$A$1:$J$301</definedName>
    <definedName name="_xlnm.Print_Area" localSheetId="0">Challenge!$A$1:$L$32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2" i="3" l="1" a="1"/>
  <c r="I2" i="3" s="1"/>
  <c r="J2" i="3" s="1"/>
  <c r="I301" i="3" a="1"/>
  <c r="I301" i="3" s="1"/>
  <c r="J301" i="3" s="1"/>
  <c r="I300" i="3" a="1"/>
  <c r="I300" i="3" s="1"/>
  <c r="J300" i="3" s="1"/>
  <c r="I299" i="3" a="1"/>
  <c r="I299" i="3" s="1"/>
  <c r="J299" i="3" s="1"/>
  <c r="I298" i="3" a="1"/>
  <c r="I298" i="3" s="1"/>
  <c r="J298" i="3" s="1"/>
  <c r="I297" i="3" a="1"/>
  <c r="I297" i="3" s="1"/>
  <c r="J297" i="3" s="1"/>
  <c r="I296" i="3" a="1"/>
  <c r="I296" i="3" s="1"/>
  <c r="J296" i="3" s="1"/>
  <c r="I295" i="3" a="1"/>
  <c r="I295" i="3" s="1"/>
  <c r="J295" i="3" s="1"/>
  <c r="I294" i="3" a="1"/>
  <c r="I294" i="3" s="1"/>
  <c r="J294" i="3" s="1"/>
  <c r="I293" i="3" a="1"/>
  <c r="I293" i="3" s="1"/>
  <c r="J293" i="3" s="1"/>
  <c r="I292" i="3" a="1"/>
  <c r="I292" i="3" s="1"/>
  <c r="J292" i="3" s="1"/>
  <c r="I291" i="3" a="1"/>
  <c r="I291" i="3" s="1"/>
  <c r="J291" i="3" s="1"/>
  <c r="I290" i="3" a="1"/>
  <c r="I290" i="3" s="1"/>
  <c r="J290" i="3" s="1"/>
  <c r="I289" i="3" a="1"/>
  <c r="I289" i="3" s="1"/>
  <c r="J289" i="3" s="1"/>
  <c r="I288" i="3" a="1"/>
  <c r="I288" i="3" s="1"/>
  <c r="J288" i="3" s="1"/>
  <c r="I287" i="3" a="1"/>
  <c r="I287" i="3" s="1"/>
  <c r="J287" i="3" s="1"/>
  <c r="I286" i="3" a="1"/>
  <c r="I286" i="3" s="1"/>
  <c r="J286" i="3" s="1"/>
  <c r="I285" i="3" a="1"/>
  <c r="I285" i="3" s="1"/>
  <c r="J285" i="3" s="1"/>
  <c r="I284" i="3" a="1"/>
  <c r="I284" i="3" s="1"/>
  <c r="J284" i="3" s="1"/>
  <c r="I283" i="3" a="1"/>
  <c r="I283" i="3" s="1"/>
  <c r="J283" i="3" s="1"/>
  <c r="I282" i="3" a="1"/>
  <c r="I282" i="3" s="1"/>
  <c r="J282" i="3" s="1"/>
  <c r="I281" i="3" a="1"/>
  <c r="I281" i="3" s="1"/>
  <c r="J281" i="3" s="1"/>
  <c r="I280" i="3" a="1"/>
  <c r="I280" i="3" s="1"/>
  <c r="J280" i="3" s="1"/>
  <c r="I279" i="3" a="1"/>
  <c r="I279" i="3" s="1"/>
  <c r="J279" i="3" s="1"/>
  <c r="I278" i="3" a="1"/>
  <c r="I278" i="3" s="1"/>
  <c r="J278" i="3" s="1"/>
  <c r="I277" i="3" a="1"/>
  <c r="I277" i="3" s="1"/>
  <c r="J277" i="3" s="1"/>
  <c r="I276" i="3" a="1"/>
  <c r="I276" i="3" s="1"/>
  <c r="J276" i="3" s="1"/>
  <c r="I275" i="3" a="1"/>
  <c r="I275" i="3" s="1"/>
  <c r="J275" i="3" s="1"/>
  <c r="I274" i="3" a="1"/>
  <c r="I274" i="3" s="1"/>
  <c r="J274" i="3" s="1"/>
  <c r="I273" i="3" a="1"/>
  <c r="I273" i="3" s="1"/>
  <c r="J273" i="3" s="1"/>
  <c r="I272" i="3" a="1"/>
  <c r="I272" i="3" s="1"/>
  <c r="J272" i="3" s="1"/>
  <c r="I271" i="3" a="1"/>
  <c r="I271" i="3" s="1"/>
  <c r="J271" i="3" s="1"/>
  <c r="I270" i="3" a="1"/>
  <c r="I270" i="3" s="1"/>
  <c r="J270" i="3" s="1"/>
  <c r="I269" i="3" a="1"/>
  <c r="I269" i="3" s="1"/>
  <c r="J269" i="3" s="1"/>
  <c r="I268" i="3" a="1"/>
  <c r="I268" i="3" s="1"/>
  <c r="J268" i="3" s="1"/>
  <c r="I267" i="3" a="1"/>
  <c r="I267" i="3" s="1"/>
  <c r="J267" i="3" s="1"/>
  <c r="I266" i="3" a="1"/>
  <c r="I266" i="3" s="1"/>
  <c r="J266" i="3" s="1"/>
  <c r="I265" i="3" a="1"/>
  <c r="I265" i="3" s="1"/>
  <c r="J265" i="3" s="1"/>
  <c r="I264" i="3" a="1"/>
  <c r="I264" i="3" s="1"/>
  <c r="J264" i="3" s="1"/>
  <c r="I263" i="3" a="1"/>
  <c r="I263" i="3" s="1"/>
  <c r="J263" i="3" s="1"/>
  <c r="I262" i="3" a="1"/>
  <c r="I262" i="3" s="1"/>
  <c r="J262" i="3" s="1"/>
  <c r="I261" i="3" a="1"/>
  <c r="I261" i="3" s="1"/>
  <c r="J261" i="3" s="1"/>
  <c r="I260" i="3" a="1"/>
  <c r="I260" i="3" s="1"/>
  <c r="J260" i="3" s="1"/>
  <c r="I259" i="3" a="1"/>
  <c r="I259" i="3" s="1"/>
  <c r="J259" i="3" s="1"/>
  <c r="I258" i="3" a="1"/>
  <c r="I258" i="3" s="1"/>
  <c r="J258" i="3" s="1"/>
  <c r="I257" i="3" a="1"/>
  <c r="I257" i="3" s="1"/>
  <c r="J257" i="3" s="1"/>
  <c r="I256" i="3" a="1"/>
  <c r="I256" i="3" s="1"/>
  <c r="J256" i="3" s="1"/>
  <c r="I255" i="3" a="1"/>
  <c r="I255" i="3" s="1"/>
  <c r="J255" i="3" s="1"/>
  <c r="I254" i="3" a="1"/>
  <c r="I254" i="3" s="1"/>
  <c r="J254" i="3" s="1"/>
  <c r="I253" i="3" a="1"/>
  <c r="I253" i="3" s="1"/>
  <c r="J253" i="3" s="1"/>
  <c r="I252" i="3" a="1"/>
  <c r="I252" i="3" s="1"/>
  <c r="J252" i="3" s="1"/>
  <c r="I251" i="3" a="1"/>
  <c r="I251" i="3" s="1"/>
  <c r="J251" i="3" s="1"/>
  <c r="I250" i="3" a="1"/>
  <c r="I250" i="3" s="1"/>
  <c r="J250" i="3" s="1"/>
  <c r="I249" i="3" a="1"/>
  <c r="I249" i="3" s="1"/>
  <c r="J249" i="3" s="1"/>
  <c r="I248" i="3" a="1"/>
  <c r="I248" i="3" s="1"/>
  <c r="J248" i="3" s="1"/>
  <c r="I247" i="3" a="1"/>
  <c r="I247" i="3" s="1"/>
  <c r="J247" i="3" s="1"/>
  <c r="I246" i="3" a="1"/>
  <c r="I246" i="3" s="1"/>
  <c r="J246" i="3" s="1"/>
  <c r="I245" i="3" a="1"/>
  <c r="I245" i="3" s="1"/>
  <c r="J245" i="3" s="1"/>
  <c r="I244" i="3" a="1"/>
  <c r="I244" i="3" s="1"/>
  <c r="J244" i="3" s="1"/>
  <c r="I243" i="3" a="1"/>
  <c r="I243" i="3" s="1"/>
  <c r="J243" i="3" s="1"/>
  <c r="I242" i="3" a="1"/>
  <c r="I242" i="3" s="1"/>
  <c r="J242" i="3" s="1"/>
  <c r="I241" i="3" a="1"/>
  <c r="I241" i="3" s="1"/>
  <c r="J241" i="3" s="1"/>
  <c r="I240" i="3" a="1"/>
  <c r="I240" i="3" s="1"/>
  <c r="J240" i="3" s="1"/>
  <c r="I239" i="3" a="1"/>
  <c r="I239" i="3" s="1"/>
  <c r="J239" i="3" s="1"/>
  <c r="I238" i="3" a="1"/>
  <c r="I238" i="3" s="1"/>
  <c r="J238" i="3" s="1"/>
  <c r="I237" i="3" a="1"/>
  <c r="I237" i="3" s="1"/>
  <c r="J237" i="3" s="1"/>
  <c r="I236" i="3" a="1"/>
  <c r="I236" i="3" s="1"/>
  <c r="J236" i="3" s="1"/>
  <c r="I235" i="3" a="1"/>
  <c r="I235" i="3" s="1"/>
  <c r="J235" i="3" s="1"/>
  <c r="I234" i="3" a="1"/>
  <c r="I234" i="3" s="1"/>
  <c r="J234" i="3" s="1"/>
  <c r="I233" i="3" a="1"/>
  <c r="I233" i="3" s="1"/>
  <c r="J233" i="3" s="1"/>
  <c r="I232" i="3" a="1"/>
  <c r="I232" i="3" s="1"/>
  <c r="J232" i="3" s="1"/>
  <c r="I231" i="3" a="1"/>
  <c r="I231" i="3" s="1"/>
  <c r="J231" i="3" s="1"/>
  <c r="I230" i="3" a="1"/>
  <c r="I230" i="3" s="1"/>
  <c r="J230" i="3" s="1"/>
  <c r="I229" i="3" a="1"/>
  <c r="I229" i="3" s="1"/>
  <c r="J229" i="3" s="1"/>
  <c r="I228" i="3" a="1"/>
  <c r="I228" i="3" s="1"/>
  <c r="J228" i="3" s="1"/>
  <c r="I227" i="3" a="1"/>
  <c r="I227" i="3" s="1"/>
  <c r="J227" i="3" s="1"/>
  <c r="I226" i="3" a="1"/>
  <c r="I226" i="3" s="1"/>
  <c r="J226" i="3" s="1"/>
  <c r="I225" i="3" a="1"/>
  <c r="I225" i="3" s="1"/>
  <c r="J225" i="3" s="1"/>
  <c r="I224" i="3" a="1"/>
  <c r="I224" i="3" s="1"/>
  <c r="J224" i="3" s="1"/>
  <c r="I223" i="3" a="1"/>
  <c r="I223" i="3" s="1"/>
  <c r="J223" i="3" s="1"/>
  <c r="I222" i="3" a="1"/>
  <c r="I222" i="3" s="1"/>
  <c r="J222" i="3" s="1"/>
  <c r="I221" i="3" a="1"/>
  <c r="I221" i="3" s="1"/>
  <c r="J221" i="3" s="1"/>
  <c r="I220" i="3" a="1"/>
  <c r="I220" i="3" s="1"/>
  <c r="J220" i="3" s="1"/>
  <c r="I219" i="3" a="1"/>
  <c r="I219" i="3" s="1"/>
  <c r="J219" i="3" s="1"/>
  <c r="I218" i="3" a="1"/>
  <c r="I218" i="3" s="1"/>
  <c r="J218" i="3" s="1"/>
  <c r="I217" i="3" a="1"/>
  <c r="I217" i="3" s="1"/>
  <c r="J217" i="3" s="1"/>
  <c r="I216" i="3" a="1"/>
  <c r="I216" i="3" s="1"/>
  <c r="J216" i="3" s="1"/>
  <c r="I215" i="3" a="1"/>
  <c r="I215" i="3" s="1"/>
  <c r="J215" i="3" s="1"/>
  <c r="I214" i="3" a="1"/>
  <c r="I214" i="3" s="1"/>
  <c r="J214" i="3" s="1"/>
  <c r="I213" i="3" a="1"/>
  <c r="I213" i="3" s="1"/>
  <c r="J213" i="3" s="1"/>
  <c r="I212" i="3" a="1"/>
  <c r="I212" i="3" s="1"/>
  <c r="J212" i="3" s="1"/>
  <c r="I211" i="3" a="1"/>
  <c r="I211" i="3" s="1"/>
  <c r="J211" i="3" s="1"/>
  <c r="I210" i="3" a="1"/>
  <c r="I210" i="3" s="1"/>
  <c r="J210" i="3" s="1"/>
  <c r="I209" i="3" a="1"/>
  <c r="I209" i="3" s="1"/>
  <c r="J209" i="3" s="1"/>
  <c r="I208" i="3" a="1"/>
  <c r="I208" i="3" s="1"/>
  <c r="J208" i="3" s="1"/>
  <c r="I207" i="3" a="1"/>
  <c r="I207" i="3" s="1"/>
  <c r="J207" i="3" s="1"/>
  <c r="I206" i="3" a="1"/>
  <c r="I206" i="3" s="1"/>
  <c r="J206" i="3" s="1"/>
  <c r="I205" i="3" a="1"/>
  <c r="I205" i="3" s="1"/>
  <c r="J205" i="3" s="1"/>
  <c r="I204" i="3" a="1"/>
  <c r="I204" i="3" s="1"/>
  <c r="J204" i="3" s="1"/>
  <c r="I203" i="3" a="1"/>
  <c r="I203" i="3" s="1"/>
  <c r="J203" i="3" s="1"/>
  <c r="I202" i="3" a="1"/>
  <c r="I202" i="3" s="1"/>
  <c r="J202" i="3" s="1"/>
  <c r="I201" i="3" a="1"/>
  <c r="I201" i="3" s="1"/>
  <c r="J201" i="3" s="1"/>
  <c r="I200" i="3" a="1"/>
  <c r="I200" i="3" s="1"/>
  <c r="J200" i="3" s="1"/>
  <c r="I199" i="3" a="1"/>
  <c r="I199" i="3" s="1"/>
  <c r="J199" i="3" s="1"/>
  <c r="I198" i="3" a="1"/>
  <c r="I198" i="3" s="1"/>
  <c r="J198" i="3" s="1"/>
  <c r="I197" i="3" a="1"/>
  <c r="I197" i="3" s="1"/>
  <c r="J197" i="3" s="1"/>
  <c r="I196" i="3" a="1"/>
  <c r="I196" i="3" s="1"/>
  <c r="J196" i="3" s="1"/>
  <c r="I195" i="3" a="1"/>
  <c r="I195" i="3" s="1"/>
  <c r="J195" i="3" s="1"/>
  <c r="I194" i="3" a="1"/>
  <c r="I194" i="3" s="1"/>
  <c r="J194" i="3" s="1"/>
  <c r="I193" i="3" a="1"/>
  <c r="I193" i="3" s="1"/>
  <c r="J193" i="3" s="1"/>
  <c r="I192" i="3" a="1"/>
  <c r="I192" i="3" s="1"/>
  <c r="J192" i="3" s="1"/>
  <c r="I191" i="3" a="1"/>
  <c r="I191" i="3" s="1"/>
  <c r="J191" i="3" s="1"/>
  <c r="I190" i="3" a="1"/>
  <c r="I190" i="3" s="1"/>
  <c r="J190" i="3" s="1"/>
  <c r="I189" i="3" a="1"/>
  <c r="I189" i="3" s="1"/>
  <c r="J189" i="3" s="1"/>
  <c r="I188" i="3" a="1"/>
  <c r="I188" i="3" s="1"/>
  <c r="J188" i="3" s="1"/>
  <c r="I187" i="3" a="1"/>
  <c r="I187" i="3" s="1"/>
  <c r="J187" i="3" s="1"/>
  <c r="I186" i="3" a="1"/>
  <c r="I186" i="3" s="1"/>
  <c r="J186" i="3" s="1"/>
  <c r="I185" i="3" a="1"/>
  <c r="I185" i="3" s="1"/>
  <c r="J185" i="3" s="1"/>
  <c r="I184" i="3" a="1"/>
  <c r="I184" i="3" s="1"/>
  <c r="J184" i="3" s="1"/>
  <c r="I183" i="3" a="1"/>
  <c r="I183" i="3" s="1"/>
  <c r="J183" i="3" s="1"/>
  <c r="I182" i="3" a="1"/>
  <c r="I182" i="3" s="1"/>
  <c r="J182" i="3" s="1"/>
  <c r="I181" i="3" a="1"/>
  <c r="I181" i="3" s="1"/>
  <c r="J181" i="3" s="1"/>
  <c r="I180" i="3" a="1"/>
  <c r="I180" i="3" s="1"/>
  <c r="J180" i="3" s="1"/>
  <c r="I179" i="3" a="1"/>
  <c r="I179" i="3" s="1"/>
  <c r="J179" i="3" s="1"/>
  <c r="I178" i="3" a="1"/>
  <c r="I178" i="3" s="1"/>
  <c r="J178" i="3" s="1"/>
  <c r="I177" i="3" a="1"/>
  <c r="I177" i="3" s="1"/>
  <c r="J177" i="3" s="1"/>
  <c r="I176" i="3" a="1"/>
  <c r="I176" i="3" s="1"/>
  <c r="J176" i="3" s="1"/>
  <c r="I175" i="3" a="1"/>
  <c r="I175" i="3" s="1"/>
  <c r="J175" i="3" s="1"/>
  <c r="I174" i="3" a="1"/>
  <c r="I174" i="3" s="1"/>
  <c r="J174" i="3" s="1"/>
  <c r="I173" i="3" a="1"/>
  <c r="I173" i="3" s="1"/>
  <c r="J173" i="3" s="1"/>
  <c r="I172" i="3" a="1"/>
  <c r="I172" i="3" s="1"/>
  <c r="J172" i="3" s="1"/>
  <c r="I171" i="3" a="1"/>
  <c r="I171" i="3" s="1"/>
  <c r="J171" i="3" s="1"/>
  <c r="I170" i="3" a="1"/>
  <c r="I170" i="3" s="1"/>
  <c r="J170" i="3" s="1"/>
  <c r="I169" i="3" a="1"/>
  <c r="I169" i="3" s="1"/>
  <c r="J169" i="3" s="1"/>
  <c r="I168" i="3" a="1"/>
  <c r="I168" i="3" s="1"/>
  <c r="J168" i="3" s="1"/>
  <c r="I167" i="3" a="1"/>
  <c r="I167" i="3" s="1"/>
  <c r="J167" i="3" s="1"/>
  <c r="I166" i="3" a="1"/>
  <c r="I166" i="3" s="1"/>
  <c r="J166" i="3" s="1"/>
  <c r="I165" i="3" a="1"/>
  <c r="I165" i="3" s="1"/>
  <c r="J165" i="3" s="1"/>
  <c r="I164" i="3" a="1"/>
  <c r="I164" i="3" s="1"/>
  <c r="J164" i="3" s="1"/>
  <c r="I163" i="3" a="1"/>
  <c r="I163" i="3" s="1"/>
  <c r="J163" i="3" s="1"/>
  <c r="I162" i="3" a="1"/>
  <c r="I162" i="3" s="1"/>
  <c r="J162" i="3" s="1"/>
  <c r="I161" i="3" a="1"/>
  <c r="I161" i="3" s="1"/>
  <c r="J161" i="3" s="1"/>
  <c r="I160" i="3" a="1"/>
  <c r="I160" i="3" s="1"/>
  <c r="J160" i="3" s="1"/>
  <c r="I159" i="3" a="1"/>
  <c r="I159" i="3" s="1"/>
  <c r="J159" i="3" s="1"/>
  <c r="I158" i="3" a="1"/>
  <c r="I158" i="3" s="1"/>
  <c r="J158" i="3" s="1"/>
  <c r="I157" i="3" a="1"/>
  <c r="I157" i="3" s="1"/>
  <c r="J157" i="3" s="1"/>
  <c r="I156" i="3" a="1"/>
  <c r="I156" i="3" s="1"/>
  <c r="J156" i="3" s="1"/>
  <c r="I155" i="3" a="1"/>
  <c r="I155" i="3" s="1"/>
  <c r="J155" i="3" s="1"/>
  <c r="I154" i="3" a="1"/>
  <c r="I154" i="3" s="1"/>
  <c r="J154" i="3" s="1"/>
  <c r="I153" i="3" a="1"/>
  <c r="I153" i="3" s="1"/>
  <c r="J153" i="3" s="1"/>
  <c r="I152" i="3" a="1"/>
  <c r="I152" i="3" s="1"/>
  <c r="J152" i="3" s="1"/>
  <c r="I151" i="3" a="1"/>
  <c r="I151" i="3" s="1"/>
  <c r="J151" i="3" s="1"/>
  <c r="I150" i="3" a="1"/>
  <c r="I150" i="3" s="1"/>
  <c r="J150" i="3" s="1"/>
  <c r="I149" i="3" a="1"/>
  <c r="I149" i="3" s="1"/>
  <c r="J149" i="3" s="1"/>
  <c r="I148" i="3" a="1"/>
  <c r="I148" i="3" s="1"/>
  <c r="J148" i="3" s="1"/>
  <c r="I147" i="3" a="1"/>
  <c r="I147" i="3" s="1"/>
  <c r="J147" i="3" s="1"/>
  <c r="I146" i="3" a="1"/>
  <c r="I146" i="3" s="1"/>
  <c r="J146" i="3" s="1"/>
  <c r="I145" i="3" a="1"/>
  <c r="I145" i="3" s="1"/>
  <c r="J145" i="3" s="1"/>
  <c r="I144" i="3" a="1"/>
  <c r="I144" i="3" s="1"/>
  <c r="J144" i="3" s="1"/>
  <c r="I143" i="3" a="1"/>
  <c r="I143" i="3" s="1"/>
  <c r="J143" i="3" s="1"/>
  <c r="I142" i="3" a="1"/>
  <c r="I142" i="3" s="1"/>
  <c r="J142" i="3" s="1"/>
  <c r="I141" i="3" a="1"/>
  <c r="I141" i="3" s="1"/>
  <c r="J141" i="3" s="1"/>
  <c r="I140" i="3" a="1"/>
  <c r="I140" i="3" s="1"/>
  <c r="J140" i="3" s="1"/>
  <c r="I139" i="3" a="1"/>
  <c r="I139" i="3" s="1"/>
  <c r="J139" i="3" s="1"/>
  <c r="I138" i="3" a="1"/>
  <c r="I138" i="3" s="1"/>
  <c r="J138" i="3" s="1"/>
  <c r="I137" i="3" a="1"/>
  <c r="I137" i="3" s="1"/>
  <c r="J137" i="3" s="1"/>
  <c r="I136" i="3" a="1"/>
  <c r="I136" i="3" s="1"/>
  <c r="J136" i="3" s="1"/>
  <c r="I135" i="3" a="1"/>
  <c r="I135" i="3" s="1"/>
  <c r="J135" i="3" s="1"/>
  <c r="I134" i="3" a="1"/>
  <c r="I134" i="3" s="1"/>
  <c r="J134" i="3" s="1"/>
  <c r="I133" i="3" a="1"/>
  <c r="I133" i="3" s="1"/>
  <c r="J133" i="3" s="1"/>
  <c r="I132" i="3" a="1"/>
  <c r="I132" i="3" s="1"/>
  <c r="J132" i="3" s="1"/>
  <c r="I131" i="3" a="1"/>
  <c r="I131" i="3" s="1"/>
  <c r="J131" i="3" s="1"/>
  <c r="I130" i="3" a="1"/>
  <c r="I130" i="3" s="1"/>
  <c r="J130" i="3" s="1"/>
  <c r="I129" i="3" a="1"/>
  <c r="I129" i="3" s="1"/>
  <c r="J129" i="3" s="1"/>
  <c r="I128" i="3" a="1"/>
  <c r="I128" i="3" s="1"/>
  <c r="J128" i="3" s="1"/>
  <c r="I127" i="3" a="1"/>
  <c r="I127" i="3" s="1"/>
  <c r="J127" i="3" s="1"/>
  <c r="I126" i="3" a="1"/>
  <c r="I126" i="3" s="1"/>
  <c r="J126" i="3" s="1"/>
  <c r="I125" i="3" a="1"/>
  <c r="I125" i="3" s="1"/>
  <c r="J125" i="3" s="1"/>
  <c r="I124" i="3" a="1"/>
  <c r="I124" i="3" s="1"/>
  <c r="J124" i="3" s="1"/>
  <c r="I123" i="3" a="1"/>
  <c r="I123" i="3" s="1"/>
  <c r="J123" i="3" s="1"/>
  <c r="I122" i="3" a="1"/>
  <c r="I122" i="3" s="1"/>
  <c r="J122" i="3" s="1"/>
  <c r="I121" i="3" a="1"/>
  <c r="I121" i="3" s="1"/>
  <c r="J121" i="3" s="1"/>
  <c r="I120" i="3" a="1"/>
  <c r="I120" i="3" s="1"/>
  <c r="J120" i="3" s="1"/>
  <c r="I119" i="3" a="1"/>
  <c r="I119" i="3" s="1"/>
  <c r="J119" i="3" s="1"/>
  <c r="I118" i="3" a="1"/>
  <c r="I118" i="3" s="1"/>
  <c r="J118" i="3" s="1"/>
  <c r="I117" i="3" a="1"/>
  <c r="I117" i="3" s="1"/>
  <c r="J117" i="3" s="1"/>
  <c r="I116" i="3" a="1"/>
  <c r="I116" i="3" s="1"/>
  <c r="J116" i="3" s="1"/>
  <c r="I115" i="3" a="1"/>
  <c r="I115" i="3" s="1"/>
  <c r="J115" i="3" s="1"/>
  <c r="I114" i="3" a="1"/>
  <c r="I114" i="3" s="1"/>
  <c r="J114" i="3" s="1"/>
  <c r="I113" i="3" a="1"/>
  <c r="I113" i="3" s="1"/>
  <c r="J113" i="3" s="1"/>
  <c r="I112" i="3" a="1"/>
  <c r="I112" i="3" s="1"/>
  <c r="J112" i="3" s="1"/>
  <c r="I111" i="3" a="1"/>
  <c r="I111" i="3" s="1"/>
  <c r="J111" i="3" s="1"/>
  <c r="I110" i="3" a="1"/>
  <c r="I110" i="3" s="1"/>
  <c r="J110" i="3" s="1"/>
  <c r="I109" i="3" a="1"/>
  <c r="I109" i="3" s="1"/>
  <c r="J109" i="3" s="1"/>
  <c r="I108" i="3" a="1"/>
  <c r="I108" i="3" s="1"/>
  <c r="J108" i="3" s="1"/>
  <c r="I107" i="3" a="1"/>
  <c r="I107" i="3" s="1"/>
  <c r="J107" i="3" s="1"/>
  <c r="I106" i="3" a="1"/>
  <c r="I106" i="3" s="1"/>
  <c r="J106" i="3" s="1"/>
  <c r="I105" i="3" a="1"/>
  <c r="I105" i="3" s="1"/>
  <c r="J105" i="3" s="1"/>
  <c r="I104" i="3" a="1"/>
  <c r="I104" i="3" s="1"/>
  <c r="J104" i="3" s="1"/>
  <c r="I103" i="3" a="1"/>
  <c r="I103" i="3" s="1"/>
  <c r="J103" i="3" s="1"/>
  <c r="I102" i="3" a="1"/>
  <c r="I102" i="3" s="1"/>
  <c r="J102" i="3" s="1"/>
  <c r="I101" i="3" a="1"/>
  <c r="I101" i="3" s="1"/>
  <c r="J101" i="3" s="1"/>
  <c r="I100" i="3" a="1"/>
  <c r="I100" i="3" s="1"/>
  <c r="J100" i="3" s="1"/>
  <c r="I99" i="3" a="1"/>
  <c r="I99" i="3" s="1"/>
  <c r="J99" i="3" s="1"/>
  <c r="I98" i="3" a="1"/>
  <c r="I98" i="3" s="1"/>
  <c r="J98" i="3" s="1"/>
  <c r="I97" i="3" a="1"/>
  <c r="I97" i="3" s="1"/>
  <c r="J97" i="3" s="1"/>
  <c r="I96" i="3" a="1"/>
  <c r="I96" i="3" s="1"/>
  <c r="J96" i="3" s="1"/>
  <c r="I95" i="3" a="1"/>
  <c r="I95" i="3" s="1"/>
  <c r="J95" i="3" s="1"/>
  <c r="I94" i="3" a="1"/>
  <c r="I94" i="3" s="1"/>
  <c r="J94" i="3" s="1"/>
  <c r="I93" i="3" a="1"/>
  <c r="I93" i="3" s="1"/>
  <c r="J93" i="3" s="1"/>
  <c r="I92" i="3" a="1"/>
  <c r="I92" i="3" s="1"/>
  <c r="J92" i="3" s="1"/>
  <c r="I91" i="3" a="1"/>
  <c r="I91" i="3" s="1"/>
  <c r="J91" i="3" s="1"/>
  <c r="I90" i="3" a="1"/>
  <c r="I90" i="3" s="1"/>
  <c r="J90" i="3" s="1"/>
  <c r="I89" i="3" a="1"/>
  <c r="I89" i="3" s="1"/>
  <c r="J89" i="3" s="1"/>
  <c r="I88" i="3" a="1"/>
  <c r="I88" i="3" s="1"/>
  <c r="J88" i="3" s="1"/>
  <c r="I87" i="3" a="1"/>
  <c r="I87" i="3" s="1"/>
  <c r="J87" i="3" s="1"/>
  <c r="I86" i="3" a="1"/>
  <c r="I86" i="3" s="1"/>
  <c r="J86" i="3" s="1"/>
  <c r="I85" i="3" a="1"/>
  <c r="I85" i="3" s="1"/>
  <c r="J85" i="3" s="1"/>
  <c r="I84" i="3" a="1"/>
  <c r="I84" i="3" s="1"/>
  <c r="J84" i="3" s="1"/>
  <c r="I83" i="3" a="1"/>
  <c r="I83" i="3" s="1"/>
  <c r="J83" i="3" s="1"/>
  <c r="I82" i="3" a="1"/>
  <c r="I82" i="3" s="1"/>
  <c r="J82" i="3" s="1"/>
  <c r="I81" i="3" a="1"/>
  <c r="I81" i="3" s="1"/>
  <c r="J81" i="3" s="1"/>
  <c r="I80" i="3" a="1"/>
  <c r="I80" i="3" s="1"/>
  <c r="J80" i="3" s="1"/>
  <c r="I79" i="3" a="1"/>
  <c r="I79" i="3" s="1"/>
  <c r="J79" i="3" s="1"/>
  <c r="I78" i="3" a="1"/>
  <c r="I78" i="3" s="1"/>
  <c r="J78" i="3" s="1"/>
  <c r="I77" i="3" a="1"/>
  <c r="I77" i="3" s="1"/>
  <c r="J77" i="3" s="1"/>
  <c r="I76" i="3" a="1"/>
  <c r="I76" i="3" s="1"/>
  <c r="J76" i="3" s="1"/>
  <c r="I75" i="3" a="1"/>
  <c r="I75" i="3" s="1"/>
  <c r="J75" i="3" s="1"/>
  <c r="I74" i="3" a="1"/>
  <c r="I74" i="3" s="1"/>
  <c r="J74" i="3" s="1"/>
  <c r="I73" i="3" a="1"/>
  <c r="I73" i="3" s="1"/>
  <c r="J73" i="3" s="1"/>
  <c r="I72" i="3" a="1"/>
  <c r="I72" i="3" s="1"/>
  <c r="J72" i="3" s="1"/>
  <c r="I71" i="3" a="1"/>
  <c r="I71" i="3" s="1"/>
  <c r="J71" i="3" s="1"/>
  <c r="I70" i="3" a="1"/>
  <c r="I70" i="3" s="1"/>
  <c r="J70" i="3" s="1"/>
  <c r="I69" i="3" a="1"/>
  <c r="I69" i="3" s="1"/>
  <c r="J69" i="3" s="1"/>
  <c r="I68" i="3" a="1"/>
  <c r="I68" i="3" s="1"/>
  <c r="J68" i="3" s="1"/>
  <c r="I67" i="3" a="1"/>
  <c r="I67" i="3" s="1"/>
  <c r="J67" i="3" s="1"/>
  <c r="I66" i="3" a="1"/>
  <c r="I66" i="3" s="1"/>
  <c r="J66" i="3" s="1"/>
  <c r="I65" i="3" a="1"/>
  <c r="I65" i="3" s="1"/>
  <c r="J65" i="3" s="1"/>
  <c r="I64" i="3" a="1"/>
  <c r="I64" i="3" s="1"/>
  <c r="J64" i="3" s="1"/>
  <c r="I63" i="3" a="1"/>
  <c r="I63" i="3" s="1"/>
  <c r="J63" i="3" s="1"/>
  <c r="I62" i="3" a="1"/>
  <c r="I62" i="3" s="1"/>
  <c r="J62" i="3" s="1"/>
  <c r="I61" i="3" a="1"/>
  <c r="I61" i="3" s="1"/>
  <c r="J61" i="3" s="1"/>
  <c r="I60" i="3" a="1"/>
  <c r="I60" i="3" s="1"/>
  <c r="J60" i="3" s="1"/>
  <c r="I59" i="3" a="1"/>
  <c r="I59" i="3" s="1"/>
  <c r="J59" i="3" s="1"/>
  <c r="I58" i="3" a="1"/>
  <c r="I58" i="3" s="1"/>
  <c r="J58" i="3" s="1"/>
  <c r="I57" i="3" a="1"/>
  <c r="I57" i="3" s="1"/>
  <c r="J57" i="3" s="1"/>
  <c r="I56" i="3" a="1"/>
  <c r="I56" i="3" s="1"/>
  <c r="J56" i="3" s="1"/>
  <c r="I55" i="3" a="1"/>
  <c r="I55" i="3" s="1"/>
  <c r="J55" i="3" s="1"/>
  <c r="I54" i="3" a="1"/>
  <c r="I54" i="3" s="1"/>
  <c r="J54" i="3" s="1"/>
  <c r="I53" i="3" a="1"/>
  <c r="I53" i="3" s="1"/>
  <c r="J53" i="3" s="1"/>
  <c r="I52" i="3" a="1"/>
  <c r="I52" i="3" s="1"/>
  <c r="J52" i="3" s="1"/>
  <c r="I51" i="3" a="1"/>
  <c r="I51" i="3" s="1"/>
  <c r="J51" i="3" s="1"/>
  <c r="I50" i="3" a="1"/>
  <c r="I50" i="3" s="1"/>
  <c r="J50" i="3" s="1"/>
  <c r="I49" i="3" a="1"/>
  <c r="I49" i="3" s="1"/>
  <c r="J49" i="3" s="1"/>
  <c r="I48" i="3" a="1"/>
  <c r="I48" i="3" s="1"/>
  <c r="J48" i="3" s="1"/>
  <c r="I47" i="3" a="1"/>
  <c r="I47" i="3" s="1"/>
  <c r="J47" i="3" s="1"/>
  <c r="I46" i="3" a="1"/>
  <c r="I46" i="3" s="1"/>
  <c r="J46" i="3" s="1"/>
  <c r="I45" i="3" a="1"/>
  <c r="I45" i="3" s="1"/>
  <c r="J45" i="3" s="1"/>
  <c r="I44" i="3" a="1"/>
  <c r="I44" i="3" s="1"/>
  <c r="J44" i="3" s="1"/>
  <c r="I43" i="3" a="1"/>
  <c r="I43" i="3" s="1"/>
  <c r="J43" i="3" s="1"/>
  <c r="I42" i="3" a="1"/>
  <c r="I42" i="3" s="1"/>
  <c r="J42" i="3" s="1"/>
  <c r="I41" i="3" a="1"/>
  <c r="I41" i="3" s="1"/>
  <c r="J41" i="3" s="1"/>
  <c r="I40" i="3" a="1"/>
  <c r="I40" i="3" s="1"/>
  <c r="J40" i="3" s="1"/>
  <c r="I39" i="3" a="1"/>
  <c r="I39" i="3" s="1"/>
  <c r="J39" i="3" s="1"/>
  <c r="I38" i="3" a="1"/>
  <c r="I38" i="3" s="1"/>
  <c r="J38" i="3" s="1"/>
  <c r="I37" i="3" a="1"/>
  <c r="I37" i="3" s="1"/>
  <c r="J37" i="3" s="1"/>
  <c r="I36" i="3" a="1"/>
  <c r="I36" i="3" s="1"/>
  <c r="J36" i="3" s="1"/>
  <c r="I35" i="3" a="1"/>
  <c r="I35" i="3" s="1"/>
  <c r="J35" i="3" s="1"/>
  <c r="I34" i="3" a="1"/>
  <c r="I34" i="3" s="1"/>
  <c r="J34" i="3" s="1"/>
  <c r="I33" i="3" a="1"/>
  <c r="I33" i="3" s="1"/>
  <c r="J33" i="3" s="1"/>
  <c r="I32" i="3" a="1"/>
  <c r="I32" i="3" s="1"/>
  <c r="J32" i="3" s="1"/>
  <c r="I31" i="3" a="1"/>
  <c r="I31" i="3" s="1"/>
  <c r="J31" i="3" s="1"/>
  <c r="I30" i="3" a="1"/>
  <c r="I30" i="3" s="1"/>
  <c r="J30" i="3" s="1"/>
  <c r="I29" i="3" a="1"/>
  <c r="I29" i="3" s="1"/>
  <c r="J29" i="3" s="1"/>
  <c r="D2" i="6" s="1"/>
  <c r="I28" i="3" a="1"/>
  <c r="I28" i="3" s="1"/>
  <c r="J28" i="3" s="1"/>
  <c r="I27" i="3" a="1"/>
  <c r="I27" i="3" s="1"/>
  <c r="J27" i="3" s="1"/>
  <c r="I26" i="3" a="1"/>
  <c r="I26" i="3" s="1"/>
  <c r="J26" i="3" s="1"/>
  <c r="I25" i="3" a="1"/>
  <c r="I25" i="3" s="1"/>
  <c r="J25" i="3" s="1"/>
  <c r="I24" i="3" a="1"/>
  <c r="I24" i="3" s="1"/>
  <c r="J24" i="3" s="1"/>
  <c r="I23" i="3" a="1"/>
  <c r="I23" i="3" s="1"/>
  <c r="J23" i="3" s="1"/>
  <c r="I22" i="3" a="1"/>
  <c r="I22" i="3" s="1"/>
  <c r="J22" i="3" s="1"/>
  <c r="I21" i="3" a="1"/>
  <c r="I21" i="3" s="1"/>
  <c r="J21" i="3" s="1"/>
  <c r="I20" i="3" a="1"/>
  <c r="I20" i="3" s="1"/>
  <c r="J20" i="3" s="1"/>
  <c r="I19" i="3" a="1"/>
  <c r="I19" i="3" s="1"/>
  <c r="J19" i="3" s="1"/>
  <c r="I18" i="3" a="1"/>
  <c r="I18" i="3" s="1"/>
  <c r="J18" i="3" s="1"/>
  <c r="I17" i="3" a="1"/>
  <c r="I17" i="3" s="1"/>
  <c r="J17" i="3" s="1"/>
  <c r="I16" i="3" a="1"/>
  <c r="I16" i="3" s="1"/>
  <c r="J16" i="3" s="1"/>
  <c r="I15" i="3" a="1"/>
  <c r="I15" i="3" s="1"/>
  <c r="J15" i="3" s="1"/>
  <c r="I14" i="3" a="1"/>
  <c r="I14" i="3" s="1"/>
  <c r="J14" i="3" s="1"/>
  <c r="I13" i="3" a="1"/>
  <c r="I13" i="3" s="1"/>
  <c r="J13" i="3" s="1"/>
  <c r="I12" i="3" a="1"/>
  <c r="I12" i="3" s="1"/>
  <c r="J12" i="3" s="1"/>
  <c r="I11" i="3" a="1"/>
  <c r="I11" i="3" s="1"/>
  <c r="J11" i="3" s="1"/>
  <c r="I10" i="3" a="1"/>
  <c r="I10" i="3" s="1"/>
  <c r="J10" i="3" s="1"/>
  <c r="I9" i="3" a="1"/>
  <c r="I9" i="3" s="1"/>
  <c r="J9" i="3" s="1"/>
  <c r="I8" i="3" a="1"/>
  <c r="I8" i="3" s="1"/>
  <c r="J8" i="3" s="1"/>
  <c r="I7" i="3" a="1"/>
  <c r="I7" i="3" s="1"/>
  <c r="J7" i="3" s="1"/>
  <c r="I6" i="3" a="1"/>
  <c r="I6" i="3" s="1"/>
  <c r="J6" i="3" s="1"/>
  <c r="I5" i="3" a="1"/>
  <c r="I5" i="3" s="1"/>
  <c r="J5" i="3" s="1"/>
  <c r="I4" i="3" a="1"/>
  <c r="I4" i="3" s="1"/>
  <c r="J4" i="3" s="1"/>
  <c r="I3" i="3" a="1"/>
  <c r="I3" i="3" s="1"/>
  <c r="J3" i="3" s="1"/>
  <c r="G2" i="3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49" i="3"/>
  <c r="G50" i="3"/>
  <c r="G51" i="3"/>
  <c r="G52" i="3"/>
  <c r="G53" i="3"/>
  <c r="G54" i="3"/>
  <c r="G55" i="3"/>
  <c r="G56" i="3"/>
  <c r="G57" i="3"/>
  <c r="G58" i="3"/>
  <c r="G59" i="3"/>
  <c r="G60" i="3"/>
  <c r="G61" i="3"/>
  <c r="G62" i="3"/>
  <c r="G63" i="3"/>
  <c r="G64" i="3"/>
  <c r="G65" i="3"/>
  <c r="G66" i="3"/>
  <c r="G67" i="3"/>
  <c r="G68" i="3"/>
  <c r="G69" i="3"/>
  <c r="G70" i="3"/>
  <c r="G71" i="3"/>
  <c r="G72" i="3"/>
  <c r="G73" i="3"/>
  <c r="G74" i="3"/>
  <c r="G75" i="3"/>
  <c r="G76" i="3"/>
  <c r="G77" i="3"/>
  <c r="G78" i="3"/>
  <c r="G79" i="3"/>
  <c r="G80" i="3"/>
  <c r="G81" i="3"/>
  <c r="G82" i="3"/>
  <c r="G83" i="3"/>
  <c r="G84" i="3"/>
  <c r="G85" i="3"/>
  <c r="G86" i="3"/>
  <c r="G87" i="3"/>
  <c r="G88" i="3"/>
  <c r="G89" i="3"/>
  <c r="G90" i="3"/>
  <c r="G91" i="3"/>
  <c r="G92" i="3"/>
  <c r="G93" i="3"/>
  <c r="G94" i="3"/>
  <c r="G95" i="3"/>
  <c r="G96" i="3"/>
  <c r="G97" i="3"/>
  <c r="G98" i="3"/>
  <c r="G99" i="3"/>
  <c r="G100" i="3"/>
  <c r="G101" i="3"/>
  <c r="G102" i="3"/>
  <c r="G103" i="3"/>
  <c r="G104" i="3"/>
  <c r="G105" i="3"/>
  <c r="G106" i="3"/>
  <c r="G107" i="3"/>
  <c r="G108" i="3"/>
  <c r="G109" i="3"/>
  <c r="G110" i="3"/>
  <c r="G111" i="3"/>
  <c r="G112" i="3"/>
  <c r="G113" i="3"/>
  <c r="G114" i="3"/>
  <c r="G115" i="3"/>
  <c r="G116" i="3"/>
  <c r="G117" i="3"/>
  <c r="G118" i="3"/>
  <c r="G119" i="3"/>
  <c r="G120" i="3"/>
  <c r="G121" i="3"/>
  <c r="G122" i="3"/>
  <c r="G123" i="3"/>
  <c r="G124" i="3"/>
  <c r="G125" i="3"/>
  <c r="G126" i="3"/>
  <c r="G127" i="3"/>
  <c r="G128" i="3"/>
  <c r="G129" i="3"/>
  <c r="G130" i="3"/>
  <c r="G131" i="3"/>
  <c r="G132" i="3"/>
  <c r="G133" i="3"/>
  <c r="G134" i="3"/>
  <c r="G135" i="3"/>
  <c r="G136" i="3"/>
  <c r="G137" i="3"/>
  <c r="G138" i="3"/>
  <c r="G139" i="3"/>
  <c r="G140" i="3"/>
  <c r="G141" i="3"/>
  <c r="G142" i="3"/>
  <c r="G143" i="3"/>
  <c r="G144" i="3"/>
  <c r="G145" i="3"/>
  <c r="G146" i="3"/>
  <c r="G147" i="3"/>
  <c r="G148" i="3"/>
  <c r="G149" i="3"/>
  <c r="G150" i="3"/>
  <c r="G151" i="3"/>
  <c r="G152" i="3"/>
  <c r="G153" i="3"/>
  <c r="G154" i="3"/>
  <c r="G155" i="3"/>
  <c r="G156" i="3"/>
  <c r="G157" i="3"/>
  <c r="G158" i="3"/>
  <c r="G159" i="3"/>
  <c r="G160" i="3"/>
  <c r="G161" i="3"/>
  <c r="G162" i="3"/>
  <c r="G163" i="3"/>
  <c r="G164" i="3"/>
  <c r="G165" i="3"/>
  <c r="G166" i="3"/>
  <c r="G167" i="3"/>
  <c r="G168" i="3"/>
  <c r="G169" i="3"/>
  <c r="G170" i="3"/>
  <c r="G171" i="3"/>
  <c r="G172" i="3"/>
  <c r="G173" i="3"/>
  <c r="G174" i="3"/>
  <c r="G175" i="3"/>
  <c r="G176" i="3"/>
  <c r="G177" i="3"/>
  <c r="G178" i="3"/>
  <c r="G179" i="3"/>
  <c r="G180" i="3"/>
  <c r="G181" i="3"/>
  <c r="G182" i="3"/>
  <c r="G183" i="3"/>
  <c r="G184" i="3"/>
  <c r="G185" i="3"/>
  <c r="G186" i="3"/>
  <c r="G187" i="3"/>
  <c r="G188" i="3"/>
  <c r="G189" i="3"/>
  <c r="G190" i="3"/>
  <c r="G191" i="3"/>
  <c r="G192" i="3"/>
  <c r="G193" i="3"/>
  <c r="G194" i="3"/>
  <c r="G195" i="3"/>
  <c r="G196" i="3"/>
  <c r="G197" i="3"/>
  <c r="G198" i="3"/>
  <c r="G199" i="3"/>
  <c r="G200" i="3"/>
  <c r="G201" i="3"/>
  <c r="G202" i="3"/>
  <c r="G203" i="3"/>
  <c r="G204" i="3"/>
  <c r="G205" i="3"/>
  <c r="G206" i="3"/>
  <c r="G207" i="3"/>
  <c r="G208" i="3"/>
  <c r="G209" i="3"/>
  <c r="G210" i="3"/>
  <c r="G211" i="3"/>
  <c r="G212" i="3"/>
  <c r="G213" i="3"/>
  <c r="G214" i="3"/>
  <c r="G215" i="3"/>
  <c r="G216" i="3"/>
  <c r="G217" i="3"/>
  <c r="G218" i="3"/>
  <c r="G219" i="3"/>
  <c r="G220" i="3"/>
  <c r="G221" i="3"/>
  <c r="G222" i="3"/>
  <c r="G223" i="3"/>
  <c r="G224" i="3"/>
  <c r="G225" i="3"/>
  <c r="G226" i="3"/>
  <c r="G227" i="3"/>
  <c r="G228" i="3"/>
  <c r="G229" i="3"/>
  <c r="G230" i="3"/>
  <c r="G231" i="3"/>
  <c r="G232" i="3"/>
  <c r="G233" i="3"/>
  <c r="G234" i="3"/>
  <c r="G235" i="3"/>
  <c r="G236" i="3"/>
  <c r="G237" i="3"/>
  <c r="G238" i="3"/>
  <c r="G239" i="3"/>
  <c r="G240" i="3"/>
  <c r="G241" i="3"/>
  <c r="G242" i="3"/>
  <c r="G243" i="3"/>
  <c r="G244" i="3"/>
  <c r="G245" i="3"/>
  <c r="G246" i="3"/>
  <c r="G247" i="3"/>
  <c r="G248" i="3"/>
  <c r="G249" i="3"/>
  <c r="G250" i="3"/>
  <c r="G251" i="3"/>
  <c r="G252" i="3"/>
  <c r="G253" i="3"/>
  <c r="G254" i="3"/>
  <c r="G255" i="3"/>
  <c r="G256" i="3"/>
  <c r="G257" i="3"/>
  <c r="G258" i="3"/>
  <c r="G259" i="3"/>
  <c r="G260" i="3"/>
  <c r="G261" i="3"/>
  <c r="G262" i="3"/>
  <c r="G263" i="3"/>
  <c r="G264" i="3"/>
  <c r="G265" i="3"/>
  <c r="G266" i="3"/>
  <c r="G267" i="3"/>
  <c r="G268" i="3"/>
  <c r="G269" i="3"/>
  <c r="G270" i="3"/>
  <c r="G271" i="3"/>
  <c r="G272" i="3"/>
  <c r="G273" i="3"/>
  <c r="G274" i="3"/>
  <c r="G275" i="3"/>
  <c r="G276" i="3"/>
  <c r="G277" i="3"/>
  <c r="G278" i="3"/>
  <c r="G279" i="3"/>
  <c r="G280" i="3"/>
  <c r="G281" i="3"/>
  <c r="G282" i="3"/>
  <c r="G283" i="3"/>
  <c r="G284" i="3"/>
  <c r="G285" i="3"/>
  <c r="G286" i="3"/>
  <c r="G287" i="3"/>
  <c r="G288" i="3"/>
  <c r="G289" i="3"/>
  <c r="G290" i="3"/>
  <c r="G291" i="3"/>
  <c r="G292" i="3"/>
  <c r="G293" i="3"/>
  <c r="G294" i="3"/>
  <c r="G295" i="3"/>
  <c r="G296" i="3"/>
  <c r="G297" i="3"/>
  <c r="G298" i="3"/>
  <c r="G299" i="3"/>
  <c r="G300" i="3"/>
  <c r="G301" i="3"/>
  <c r="H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2" i="6"/>
  <c r="I2" i="6" s="1"/>
  <c r="C2" i="6"/>
  <c r="B2" i="6"/>
  <c r="E204" i="3"/>
  <c r="E264" i="3"/>
  <c r="E294" i="3"/>
  <c r="E154" i="3"/>
  <c r="E199" i="3"/>
  <c r="E173" i="3"/>
  <c r="E179" i="3"/>
  <c r="E58" i="3"/>
  <c r="E286" i="3"/>
  <c r="E187" i="3"/>
  <c r="E262" i="3"/>
  <c r="E147" i="3"/>
  <c r="E141" i="3"/>
  <c r="E84" i="3"/>
  <c r="E150" i="3"/>
  <c r="E106" i="3"/>
  <c r="E177" i="3"/>
  <c r="E174" i="3"/>
  <c r="E65" i="3"/>
  <c r="E38" i="3"/>
  <c r="E188" i="3"/>
  <c r="E299" i="3"/>
  <c r="E265" i="3"/>
  <c r="E272" i="3"/>
  <c r="E266" i="3"/>
  <c r="E249" i="3"/>
  <c r="E17" i="3"/>
  <c r="E63" i="3"/>
  <c r="E287" i="3"/>
  <c r="E115" i="3"/>
  <c r="E100" i="3"/>
  <c r="E54" i="3"/>
  <c r="E95" i="3"/>
  <c r="E138" i="3"/>
  <c r="E34" i="3"/>
  <c r="E151" i="3"/>
  <c r="E47" i="3"/>
  <c r="E178" i="3"/>
  <c r="E22" i="3"/>
  <c r="E205" i="3"/>
  <c r="E96" i="3"/>
  <c r="E19" i="3"/>
  <c r="E39" i="3"/>
  <c r="E155" i="3"/>
  <c r="E277" i="3"/>
  <c r="E125" i="3"/>
  <c r="E273" i="3"/>
  <c r="E5" i="3"/>
  <c r="E180" i="3"/>
  <c r="E211" i="3"/>
  <c r="E126" i="3"/>
  <c r="E200" i="3"/>
  <c r="E196" i="3"/>
  <c r="E52" i="3"/>
  <c r="E163" i="3"/>
  <c r="E32" i="3"/>
  <c r="E120" i="3"/>
  <c r="E236" i="3"/>
  <c r="E112" i="3"/>
  <c r="E197" i="3"/>
  <c r="E189" i="3"/>
  <c r="E131" i="3"/>
  <c r="E45" i="3"/>
  <c r="E192" i="3"/>
  <c r="E176" i="3"/>
  <c r="E48" i="3"/>
  <c r="E267" i="3"/>
  <c r="E23" i="3"/>
  <c r="E190" i="3"/>
  <c r="E118" i="3"/>
  <c r="E72" i="3"/>
  <c r="E181" i="3"/>
  <c r="E97" i="3"/>
  <c r="E144" i="3"/>
  <c r="E105" i="3"/>
  <c r="E222" i="3"/>
  <c r="E291" i="3"/>
  <c r="E79" i="3"/>
  <c r="E14" i="3"/>
  <c r="E134" i="3"/>
  <c r="E49" i="3"/>
  <c r="E206" i="3"/>
  <c r="E292" i="3"/>
  <c r="E229" i="3"/>
  <c r="E202" i="3"/>
  <c r="E68" i="3"/>
  <c r="E175" i="3"/>
  <c r="E123" i="3"/>
  <c r="E76" i="3"/>
  <c r="E12" i="3"/>
  <c r="E225" i="3"/>
  <c r="E89" i="3"/>
  <c r="E44" i="3"/>
  <c r="E80" i="3"/>
  <c r="E281" i="3"/>
  <c r="E260" i="3"/>
  <c r="E230" i="3"/>
  <c r="E208" i="3"/>
  <c r="E101" i="3"/>
  <c r="E128" i="3"/>
  <c r="E242" i="3"/>
  <c r="E156" i="3"/>
  <c r="E29" i="3"/>
  <c r="E160" i="3"/>
  <c r="E217" i="3"/>
  <c r="E26" i="3"/>
  <c r="E268" i="3"/>
  <c r="E282" i="3"/>
  <c r="E6" i="3"/>
  <c r="E81" i="3"/>
  <c r="E66" i="3"/>
  <c r="E61" i="3"/>
  <c r="E191" i="3"/>
  <c r="E218" i="3"/>
  <c r="E243" i="3"/>
  <c r="E30" i="3"/>
  <c r="E231" i="3"/>
  <c r="E244" i="3"/>
  <c r="E276" i="3"/>
  <c r="E55" i="3"/>
  <c r="E119" i="3"/>
  <c r="E182" i="3"/>
  <c r="E269" i="3"/>
  <c r="E169" i="3"/>
  <c r="E53" i="3"/>
  <c r="E7" i="3"/>
  <c r="E212" i="3"/>
  <c r="E245" i="3"/>
  <c r="E102" i="3"/>
  <c r="E257" i="3"/>
  <c r="E288" i="3"/>
  <c r="E193" i="3"/>
  <c r="E8" i="3"/>
  <c r="E209" i="3"/>
  <c r="E135" i="3"/>
  <c r="E289" i="3"/>
  <c r="E210" i="3"/>
  <c r="E15" i="3"/>
  <c r="E296" i="3"/>
  <c r="E168" i="3"/>
  <c r="E90" i="3"/>
  <c r="E253" i="3"/>
  <c r="E232" i="3"/>
  <c r="E183" i="3"/>
  <c r="E213" i="3"/>
  <c r="E27" i="3"/>
  <c r="E2" i="3"/>
  <c r="E254" i="3"/>
  <c r="E215" i="3"/>
  <c r="E139" i="3"/>
  <c r="E50" i="3"/>
  <c r="E62" i="3"/>
  <c r="E251" i="3"/>
  <c r="E170" i="3"/>
  <c r="E18" i="3"/>
  <c r="E31" i="3"/>
  <c r="E153" i="3"/>
  <c r="E70" i="3"/>
  <c r="E290" i="3"/>
  <c r="E21" i="3"/>
  <c r="E93" i="3"/>
  <c r="E226" i="3"/>
  <c r="E161" i="3"/>
  <c r="E67" i="3"/>
  <c r="E194" i="3"/>
  <c r="E237" i="3"/>
  <c r="E113" i="3"/>
  <c r="E165" i="3"/>
  <c r="E148" i="3"/>
  <c r="E103" i="3"/>
  <c r="E104" i="3"/>
  <c r="E293" i="3"/>
  <c r="E132" i="3"/>
  <c r="E107" i="3"/>
  <c r="E127" i="3"/>
  <c r="E98" i="3"/>
  <c r="E184" i="3"/>
  <c r="E46" i="3"/>
  <c r="E250" i="3"/>
  <c r="E20" i="3"/>
  <c r="E73" i="3"/>
  <c r="E252" i="3"/>
  <c r="E136" i="3"/>
  <c r="E246" i="3"/>
  <c r="E40" i="3"/>
  <c r="E214" i="3"/>
  <c r="E195" i="3"/>
  <c r="E171" i="3"/>
  <c r="E270" i="3"/>
  <c r="E185" i="3"/>
  <c r="E121" i="3"/>
  <c r="E85" i="3"/>
  <c r="E109" i="3"/>
  <c r="E239" i="3"/>
  <c r="E297" i="3"/>
  <c r="E71" i="3"/>
  <c r="E56" i="3"/>
  <c r="E295" i="3"/>
  <c r="E172" i="3"/>
  <c r="E99" i="3"/>
  <c r="E278" i="3"/>
  <c r="E87" i="3"/>
  <c r="E60" i="3"/>
  <c r="E186" i="3"/>
  <c r="E159" i="3"/>
  <c r="E24" i="3"/>
  <c r="E240" i="3"/>
  <c r="E94" i="3"/>
  <c r="E77" i="3"/>
  <c r="E35" i="3"/>
  <c r="E142" i="3"/>
  <c r="E157" i="3"/>
  <c r="E152" i="3"/>
  <c r="E247" i="3"/>
  <c r="E16" i="3"/>
  <c r="E41" i="3"/>
  <c r="E219" i="3"/>
  <c r="E145" i="3"/>
  <c r="E36" i="3"/>
  <c r="E300" i="3"/>
  <c r="E279" i="3"/>
  <c r="E3" i="3"/>
  <c r="E37" i="3"/>
  <c r="E166" i="3"/>
  <c r="E43" i="3"/>
  <c r="E238" i="3"/>
  <c r="E86" i="3"/>
  <c r="E9" i="3"/>
  <c r="E4" i="3"/>
  <c r="E69" i="3"/>
  <c r="E75" i="3"/>
  <c r="E140" i="3"/>
  <c r="E201" i="3"/>
  <c r="E82" i="3"/>
  <c r="E114" i="3"/>
  <c r="E167" i="3"/>
  <c r="E283" i="3"/>
  <c r="E42" i="3"/>
  <c r="E78" i="3"/>
  <c r="E233" i="3"/>
  <c r="E146" i="3"/>
  <c r="E10" i="3"/>
  <c r="E108" i="3"/>
  <c r="E271" i="3"/>
  <c r="E223" i="3"/>
  <c r="E116" i="3"/>
  <c r="E220" i="3"/>
  <c r="E11" i="3"/>
  <c r="E129" i="3"/>
  <c r="E298" i="3"/>
  <c r="E221" i="3"/>
  <c r="E207" i="3"/>
  <c r="E64" i="3"/>
  <c r="E274" i="3"/>
  <c r="E255" i="3"/>
  <c r="E143" i="3"/>
  <c r="E234" i="3"/>
  <c r="E284" i="3"/>
  <c r="E74" i="3"/>
  <c r="E110" i="3"/>
  <c r="E280" i="3"/>
  <c r="E33" i="3"/>
  <c r="E57" i="3"/>
  <c r="E162" i="3"/>
  <c r="E137" i="3"/>
  <c r="E117" i="3"/>
  <c r="E256" i="3"/>
  <c r="E83" i="3"/>
  <c r="E285" i="3"/>
  <c r="E164" i="3"/>
  <c r="E258" i="3"/>
  <c r="E158" i="3"/>
  <c r="E275" i="3"/>
  <c r="E216" i="3"/>
  <c r="E51" i="3"/>
  <c r="E235" i="3"/>
  <c r="E227" i="3"/>
  <c r="E301" i="3"/>
  <c r="E91" i="3"/>
  <c r="E88" i="3"/>
  <c r="E224" i="3"/>
  <c r="E263" i="3"/>
  <c r="E203" i="3"/>
  <c r="E198" i="3"/>
  <c r="E124" i="3"/>
  <c r="E92" i="3"/>
  <c r="E122" i="3"/>
  <c r="E228" i="3"/>
  <c r="E59" i="3"/>
  <c r="E259" i="3"/>
  <c r="E111" i="3"/>
  <c r="E261" i="3"/>
  <c r="E248" i="3"/>
  <c r="E28" i="3"/>
  <c r="E130" i="3"/>
  <c r="E133" i="3"/>
  <c r="E241" i="3"/>
  <c r="E25" i="3"/>
  <c r="E149" i="3"/>
  <c r="E13" i="3"/>
  <c r="C204" i="3"/>
  <c r="C264" i="3"/>
  <c r="C294" i="3"/>
  <c r="C154" i="3"/>
  <c r="C199" i="3"/>
  <c r="C173" i="3"/>
  <c r="C179" i="3"/>
  <c r="C58" i="3"/>
  <c r="C286" i="3"/>
  <c r="C187" i="3"/>
  <c r="C262" i="3"/>
  <c r="C147" i="3"/>
  <c r="C141" i="3"/>
  <c r="C84" i="3"/>
  <c r="C150" i="3"/>
  <c r="C106" i="3"/>
  <c r="C177" i="3"/>
  <c r="C174" i="3"/>
  <c r="C65" i="3"/>
  <c r="C38" i="3"/>
  <c r="C188" i="3"/>
  <c r="C299" i="3"/>
  <c r="C265" i="3"/>
  <c r="C272" i="3"/>
  <c r="C266" i="3"/>
  <c r="C249" i="3"/>
  <c r="C17" i="3"/>
  <c r="C63" i="3"/>
  <c r="C287" i="3"/>
  <c r="C115" i="3"/>
  <c r="C100" i="3"/>
  <c r="C54" i="3"/>
  <c r="C95" i="3"/>
  <c r="C138" i="3"/>
  <c r="C34" i="3"/>
  <c r="C151" i="3"/>
  <c r="C47" i="3"/>
  <c r="C178" i="3"/>
  <c r="C22" i="3"/>
  <c r="C205" i="3"/>
  <c r="C96" i="3"/>
  <c r="C19" i="3"/>
  <c r="C39" i="3"/>
  <c r="C155" i="3"/>
  <c r="C277" i="3"/>
  <c r="C125" i="3"/>
  <c r="C273" i="3"/>
  <c r="C5" i="3"/>
  <c r="C180" i="3"/>
  <c r="C211" i="3"/>
  <c r="C126" i="3"/>
  <c r="C200" i="3"/>
  <c r="C196" i="3"/>
  <c r="C52" i="3"/>
  <c r="C163" i="3"/>
  <c r="C32" i="3"/>
  <c r="C120" i="3"/>
  <c r="C236" i="3"/>
  <c r="C112" i="3"/>
  <c r="C197" i="3"/>
  <c r="C189" i="3"/>
  <c r="C131" i="3"/>
  <c r="C45" i="3"/>
  <c r="C192" i="3"/>
  <c r="C176" i="3"/>
  <c r="C48" i="3"/>
  <c r="C267" i="3"/>
  <c r="C23" i="3"/>
  <c r="C190" i="3"/>
  <c r="C118" i="3"/>
  <c r="C72" i="3"/>
  <c r="C181" i="3"/>
  <c r="C97" i="3"/>
  <c r="C144" i="3"/>
  <c r="C105" i="3"/>
  <c r="C222" i="3"/>
  <c r="C291" i="3"/>
  <c r="C79" i="3"/>
  <c r="C14" i="3"/>
  <c r="C134" i="3"/>
  <c r="C49" i="3"/>
  <c r="C206" i="3"/>
  <c r="C292" i="3"/>
  <c r="C229" i="3"/>
  <c r="C202" i="3"/>
  <c r="C68" i="3"/>
  <c r="C175" i="3"/>
  <c r="C123" i="3"/>
  <c r="C76" i="3"/>
  <c r="C12" i="3"/>
  <c r="C225" i="3"/>
  <c r="C89" i="3"/>
  <c r="C44" i="3"/>
  <c r="C80" i="3"/>
  <c r="C281" i="3"/>
  <c r="C260" i="3"/>
  <c r="C230" i="3"/>
  <c r="C208" i="3"/>
  <c r="C101" i="3"/>
  <c r="C128" i="3"/>
  <c r="C242" i="3"/>
  <c r="C156" i="3"/>
  <c r="C29" i="3"/>
  <c r="C160" i="3"/>
  <c r="C217" i="3"/>
  <c r="C26" i="3"/>
  <c r="C268" i="3"/>
  <c r="C282" i="3"/>
  <c r="C6" i="3"/>
  <c r="C81" i="3"/>
  <c r="C66" i="3"/>
  <c r="C61" i="3"/>
  <c r="C191" i="3"/>
  <c r="C218" i="3"/>
  <c r="C243" i="3"/>
  <c r="C30" i="3"/>
  <c r="C231" i="3"/>
  <c r="C244" i="3"/>
  <c r="C276" i="3"/>
  <c r="C55" i="3"/>
  <c r="C119" i="3"/>
  <c r="C182" i="3"/>
  <c r="C269" i="3"/>
  <c r="C169" i="3"/>
  <c r="C53" i="3"/>
  <c r="C7" i="3"/>
  <c r="C212" i="3"/>
  <c r="C245" i="3"/>
  <c r="C102" i="3"/>
  <c r="C257" i="3"/>
  <c r="C288" i="3"/>
  <c r="C193" i="3"/>
  <c r="C8" i="3"/>
  <c r="C209" i="3"/>
  <c r="C135" i="3"/>
  <c r="C289" i="3"/>
  <c r="C210" i="3"/>
  <c r="C15" i="3"/>
  <c r="C296" i="3"/>
  <c r="C168" i="3"/>
  <c r="C90" i="3"/>
  <c r="C253" i="3"/>
  <c r="C232" i="3"/>
  <c r="C183" i="3"/>
  <c r="C213" i="3"/>
  <c r="C27" i="3"/>
  <c r="C2" i="3"/>
  <c r="C254" i="3"/>
  <c r="C215" i="3"/>
  <c r="C139" i="3"/>
  <c r="C50" i="3"/>
  <c r="C62" i="3"/>
  <c r="C251" i="3"/>
  <c r="C170" i="3"/>
  <c r="C18" i="3"/>
  <c r="C31" i="3"/>
  <c r="C153" i="3"/>
  <c r="C70" i="3"/>
  <c r="C290" i="3"/>
  <c r="C21" i="3"/>
  <c r="C93" i="3"/>
  <c r="C226" i="3"/>
  <c r="C161" i="3"/>
  <c r="C67" i="3"/>
  <c r="C194" i="3"/>
  <c r="C237" i="3"/>
  <c r="C113" i="3"/>
  <c r="C165" i="3"/>
  <c r="C148" i="3"/>
  <c r="C103" i="3"/>
  <c r="C104" i="3"/>
  <c r="C293" i="3"/>
  <c r="C132" i="3"/>
  <c r="C107" i="3"/>
  <c r="C127" i="3"/>
  <c r="C98" i="3"/>
  <c r="C184" i="3"/>
  <c r="C46" i="3"/>
  <c r="C250" i="3"/>
  <c r="C20" i="3"/>
  <c r="C73" i="3"/>
  <c r="C252" i="3"/>
  <c r="C136" i="3"/>
  <c r="C246" i="3"/>
  <c r="C40" i="3"/>
  <c r="C214" i="3"/>
  <c r="C195" i="3"/>
  <c r="C171" i="3"/>
  <c r="C270" i="3"/>
  <c r="C185" i="3"/>
  <c r="C121" i="3"/>
  <c r="C85" i="3"/>
  <c r="C109" i="3"/>
  <c r="C239" i="3"/>
  <c r="C297" i="3"/>
  <c r="C71" i="3"/>
  <c r="C56" i="3"/>
  <c r="C295" i="3"/>
  <c r="C172" i="3"/>
  <c r="C99" i="3"/>
  <c r="C278" i="3"/>
  <c r="C87" i="3"/>
  <c r="C60" i="3"/>
  <c r="C186" i="3"/>
  <c r="C159" i="3"/>
  <c r="C24" i="3"/>
  <c r="C240" i="3"/>
  <c r="C94" i="3"/>
  <c r="C77" i="3"/>
  <c r="C35" i="3"/>
  <c r="C142" i="3"/>
  <c r="C157" i="3"/>
  <c r="C152" i="3"/>
  <c r="C247" i="3"/>
  <c r="C16" i="3"/>
  <c r="C41" i="3"/>
  <c r="C219" i="3"/>
  <c r="C145" i="3"/>
  <c r="C36" i="3"/>
  <c r="C300" i="3"/>
  <c r="C279" i="3"/>
  <c r="C3" i="3"/>
  <c r="C37" i="3"/>
  <c r="C166" i="3"/>
  <c r="C43" i="3"/>
  <c r="C238" i="3"/>
  <c r="C86" i="3"/>
  <c r="C9" i="3"/>
  <c r="C4" i="3"/>
  <c r="C69" i="3"/>
  <c r="C75" i="3"/>
  <c r="C140" i="3"/>
  <c r="C201" i="3"/>
  <c r="C82" i="3"/>
  <c r="C114" i="3"/>
  <c r="C167" i="3"/>
  <c r="C283" i="3"/>
  <c r="C42" i="3"/>
  <c r="C78" i="3"/>
  <c r="C233" i="3"/>
  <c r="C146" i="3"/>
  <c r="C10" i="3"/>
  <c r="C108" i="3"/>
  <c r="C271" i="3"/>
  <c r="C223" i="3"/>
  <c r="C116" i="3"/>
  <c r="C220" i="3"/>
  <c r="C11" i="3"/>
  <c r="C129" i="3"/>
  <c r="C298" i="3"/>
  <c r="C221" i="3"/>
  <c r="C207" i="3"/>
  <c r="C64" i="3"/>
  <c r="C274" i="3"/>
  <c r="C255" i="3"/>
  <c r="C143" i="3"/>
  <c r="C234" i="3"/>
  <c r="C284" i="3"/>
  <c r="C74" i="3"/>
  <c r="C110" i="3"/>
  <c r="C280" i="3"/>
  <c r="C33" i="3"/>
  <c r="C57" i="3"/>
  <c r="C162" i="3"/>
  <c r="C137" i="3"/>
  <c r="C117" i="3"/>
  <c r="C256" i="3"/>
  <c r="C83" i="3"/>
  <c r="C285" i="3"/>
  <c r="C164" i="3"/>
  <c r="C258" i="3"/>
  <c r="C158" i="3"/>
  <c r="C275" i="3"/>
  <c r="C216" i="3"/>
  <c r="C51" i="3"/>
  <c r="C235" i="3"/>
  <c r="C227" i="3"/>
  <c r="C301" i="3"/>
  <c r="C91" i="3"/>
  <c r="C88" i="3"/>
  <c r="C224" i="3"/>
  <c r="C263" i="3"/>
  <c r="C203" i="3"/>
  <c r="C198" i="3"/>
  <c r="C124" i="3"/>
  <c r="C92" i="3"/>
  <c r="C122" i="3"/>
  <c r="C228" i="3"/>
  <c r="C59" i="3"/>
  <c r="C259" i="3"/>
  <c r="C111" i="3"/>
  <c r="C261" i="3"/>
  <c r="C248" i="3"/>
  <c r="C28" i="3"/>
  <c r="C130" i="3"/>
  <c r="C133" i="3"/>
  <c r="C241" i="3"/>
  <c r="C25" i="3"/>
  <c r="C149" i="3"/>
  <c r="C13" i="3"/>
  <c r="E2" i="6" l="1"/>
  <c r="J2" i="6" a="1"/>
  <c r="J2" i="6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<sst xmlns="http://schemas.openxmlformats.org/spreadsheetml/2006/main" count="1522" uniqueCount="890">
  <si>
    <t>Student ID</t>
  </si>
  <si>
    <t>Student Name</t>
  </si>
  <si>
    <t>ID0001</t>
  </si>
  <si>
    <t>ID0002</t>
  </si>
  <si>
    <t>ID0003</t>
  </si>
  <si>
    <t>ID0004</t>
  </si>
  <si>
    <t>ID0005</t>
  </si>
  <si>
    <t>ID0006</t>
  </si>
  <si>
    <t>ID0007</t>
  </si>
  <si>
    <t>ID0008</t>
  </si>
  <si>
    <t>ID0009</t>
  </si>
  <si>
    <t>ID0010</t>
  </si>
  <si>
    <t>ID0011</t>
  </si>
  <si>
    <t>ID0012</t>
  </si>
  <si>
    <t>ID0013</t>
  </si>
  <si>
    <t>ID0014</t>
  </si>
  <si>
    <t>ID0015</t>
  </si>
  <si>
    <t>ID0016</t>
  </si>
  <si>
    <t>ID0017</t>
  </si>
  <si>
    <t>ID0018</t>
  </si>
  <si>
    <t>ID0019</t>
  </si>
  <si>
    <t>ID0020</t>
  </si>
  <si>
    <t>ID0021</t>
  </si>
  <si>
    <t>ID0022</t>
  </si>
  <si>
    <t>ID0023</t>
  </si>
  <si>
    <t>ID0024</t>
  </si>
  <si>
    <t>ID0025</t>
  </si>
  <si>
    <t>ID0026</t>
  </si>
  <si>
    <t>ID0027</t>
  </si>
  <si>
    <t>ID0028</t>
  </si>
  <si>
    <t>ID0029</t>
  </si>
  <si>
    <t>ID0030</t>
  </si>
  <si>
    <t>ID0031</t>
  </si>
  <si>
    <t>ID0032</t>
  </si>
  <si>
    <t>ID0033</t>
  </si>
  <si>
    <t>ID0034</t>
  </si>
  <si>
    <t>ID0035</t>
  </si>
  <si>
    <t>ID0036</t>
  </si>
  <si>
    <t>ID0037</t>
  </si>
  <si>
    <t>ID0038</t>
  </si>
  <si>
    <t>ID0039</t>
  </si>
  <si>
    <t>ID0040</t>
  </si>
  <si>
    <t>ID0041</t>
  </si>
  <si>
    <t>ID0042</t>
  </si>
  <si>
    <t>ID0043</t>
  </si>
  <si>
    <t>ID0044</t>
  </si>
  <si>
    <t>ID0045</t>
  </si>
  <si>
    <t>ID0046</t>
  </si>
  <si>
    <t>ID0047</t>
  </si>
  <si>
    <t>ID0048</t>
  </si>
  <si>
    <t>ID0049</t>
  </si>
  <si>
    <t>ID0050</t>
  </si>
  <si>
    <t>ID0051</t>
  </si>
  <si>
    <t>ID0052</t>
  </si>
  <si>
    <t>ID0053</t>
  </si>
  <si>
    <t>ID0054</t>
  </si>
  <si>
    <t>ID0055</t>
  </si>
  <si>
    <t>ID0056</t>
  </si>
  <si>
    <t>ID0057</t>
  </si>
  <si>
    <t>ID0058</t>
  </si>
  <si>
    <t>ID0059</t>
  </si>
  <si>
    <t>ID0060</t>
  </si>
  <si>
    <t>ID0061</t>
  </si>
  <si>
    <t>ID0062</t>
  </si>
  <si>
    <t>ID0063</t>
  </si>
  <si>
    <t>ID0064</t>
  </si>
  <si>
    <t>ID0065</t>
  </si>
  <si>
    <t>ID0066</t>
  </si>
  <si>
    <t>ID0067</t>
  </si>
  <si>
    <t>ID0068</t>
  </si>
  <si>
    <t>ID0069</t>
  </si>
  <si>
    <t>ID0070</t>
  </si>
  <si>
    <t>ID0071</t>
  </si>
  <si>
    <t>ID0072</t>
  </si>
  <si>
    <t>ID0073</t>
  </si>
  <si>
    <t>ID0074</t>
  </si>
  <si>
    <t>ID0075</t>
  </si>
  <si>
    <t>ID0076</t>
  </si>
  <si>
    <t>ID0077</t>
  </si>
  <si>
    <t>ID0078</t>
  </si>
  <si>
    <t>ID0079</t>
  </si>
  <si>
    <t>ID0080</t>
  </si>
  <si>
    <t>ID0081</t>
  </si>
  <si>
    <t>ID0082</t>
  </si>
  <si>
    <t>ID0083</t>
  </si>
  <si>
    <t>ID0084</t>
  </si>
  <si>
    <t>ID0085</t>
  </si>
  <si>
    <t>ID0086</t>
  </si>
  <si>
    <t>ID0087</t>
  </si>
  <si>
    <t>ID0088</t>
  </si>
  <si>
    <t>ID0089</t>
  </si>
  <si>
    <t>ID0090</t>
  </si>
  <si>
    <t>ID0091</t>
  </si>
  <si>
    <t>ID0092</t>
  </si>
  <si>
    <t>ID0093</t>
  </si>
  <si>
    <t>ID0094</t>
  </si>
  <si>
    <t>ID0095</t>
  </si>
  <si>
    <t>ID0096</t>
  </si>
  <si>
    <t>ID0097</t>
  </si>
  <si>
    <t>ID0098</t>
  </si>
  <si>
    <t>ID0099</t>
  </si>
  <si>
    <t>ID0100</t>
  </si>
  <si>
    <t>Frank Clark Jr.</t>
  </si>
  <si>
    <t>Robert Patel</t>
  </si>
  <si>
    <t>Joshua Moran</t>
  </si>
  <si>
    <t>Tina Willis</t>
  </si>
  <si>
    <t>Sandra Fields</t>
  </si>
  <si>
    <t>William Wolfe</t>
  </si>
  <si>
    <t>Nicholas Wyatt</t>
  </si>
  <si>
    <t>Tracy Abbott</t>
  </si>
  <si>
    <t>Erin Chandler</t>
  </si>
  <si>
    <t>Jeffrey Garrett</t>
  </si>
  <si>
    <t>Tracy Sullivan</t>
  </si>
  <si>
    <t>Marie Buckley</t>
  </si>
  <si>
    <t>Joseph Barron</t>
  </si>
  <si>
    <t>Frederick Smith</t>
  </si>
  <si>
    <t>Mark Hester</t>
  </si>
  <si>
    <t>Katelyn Flores</t>
  </si>
  <si>
    <t>Fred Weiss</t>
  </si>
  <si>
    <t>Mike Roberts</t>
  </si>
  <si>
    <t>Jesse Kennedy</t>
  </si>
  <si>
    <t>David Lopez</t>
  </si>
  <si>
    <t>Ashley Henry</t>
  </si>
  <si>
    <t>Catherine Morris</t>
  </si>
  <si>
    <t>Michael Mullins Jr.</t>
  </si>
  <si>
    <t>Michael Nguyen</t>
  </si>
  <si>
    <t>Christie Flowers</t>
  </si>
  <si>
    <t>Nathaniel Bates</t>
  </si>
  <si>
    <t>Amy Willis</t>
  </si>
  <si>
    <t>Tiffany Salazar</t>
  </si>
  <si>
    <t>John Wright</t>
  </si>
  <si>
    <t>Jose Cox</t>
  </si>
  <si>
    <t>Jason Oconnor</t>
  </si>
  <si>
    <t>Tammy Tucker</t>
  </si>
  <si>
    <t>Brian Peters</t>
  </si>
  <si>
    <t>Marc Valentine</t>
  </si>
  <si>
    <t>Donna Craig</t>
  </si>
  <si>
    <t>Tommy Miller</t>
  </si>
  <si>
    <t>Hailey Brown</t>
  </si>
  <si>
    <t>Yvonne Morgan</t>
  </si>
  <si>
    <t>Dr. Michelle Pierce DDS</t>
  </si>
  <si>
    <t>Timothy Jensen</t>
  </si>
  <si>
    <t>Dustin Hall DDS</t>
  </si>
  <si>
    <t>Ryan Clayton</t>
  </si>
  <si>
    <t>Patrick Garcia</t>
  </si>
  <si>
    <t>Nichole Davis</t>
  </si>
  <si>
    <t>Taylor Gray</t>
  </si>
  <si>
    <t>Erica Malone</t>
  </si>
  <si>
    <t>Marcus Navarro</t>
  </si>
  <si>
    <t>Susan Moreno</t>
  </si>
  <si>
    <t>Charles Hayes</t>
  </si>
  <si>
    <t>Steven Weiss</t>
  </si>
  <si>
    <t>Zachary Harvey</t>
  </si>
  <si>
    <t>Christina Edwards</t>
  </si>
  <si>
    <t>Karen Scott</t>
  </si>
  <si>
    <t>Clayton Smith</t>
  </si>
  <si>
    <t>Ethan Sutton</t>
  </si>
  <si>
    <t>Shari Scott</t>
  </si>
  <si>
    <t>Amy Shaw</t>
  </si>
  <si>
    <t>Dillon Payne</t>
  </si>
  <si>
    <t>Scott Howell</t>
  </si>
  <si>
    <t>Chelsea Brown</t>
  </si>
  <si>
    <t>Kenneth Mitchell Jr.</t>
  </si>
  <si>
    <t>Joshua Jackson MD</t>
  </si>
  <si>
    <t>Maria Villarreal</t>
  </si>
  <si>
    <t>Travis Stevens</t>
  </si>
  <si>
    <t>Karen Bauer</t>
  </si>
  <si>
    <t>Russell Sutton</t>
  </si>
  <si>
    <t>Maria Ramsey</t>
  </si>
  <si>
    <t>Kimberly Cooper</t>
  </si>
  <si>
    <t>Daniel King DDS</t>
  </si>
  <si>
    <t>Stephanie Rodriguez</t>
  </si>
  <si>
    <t>Stephanie Wells</t>
  </si>
  <si>
    <t>Nancy Day</t>
  </si>
  <si>
    <t>Shane Garcia</t>
  </si>
  <si>
    <t>Jennifer Robinson</t>
  </si>
  <si>
    <t>Jack Duncan</t>
  </si>
  <si>
    <t>Thomas Flores</t>
  </si>
  <si>
    <t>Christopher Fleming</t>
  </si>
  <si>
    <t>Gabriella Gonzales</t>
  </si>
  <si>
    <t>Latoya Tucker</t>
  </si>
  <si>
    <t>Jeanette Cunningham</t>
  </si>
  <si>
    <t>Joshua Ward</t>
  </si>
  <si>
    <t>Laura Rogers</t>
  </si>
  <si>
    <t>Mckenzie Cole</t>
  </si>
  <si>
    <t>Christian Murphy</t>
  </si>
  <si>
    <t>Becky Barr</t>
  </si>
  <si>
    <t>Collin Mcdonald</t>
  </si>
  <si>
    <t>Cheyenne Garcia</t>
  </si>
  <si>
    <t>Edward Price</t>
  </si>
  <si>
    <t>Martin Walker</t>
  </si>
  <si>
    <t>Tracy Peters</t>
  </si>
  <si>
    <t>John Chandler</t>
  </si>
  <si>
    <t>Jeremy Phillips</t>
  </si>
  <si>
    <t>Belinda English</t>
  </si>
  <si>
    <t>Darlene Perry</t>
  </si>
  <si>
    <t>Amber Wright</t>
  </si>
  <si>
    <t>Brett Ruiz</t>
  </si>
  <si>
    <t>Lisa White</t>
  </si>
  <si>
    <t>Scott Bradley</t>
  </si>
  <si>
    <t>Alyssa Davis</t>
  </si>
  <si>
    <t>Robert Hernandez</t>
  </si>
  <si>
    <t>Joseph Jones</t>
  </si>
  <si>
    <t>Book ID</t>
  </si>
  <si>
    <t>Title</t>
  </si>
  <si>
    <t>Author</t>
  </si>
  <si>
    <t>Status</t>
  </si>
  <si>
    <t>B00001</t>
  </si>
  <si>
    <t>B00002</t>
  </si>
  <si>
    <t>B00003</t>
  </si>
  <si>
    <t>B00004</t>
  </si>
  <si>
    <t>B00005</t>
  </si>
  <si>
    <t>B00006</t>
  </si>
  <si>
    <t>B00007</t>
  </si>
  <si>
    <t>B00008</t>
  </si>
  <si>
    <t>B00009</t>
  </si>
  <si>
    <t>B00010</t>
  </si>
  <si>
    <t>B00011</t>
  </si>
  <si>
    <t>B00012</t>
  </si>
  <si>
    <t>B00013</t>
  </si>
  <si>
    <t>B00014</t>
  </si>
  <si>
    <t>B00015</t>
  </si>
  <si>
    <t>B00016</t>
  </si>
  <si>
    <t>B00017</t>
  </si>
  <si>
    <t>B00018</t>
  </si>
  <si>
    <t>B00019</t>
  </si>
  <si>
    <t>B00020</t>
  </si>
  <si>
    <t>B00021</t>
  </si>
  <si>
    <t>B00022</t>
  </si>
  <si>
    <t>B00023</t>
  </si>
  <si>
    <t>B00024</t>
  </si>
  <si>
    <t>B00025</t>
  </si>
  <si>
    <t>B00026</t>
  </si>
  <si>
    <t>B00027</t>
  </si>
  <si>
    <t>B00028</t>
  </si>
  <si>
    <t>B00029</t>
  </si>
  <si>
    <t>B00030</t>
  </si>
  <si>
    <t>B00031</t>
  </si>
  <si>
    <t>B00032</t>
  </si>
  <si>
    <t>B00033</t>
  </si>
  <si>
    <t>B00034</t>
  </si>
  <si>
    <t>B00035</t>
  </si>
  <si>
    <t>B00036</t>
  </si>
  <si>
    <t>B00037</t>
  </si>
  <si>
    <t>B00038</t>
  </si>
  <si>
    <t>B00039</t>
  </si>
  <si>
    <t>B00040</t>
  </si>
  <si>
    <t>B00041</t>
  </si>
  <si>
    <t>B00042</t>
  </si>
  <si>
    <t>B00043</t>
  </si>
  <si>
    <t>B00044</t>
  </si>
  <si>
    <t>B00045</t>
  </si>
  <si>
    <t>B00046</t>
  </si>
  <si>
    <t>B00047</t>
  </si>
  <si>
    <t>B00048</t>
  </si>
  <si>
    <t>B00049</t>
  </si>
  <si>
    <t>B00050</t>
  </si>
  <si>
    <t>B00051</t>
  </si>
  <si>
    <t>B00052</t>
  </si>
  <si>
    <t>B00053</t>
  </si>
  <si>
    <t>B00054</t>
  </si>
  <si>
    <t>B00055</t>
  </si>
  <si>
    <t>B00056</t>
  </si>
  <si>
    <t>B00057</t>
  </si>
  <si>
    <t>B00058</t>
  </si>
  <si>
    <t>B00059</t>
  </si>
  <si>
    <t>B00060</t>
  </si>
  <si>
    <t>B00061</t>
  </si>
  <si>
    <t>B00062</t>
  </si>
  <si>
    <t>B00063</t>
  </si>
  <si>
    <t>B00064</t>
  </si>
  <si>
    <t>B00065</t>
  </si>
  <si>
    <t>B00066</t>
  </si>
  <si>
    <t>B00067</t>
  </si>
  <si>
    <t>B00068</t>
  </si>
  <si>
    <t>B00069</t>
  </si>
  <si>
    <t>B00070</t>
  </si>
  <si>
    <t>B00071</t>
  </si>
  <si>
    <t>B00072</t>
  </si>
  <si>
    <t>B00073</t>
  </si>
  <si>
    <t>B00074</t>
  </si>
  <si>
    <t>B00075</t>
  </si>
  <si>
    <t>B00076</t>
  </si>
  <si>
    <t>B00077</t>
  </si>
  <si>
    <t>B00078</t>
  </si>
  <si>
    <t>B00079</t>
  </si>
  <si>
    <t>B00080</t>
  </si>
  <si>
    <t>B00081</t>
  </si>
  <si>
    <t>B00082</t>
  </si>
  <si>
    <t>B00083</t>
  </si>
  <si>
    <t>B00084</t>
  </si>
  <si>
    <t>B00085</t>
  </si>
  <si>
    <t>B00086</t>
  </si>
  <si>
    <t>B00087</t>
  </si>
  <si>
    <t>B00088</t>
  </si>
  <si>
    <t>B00089</t>
  </si>
  <si>
    <t>B00090</t>
  </si>
  <si>
    <t>B00091</t>
  </si>
  <si>
    <t>B00092</t>
  </si>
  <si>
    <t>B00093</t>
  </si>
  <si>
    <t>B00094</t>
  </si>
  <si>
    <t>B00095</t>
  </si>
  <si>
    <t>B00096</t>
  </si>
  <si>
    <t>B00097</t>
  </si>
  <si>
    <t>B00098</t>
  </si>
  <si>
    <t>B00099</t>
  </si>
  <si>
    <t>B00100</t>
  </si>
  <si>
    <t>B00101</t>
  </si>
  <si>
    <t>B00102</t>
  </si>
  <si>
    <t>B00103</t>
  </si>
  <si>
    <t>B00104</t>
  </si>
  <si>
    <t>B00105</t>
  </si>
  <si>
    <t>B00106</t>
  </si>
  <si>
    <t>B00107</t>
  </si>
  <si>
    <t>B00108</t>
  </si>
  <si>
    <t>B00109</t>
  </si>
  <si>
    <t>B00110</t>
  </si>
  <si>
    <t>B00111</t>
  </si>
  <si>
    <t>B00112</t>
  </si>
  <si>
    <t>B00113</t>
  </si>
  <si>
    <t>B00114</t>
  </si>
  <si>
    <t>B00115</t>
  </si>
  <si>
    <t>B00116</t>
  </si>
  <si>
    <t>B00117</t>
  </si>
  <si>
    <t>B00118</t>
  </si>
  <si>
    <t>B00119</t>
  </si>
  <si>
    <t>B00120</t>
  </si>
  <si>
    <t>Kelsey Marquez</t>
  </si>
  <si>
    <t>James Snow</t>
  </si>
  <si>
    <t>Michael Burke</t>
  </si>
  <si>
    <t>Ann Wagner</t>
  </si>
  <si>
    <t>Keith Mitchell</t>
  </si>
  <si>
    <t>Ariel Hubbard</t>
  </si>
  <si>
    <t>Kyle Cross</t>
  </si>
  <si>
    <t>Helen Watson</t>
  </si>
  <si>
    <t>Nicole Martinez</t>
  </si>
  <si>
    <t>Zoe Ingram</t>
  </si>
  <si>
    <t>John Jackson</t>
  </si>
  <si>
    <t>Amber Graves</t>
  </si>
  <si>
    <t>Heather Rodriguez</t>
  </si>
  <si>
    <t>Heather Costa</t>
  </si>
  <si>
    <t>Carol Bradley</t>
  </si>
  <si>
    <t>Deborah Jones</t>
  </si>
  <si>
    <t>Susan Peters</t>
  </si>
  <si>
    <t>Sarah Bowers</t>
  </si>
  <si>
    <t>Michael Cruz</t>
  </si>
  <si>
    <t>Todd Jackson</t>
  </si>
  <si>
    <t>Melissa Rogers</t>
  </si>
  <si>
    <t>Cynthia Smith</t>
  </si>
  <si>
    <t>Walter Garcia</t>
  </si>
  <si>
    <t>Melissa Brown</t>
  </si>
  <si>
    <t>Cheryl Ramos</t>
  </si>
  <si>
    <t>Pedro Brewer</t>
  </si>
  <si>
    <t>Phillip Miller</t>
  </si>
  <si>
    <t>Robyn Mack</t>
  </si>
  <si>
    <t>Katherine King</t>
  </si>
  <si>
    <t>Kevin Lyons</t>
  </si>
  <si>
    <t>Dr. Angela Smith MD</t>
  </si>
  <si>
    <t>Anne Montoya</t>
  </si>
  <si>
    <t>Denise Pearson</t>
  </si>
  <si>
    <t>Russell Logan</t>
  </si>
  <si>
    <t>Jessica Smith</t>
  </si>
  <si>
    <t>Lori Collins</t>
  </si>
  <si>
    <t>Anna Moody</t>
  </si>
  <si>
    <t>Barry Mays</t>
  </si>
  <si>
    <t>Desiree Cole</t>
  </si>
  <si>
    <t>Mary Booker</t>
  </si>
  <si>
    <t>Mark Huynh</t>
  </si>
  <si>
    <t>Kevin Choi</t>
  </si>
  <si>
    <t>Carlos Schwartz</t>
  </si>
  <si>
    <t>Keith Cline</t>
  </si>
  <si>
    <t>Heather Franklin</t>
  </si>
  <si>
    <t>Tammy Perez</t>
  </si>
  <si>
    <t>Dylan Miller</t>
  </si>
  <si>
    <t>Brenda Larson</t>
  </si>
  <si>
    <t>Michele Fry</t>
  </si>
  <si>
    <t>Ethan Tucker</t>
  </si>
  <si>
    <t>Paul Walker</t>
  </si>
  <si>
    <t>Anne Jacobs</t>
  </si>
  <si>
    <t>Michele Ortiz</t>
  </si>
  <si>
    <t>Jacob Williams</t>
  </si>
  <si>
    <t>Andrea Hoffman</t>
  </si>
  <si>
    <t>Alicia Jackson</t>
  </si>
  <si>
    <t>Tina Romero</t>
  </si>
  <si>
    <t>Keith Welch</t>
  </si>
  <si>
    <t>Raymond Reed</t>
  </si>
  <si>
    <t>Karen Leblanc</t>
  </si>
  <si>
    <t>Jonathan Long</t>
  </si>
  <si>
    <t>Francisco Decker</t>
  </si>
  <si>
    <t>Katelyn Potter</t>
  </si>
  <si>
    <t>Kevin Thomas</t>
  </si>
  <si>
    <t>Kelli Randall</t>
  </si>
  <si>
    <t>Theodore Estrada</t>
  </si>
  <si>
    <t>Samantha Rosario</t>
  </si>
  <si>
    <t>Evan Alexander</t>
  </si>
  <si>
    <t>Jordan Stone</t>
  </si>
  <si>
    <t>Alicia Alvarez</t>
  </si>
  <si>
    <t>Jessica Pena</t>
  </si>
  <si>
    <t>Maria Braun</t>
  </si>
  <si>
    <t>Justin Gilmore</t>
  </si>
  <si>
    <t>Mary Johnson</t>
  </si>
  <si>
    <t>Gabriel Lee</t>
  </si>
  <si>
    <t>Ricardo Jones</t>
  </si>
  <si>
    <t>Scott Taylor</t>
  </si>
  <si>
    <t>Kimberly Bray</t>
  </si>
  <si>
    <t>David Garcia</t>
  </si>
  <si>
    <t>Andrea Cruz</t>
  </si>
  <si>
    <t>Michael Knight</t>
  </si>
  <si>
    <t>Bryan Smith</t>
  </si>
  <si>
    <t>Cheryl Fox</t>
  </si>
  <si>
    <t>Ryan Collins</t>
  </si>
  <si>
    <t>Lisa Dunn</t>
  </si>
  <si>
    <t>Darlene Berg</t>
  </si>
  <si>
    <t>Keith Gilbert</t>
  </si>
  <si>
    <t>Michael Paul</t>
  </si>
  <si>
    <t>Mark Peterson</t>
  </si>
  <si>
    <t>Brian Hart</t>
  </si>
  <si>
    <t>Monica Gonzalez</t>
  </si>
  <si>
    <t>Ryan Sanchez</t>
  </si>
  <si>
    <t>Samantha Navarro</t>
  </si>
  <si>
    <t>Allison Mccoy</t>
  </si>
  <si>
    <t>Melissa Oconnor</t>
  </si>
  <si>
    <t>Miranda Mitchell</t>
  </si>
  <si>
    <t>Darrell Jackson</t>
  </si>
  <si>
    <t>Angela Torres</t>
  </si>
  <si>
    <t>David Potter</t>
  </si>
  <si>
    <t>Joseph Lewis</t>
  </si>
  <si>
    <t>Michael Meyer III</t>
  </si>
  <si>
    <t>Marissa Velazquez</t>
  </si>
  <si>
    <t>Albert Hall</t>
  </si>
  <si>
    <t>Miranda Blankenship</t>
  </si>
  <si>
    <t>Kathleen Shelton</t>
  </si>
  <si>
    <t>Connie Flores</t>
  </si>
  <si>
    <t>Justin Solis</t>
  </si>
  <si>
    <t>Tiffany Taylor</t>
  </si>
  <si>
    <t>Jerome Wood</t>
  </si>
  <si>
    <t>Valerie Mccall</t>
  </si>
  <si>
    <t>William Mitchell</t>
  </si>
  <si>
    <t>Jesse Lewis</t>
  </si>
  <si>
    <t>Bradley Michael</t>
  </si>
  <si>
    <t>William Graham</t>
  </si>
  <si>
    <t>Charles Mcintyre</t>
  </si>
  <si>
    <t>Kimberly Hill</t>
  </si>
  <si>
    <t>Dr. Lisa Turner DVM</t>
  </si>
  <si>
    <t>Transaction ID</t>
  </si>
  <si>
    <t>Borrow Date</t>
  </si>
  <si>
    <t>Due Date</t>
  </si>
  <si>
    <t>Return Date</t>
  </si>
  <si>
    <t>T00001</t>
  </si>
  <si>
    <t>T00002</t>
  </si>
  <si>
    <t>T00003</t>
  </si>
  <si>
    <t>T00004</t>
  </si>
  <si>
    <t>T00005</t>
  </si>
  <si>
    <t>T00006</t>
  </si>
  <si>
    <t>T00007</t>
  </si>
  <si>
    <t>T00008</t>
  </si>
  <si>
    <t>T00009</t>
  </si>
  <si>
    <t>T00010</t>
  </si>
  <si>
    <t>T00011</t>
  </si>
  <si>
    <t>T00012</t>
  </si>
  <si>
    <t>T00013</t>
  </si>
  <si>
    <t>T00014</t>
  </si>
  <si>
    <t>T00015</t>
  </si>
  <si>
    <t>T00016</t>
  </si>
  <si>
    <t>T00017</t>
  </si>
  <si>
    <t>T00018</t>
  </si>
  <si>
    <t>T00019</t>
  </si>
  <si>
    <t>T00020</t>
  </si>
  <si>
    <t>T00021</t>
  </si>
  <si>
    <t>T00022</t>
  </si>
  <si>
    <t>T00023</t>
  </si>
  <si>
    <t>T00024</t>
  </si>
  <si>
    <t>T00025</t>
  </si>
  <si>
    <t>T00026</t>
  </si>
  <si>
    <t>T00027</t>
  </si>
  <si>
    <t>T00028</t>
  </si>
  <si>
    <t>T00029</t>
  </si>
  <si>
    <t>T00030</t>
  </si>
  <si>
    <t>T00031</t>
  </si>
  <si>
    <t>T00032</t>
  </si>
  <si>
    <t>T00033</t>
  </si>
  <si>
    <t>T00034</t>
  </si>
  <si>
    <t>T00035</t>
  </si>
  <si>
    <t>T00036</t>
  </si>
  <si>
    <t>T00037</t>
  </si>
  <si>
    <t>T00038</t>
  </si>
  <si>
    <t>T00039</t>
  </si>
  <si>
    <t>T00040</t>
  </si>
  <si>
    <t>T00041</t>
  </si>
  <si>
    <t>T00042</t>
  </si>
  <si>
    <t>T00043</t>
  </si>
  <si>
    <t>T00044</t>
  </si>
  <si>
    <t>T00045</t>
  </si>
  <si>
    <t>T00046</t>
  </si>
  <si>
    <t>T00047</t>
  </si>
  <si>
    <t>T00048</t>
  </si>
  <si>
    <t>T00049</t>
  </si>
  <si>
    <t>T00050</t>
  </si>
  <si>
    <t>T00051</t>
  </si>
  <si>
    <t>T00052</t>
  </si>
  <si>
    <t>T00053</t>
  </si>
  <si>
    <t>T00054</t>
  </si>
  <si>
    <t>T00055</t>
  </si>
  <si>
    <t>T00056</t>
  </si>
  <si>
    <t>T00057</t>
  </si>
  <si>
    <t>T00058</t>
  </si>
  <si>
    <t>T00059</t>
  </si>
  <si>
    <t>T00060</t>
  </si>
  <si>
    <t>T00061</t>
  </si>
  <si>
    <t>T00062</t>
  </si>
  <si>
    <t>T00063</t>
  </si>
  <si>
    <t>T00064</t>
  </si>
  <si>
    <t>T00065</t>
  </si>
  <si>
    <t>T00066</t>
  </si>
  <si>
    <t>T00067</t>
  </si>
  <si>
    <t>T00068</t>
  </si>
  <si>
    <t>T00069</t>
  </si>
  <si>
    <t>T00070</t>
  </si>
  <si>
    <t>T00071</t>
  </si>
  <si>
    <t>T00072</t>
  </si>
  <si>
    <t>T00073</t>
  </si>
  <si>
    <t>T00074</t>
  </si>
  <si>
    <t>T00075</t>
  </si>
  <si>
    <t>T00076</t>
  </si>
  <si>
    <t>T00077</t>
  </si>
  <si>
    <t>T00078</t>
  </si>
  <si>
    <t>T00079</t>
  </si>
  <si>
    <t>T00080</t>
  </si>
  <si>
    <t>T00081</t>
  </si>
  <si>
    <t>T00082</t>
  </si>
  <si>
    <t>T00083</t>
  </si>
  <si>
    <t>T00084</t>
  </si>
  <si>
    <t>T00085</t>
  </si>
  <si>
    <t>T00086</t>
  </si>
  <si>
    <t>T00087</t>
  </si>
  <si>
    <t>T00088</t>
  </si>
  <si>
    <t>T00089</t>
  </si>
  <si>
    <t>T00090</t>
  </si>
  <si>
    <t>T00091</t>
  </si>
  <si>
    <t>T00092</t>
  </si>
  <si>
    <t>T00093</t>
  </si>
  <si>
    <t>T00094</t>
  </si>
  <si>
    <t>T00095</t>
  </si>
  <si>
    <t>T00096</t>
  </si>
  <si>
    <t>T00097</t>
  </si>
  <si>
    <t>T00098</t>
  </si>
  <si>
    <t>T00099</t>
  </si>
  <si>
    <t>T00100</t>
  </si>
  <si>
    <t>T00101</t>
  </si>
  <si>
    <t>T00102</t>
  </si>
  <si>
    <t>T00103</t>
  </si>
  <si>
    <t>T00104</t>
  </si>
  <si>
    <t>T00105</t>
  </si>
  <si>
    <t>T00106</t>
  </si>
  <si>
    <t>T00107</t>
  </si>
  <si>
    <t>T00108</t>
  </si>
  <si>
    <t>T00109</t>
  </si>
  <si>
    <t>T00110</t>
  </si>
  <si>
    <t>T00111</t>
  </si>
  <si>
    <t>T00112</t>
  </si>
  <si>
    <t>T00113</t>
  </si>
  <si>
    <t>T00114</t>
  </si>
  <si>
    <t>T00115</t>
  </si>
  <si>
    <t>T00116</t>
  </si>
  <si>
    <t>T00117</t>
  </si>
  <si>
    <t>T00118</t>
  </si>
  <si>
    <t>T00119</t>
  </si>
  <si>
    <t>T00120</t>
  </si>
  <si>
    <t>T00121</t>
  </si>
  <si>
    <t>T00122</t>
  </si>
  <si>
    <t>T00123</t>
  </si>
  <si>
    <t>T00124</t>
  </si>
  <si>
    <t>T00125</t>
  </si>
  <si>
    <t>T00126</t>
  </si>
  <si>
    <t>T00127</t>
  </si>
  <si>
    <t>T00128</t>
  </si>
  <si>
    <t>T00129</t>
  </si>
  <si>
    <t>T00130</t>
  </si>
  <si>
    <t>T00131</t>
  </si>
  <si>
    <t>T00132</t>
  </si>
  <si>
    <t>T00133</t>
  </si>
  <si>
    <t>T00134</t>
  </si>
  <si>
    <t>T00135</t>
  </si>
  <si>
    <t>T00136</t>
  </si>
  <si>
    <t>T00137</t>
  </si>
  <si>
    <t>T00138</t>
  </si>
  <si>
    <t>T00139</t>
  </si>
  <si>
    <t>T00140</t>
  </si>
  <si>
    <t>T00141</t>
  </si>
  <si>
    <t>T00142</t>
  </si>
  <si>
    <t>T00143</t>
  </si>
  <si>
    <t>T00144</t>
  </si>
  <si>
    <t>T00145</t>
  </si>
  <si>
    <t>T00146</t>
  </si>
  <si>
    <t>T00147</t>
  </si>
  <si>
    <t>T00148</t>
  </si>
  <si>
    <t>T00149</t>
  </si>
  <si>
    <t>T00150</t>
  </si>
  <si>
    <t>T00151</t>
  </si>
  <si>
    <t>T00152</t>
  </si>
  <si>
    <t>T00153</t>
  </si>
  <si>
    <t>T00154</t>
  </si>
  <si>
    <t>T00155</t>
  </si>
  <si>
    <t>T00156</t>
  </si>
  <si>
    <t>T00157</t>
  </si>
  <si>
    <t>T00158</t>
  </si>
  <si>
    <t>T00159</t>
  </si>
  <si>
    <t>T00160</t>
  </si>
  <si>
    <t>T00161</t>
  </si>
  <si>
    <t>T00162</t>
  </si>
  <si>
    <t>T00163</t>
  </si>
  <si>
    <t>T00164</t>
  </si>
  <si>
    <t>T00165</t>
  </si>
  <si>
    <t>T00166</t>
  </si>
  <si>
    <t>T00167</t>
  </si>
  <si>
    <t>T00168</t>
  </si>
  <si>
    <t>T00169</t>
  </si>
  <si>
    <t>T00170</t>
  </si>
  <si>
    <t>T00171</t>
  </si>
  <si>
    <t>T00172</t>
  </si>
  <si>
    <t>T00173</t>
  </si>
  <si>
    <t>T00174</t>
  </si>
  <si>
    <t>T00175</t>
  </si>
  <si>
    <t>T00176</t>
  </si>
  <si>
    <t>T00177</t>
  </si>
  <si>
    <t>T00178</t>
  </si>
  <si>
    <t>T00179</t>
  </si>
  <si>
    <t>T00180</t>
  </si>
  <si>
    <t>T00181</t>
  </si>
  <si>
    <t>T00182</t>
  </si>
  <si>
    <t>T00183</t>
  </si>
  <si>
    <t>T00184</t>
  </si>
  <si>
    <t>T00185</t>
  </si>
  <si>
    <t>T00186</t>
  </si>
  <si>
    <t>T00187</t>
  </si>
  <si>
    <t>T00188</t>
  </si>
  <si>
    <t>T00189</t>
  </si>
  <si>
    <t>T00190</t>
  </si>
  <si>
    <t>T00191</t>
  </si>
  <si>
    <t>T00192</t>
  </si>
  <si>
    <t>T00193</t>
  </si>
  <si>
    <t>T00194</t>
  </si>
  <si>
    <t>T00195</t>
  </si>
  <si>
    <t>T00196</t>
  </si>
  <si>
    <t>T00197</t>
  </si>
  <si>
    <t>T00198</t>
  </si>
  <si>
    <t>T00199</t>
  </si>
  <si>
    <t>T00200</t>
  </si>
  <si>
    <t>T00201</t>
  </si>
  <si>
    <t>T00202</t>
  </si>
  <si>
    <t>T00203</t>
  </si>
  <si>
    <t>T00204</t>
  </si>
  <si>
    <t>T00205</t>
  </si>
  <si>
    <t>T00206</t>
  </si>
  <si>
    <t>T00207</t>
  </si>
  <si>
    <t>T00208</t>
  </si>
  <si>
    <t>T00209</t>
  </si>
  <si>
    <t>T00210</t>
  </si>
  <si>
    <t>T00211</t>
  </si>
  <si>
    <t>T00212</t>
  </si>
  <si>
    <t>T00213</t>
  </si>
  <si>
    <t>T00214</t>
  </si>
  <si>
    <t>T00215</t>
  </si>
  <si>
    <t>T00216</t>
  </si>
  <si>
    <t>T00217</t>
  </si>
  <si>
    <t>T00218</t>
  </si>
  <si>
    <t>T00219</t>
  </si>
  <si>
    <t>T00220</t>
  </si>
  <si>
    <t>T00221</t>
  </si>
  <si>
    <t>T00222</t>
  </si>
  <si>
    <t>T00223</t>
  </si>
  <si>
    <t>T00224</t>
  </si>
  <si>
    <t>T00225</t>
  </si>
  <si>
    <t>T00226</t>
  </si>
  <si>
    <t>T00227</t>
  </si>
  <si>
    <t>T00228</t>
  </si>
  <si>
    <t>T00229</t>
  </si>
  <si>
    <t>T00230</t>
  </si>
  <si>
    <t>T00231</t>
  </si>
  <si>
    <t>T00232</t>
  </si>
  <si>
    <t>T00233</t>
  </si>
  <si>
    <t>T00234</t>
  </si>
  <si>
    <t>T00235</t>
  </si>
  <si>
    <t>T00236</t>
  </si>
  <si>
    <t>T00237</t>
  </si>
  <si>
    <t>T00238</t>
  </si>
  <si>
    <t>T00239</t>
  </si>
  <si>
    <t>T00240</t>
  </si>
  <si>
    <t>T00241</t>
  </si>
  <si>
    <t>T00242</t>
  </si>
  <si>
    <t>T00243</t>
  </si>
  <si>
    <t>T00244</t>
  </si>
  <si>
    <t>T00245</t>
  </si>
  <si>
    <t>T00246</t>
  </si>
  <si>
    <t>T00247</t>
  </si>
  <si>
    <t>T00248</t>
  </si>
  <si>
    <t>T00249</t>
  </si>
  <si>
    <t>T00250</t>
  </si>
  <si>
    <t>T00251</t>
  </si>
  <si>
    <t>T00252</t>
  </si>
  <si>
    <t>T00253</t>
  </si>
  <si>
    <t>T00254</t>
  </si>
  <si>
    <t>T00255</t>
  </si>
  <si>
    <t>T00256</t>
  </si>
  <si>
    <t>T00257</t>
  </si>
  <si>
    <t>T00258</t>
  </si>
  <si>
    <t>T00259</t>
  </si>
  <si>
    <t>T00260</t>
  </si>
  <si>
    <t>T00261</t>
  </si>
  <si>
    <t>T00262</t>
  </si>
  <si>
    <t>T00263</t>
  </si>
  <si>
    <t>T00264</t>
  </si>
  <si>
    <t>T00265</t>
  </si>
  <si>
    <t>T00266</t>
  </si>
  <si>
    <t>T00267</t>
  </si>
  <si>
    <t>T00268</t>
  </si>
  <si>
    <t>T00269</t>
  </si>
  <si>
    <t>T00270</t>
  </si>
  <si>
    <t>T00271</t>
  </si>
  <si>
    <t>T00272</t>
  </si>
  <si>
    <t>T00273</t>
  </si>
  <si>
    <t>T00274</t>
  </si>
  <si>
    <t>T00275</t>
  </si>
  <si>
    <t>T00276</t>
  </si>
  <si>
    <t>T00277</t>
  </si>
  <si>
    <t>T00278</t>
  </si>
  <si>
    <t>T00279</t>
  </si>
  <si>
    <t>T00280</t>
  </si>
  <si>
    <t>T00281</t>
  </si>
  <si>
    <t>T00282</t>
  </si>
  <si>
    <t>T00283</t>
  </si>
  <si>
    <t>T00284</t>
  </si>
  <si>
    <t>T00285</t>
  </si>
  <si>
    <t>T00286</t>
  </si>
  <si>
    <t>T00287</t>
  </si>
  <si>
    <t>T00288</t>
  </si>
  <si>
    <t>T00289</t>
  </si>
  <si>
    <t>T00290</t>
  </si>
  <si>
    <t>T00291</t>
  </si>
  <si>
    <t>T00292</t>
  </si>
  <si>
    <t>T00293</t>
  </si>
  <si>
    <t>T00294</t>
  </si>
  <si>
    <t>T00295</t>
  </si>
  <si>
    <t>T00296</t>
  </si>
  <si>
    <t>T00297</t>
  </si>
  <si>
    <t>T00298</t>
  </si>
  <si>
    <t>T00299</t>
  </si>
  <si>
    <t>T00300</t>
  </si>
  <si>
    <t/>
  </si>
  <si>
    <t>Overdue Days</t>
  </si>
  <si>
    <t>Image</t>
  </si>
  <si>
    <t>Nation</t>
  </si>
  <si>
    <t>Cup</t>
  </si>
  <si>
    <t>Save</t>
  </si>
  <si>
    <t>Account</t>
  </si>
  <si>
    <t>Toward</t>
  </si>
  <si>
    <t>Music</t>
  </si>
  <si>
    <t>Task</t>
  </si>
  <si>
    <t>Blood</t>
  </si>
  <si>
    <t>Boy</t>
  </si>
  <si>
    <t>Painting</t>
  </si>
  <si>
    <t>Defense</t>
  </si>
  <si>
    <t>Overdue Fines</t>
  </si>
  <si>
    <t>Availability</t>
  </si>
  <si>
    <t>Alisha Miller</t>
  </si>
  <si>
    <t>Child Figure Up</t>
  </si>
  <si>
    <t>Ready Firm</t>
  </si>
  <si>
    <t>Yet Dinner</t>
  </si>
  <si>
    <t>Policy Behind Charge Shoulder</t>
  </si>
  <si>
    <t>Form Method Task</t>
  </si>
  <si>
    <t>Politics Car Sure</t>
  </si>
  <si>
    <t>Ball Social</t>
  </si>
  <si>
    <t>Close Music Direction</t>
  </si>
  <si>
    <t>Information Eat</t>
  </si>
  <si>
    <t>Term Heavy</t>
  </si>
  <si>
    <t>Pattern Travel Parent</t>
  </si>
  <si>
    <t>Fine Benefit Must</t>
  </si>
  <si>
    <t>Kitchen Inside</t>
  </si>
  <si>
    <t>Myself Owner</t>
  </si>
  <si>
    <t>Car Without Now</t>
  </si>
  <si>
    <t>Simply Mother</t>
  </si>
  <si>
    <t>Dark Such Hour Argue</t>
  </si>
  <si>
    <t>Firm Write Population</t>
  </si>
  <si>
    <t>Again Field Make</t>
  </si>
  <si>
    <t>Involve Job</t>
  </si>
  <si>
    <t>System Government Charge</t>
  </si>
  <si>
    <t>Guy In Enough</t>
  </si>
  <si>
    <t>Agree Election</t>
  </si>
  <si>
    <t>Answer Receive</t>
  </si>
  <si>
    <t>Unit Way</t>
  </si>
  <si>
    <t>Us Should Firm Performance</t>
  </si>
  <si>
    <t>Man Center</t>
  </si>
  <si>
    <t>Energy Just</t>
  </si>
  <si>
    <t>Mission Politics Seven</t>
  </si>
  <si>
    <t>Large Drop Maybe</t>
  </si>
  <si>
    <t>Impact Center Show</t>
  </si>
  <si>
    <t>Account Article</t>
  </si>
  <si>
    <t>Report Anything Adult Capital</t>
  </si>
  <si>
    <t>Force Culture</t>
  </si>
  <si>
    <t>After History May</t>
  </si>
  <si>
    <t>Necessary Bill</t>
  </si>
  <si>
    <t>Close Recent Nor</t>
  </si>
  <si>
    <t>Service Treat Past Read</t>
  </si>
  <si>
    <t>Area Close Yeah</t>
  </si>
  <si>
    <t>Idea According</t>
  </si>
  <si>
    <t>Tv Specific Enter</t>
  </si>
  <si>
    <t>Shoulder Movie Report</t>
  </si>
  <si>
    <t>Name Common Keep</t>
  </si>
  <si>
    <t>Me Issue Free</t>
  </si>
  <si>
    <t>Represent Camera</t>
  </si>
  <si>
    <t>Almost Protect</t>
  </si>
  <si>
    <t>Century Former Country</t>
  </si>
  <si>
    <t>Nice Table</t>
  </si>
  <si>
    <t>Hear Now Finish</t>
  </si>
  <si>
    <t>Plan Picture Mouth</t>
  </si>
  <si>
    <t>Garden Job</t>
  </si>
  <si>
    <t>Simple Join</t>
  </si>
  <si>
    <t>Red Provide</t>
  </si>
  <si>
    <t>Condition History Walk Soldier</t>
  </si>
  <si>
    <t>Decide Interesting</t>
  </si>
  <si>
    <t>Goal Avoid Together Church</t>
  </si>
  <si>
    <t>Benefit Partner</t>
  </si>
  <si>
    <t>Very Speak Activity Test</t>
  </si>
  <si>
    <t>Live Painting</t>
  </si>
  <si>
    <t>Protect Bit Save</t>
  </si>
  <si>
    <t>Price Animal</t>
  </si>
  <si>
    <t>Friend Speech</t>
  </si>
  <si>
    <t>Sit Stock Various</t>
  </si>
  <si>
    <t>Cover Treat</t>
  </si>
  <si>
    <t>Night Democrat Fill</t>
  </si>
  <si>
    <t>Fact Still</t>
  </si>
  <si>
    <t>Suffer Lose</t>
  </si>
  <si>
    <t>Stock Party</t>
  </si>
  <si>
    <t>Key High Find</t>
  </si>
  <si>
    <t>Oil Full Attack</t>
  </si>
  <si>
    <t>Soon Work</t>
  </si>
  <si>
    <t>Much Beyond</t>
  </si>
  <si>
    <t>Anyone Story Far</t>
  </si>
  <si>
    <t>Idea Southern Better</t>
  </si>
  <si>
    <t>Enough Assume Beat Visit</t>
  </si>
  <si>
    <t>Seat Mrs Phone</t>
  </si>
  <si>
    <t>Situation Provide Word Lead</t>
  </si>
  <si>
    <t>Arrive Interview Center</t>
  </si>
  <si>
    <t>Close Truth</t>
  </si>
  <si>
    <t>Economy Officer Shoulder</t>
  </si>
  <si>
    <t>During Authority Structure</t>
  </si>
  <si>
    <t>Especially Third If</t>
  </si>
  <si>
    <t>Save Against</t>
  </si>
  <si>
    <t>Star Law</t>
  </si>
  <si>
    <t>Another Personal First</t>
  </si>
  <si>
    <t>Seem Head Employee</t>
  </si>
  <si>
    <t>Significant Student Up</t>
  </si>
  <si>
    <t>Hour Wall Nice</t>
  </si>
  <si>
    <t>Will Discover Market</t>
  </si>
  <si>
    <t>Develop Around</t>
  </si>
  <si>
    <t>College Coach Bad</t>
  </si>
  <si>
    <t>Write Class</t>
  </si>
  <si>
    <t>Better Forward View</t>
  </si>
  <si>
    <t>Return Authority Question</t>
  </si>
  <si>
    <t>Here Glass Believe</t>
  </si>
  <si>
    <t>Old Rich</t>
  </si>
  <si>
    <t>Somebody Opportunity</t>
  </si>
  <si>
    <t>Issue Act</t>
  </si>
  <si>
    <t>Mean Analysis Behind</t>
  </si>
  <si>
    <t>Radio Wait Available Author</t>
  </si>
  <si>
    <t>Hold Five Mission</t>
  </si>
  <si>
    <t>Possible Charge</t>
  </si>
  <si>
    <t>Four Box</t>
  </si>
  <si>
    <t>Culture For See</t>
  </si>
  <si>
    <t>Understand Foot Pattern</t>
  </si>
  <si>
    <t>Perhaps Easy Blood Information</t>
  </si>
  <si>
    <t>Though Represent Free</t>
  </si>
  <si>
    <t>Music Simply</t>
  </si>
  <si>
    <t>Total Books Borrowed</t>
  </si>
  <si>
    <t>GoSkills Excel Challenge 48</t>
  </si>
  <si>
    <t>Remaining Allotment</t>
  </si>
  <si>
    <t>Number of Copies</t>
  </si>
  <si>
    <r>
      <t xml:space="preserve">Create a formula to return the Student Name in cell B2 of the </t>
    </r>
    <r>
      <rPr>
        <b/>
        <sz val="14"/>
        <color rgb="FF35373C"/>
        <rFont val="Inter"/>
      </rPr>
      <t>Check</t>
    </r>
    <r>
      <rPr>
        <sz val="14"/>
        <color rgb="FF35373C"/>
        <rFont val="Inter"/>
      </rPr>
      <t xml:space="preserve"> worksheet.</t>
    </r>
  </si>
  <si>
    <r>
      <t xml:space="preserve">Write a formula in cell C2 of the </t>
    </r>
    <r>
      <rPr>
        <b/>
        <sz val="14"/>
        <color rgb="FF35373C"/>
        <rFont val="Inter"/>
      </rPr>
      <t>Check</t>
    </r>
    <r>
      <rPr>
        <sz val="14"/>
        <color rgb="FF35373C"/>
        <rFont val="Inter"/>
      </rPr>
      <t xml:space="preserve"> worksheet to show the number of books borrowed by the selected student.</t>
    </r>
  </si>
  <si>
    <r>
      <t xml:space="preserve">Develop a formula to calculate overdue fines for the selected student in cell D2 of the </t>
    </r>
    <r>
      <rPr>
        <b/>
        <sz val="14"/>
        <color rgb="FF35373C"/>
        <rFont val="Inter"/>
      </rPr>
      <t>Check</t>
    </r>
    <r>
      <rPr>
        <sz val="14"/>
        <color rgb="FF35373C"/>
        <rFont val="Inter"/>
      </rPr>
      <t xml:space="preserve"> worksheet.</t>
    </r>
  </si>
  <si>
    <r>
      <t xml:space="preserve">Write a formula in cell E2 of the </t>
    </r>
    <r>
      <rPr>
        <b/>
        <sz val="14"/>
        <color rgb="FF35373C"/>
        <rFont val="Inter"/>
      </rPr>
      <t>Check</t>
    </r>
    <r>
      <rPr>
        <sz val="14"/>
        <color rgb="FF35373C"/>
        <rFont val="Inter"/>
      </rPr>
      <t xml:space="preserve"> worksheet to display the remaining borrowing allowance for the selected student, considering a maximum limit of 5 books.</t>
    </r>
  </si>
  <si>
    <r>
      <t xml:space="preserve">Create a formula in cell H2 of the </t>
    </r>
    <r>
      <rPr>
        <b/>
        <sz val="14"/>
        <color rgb="FF35373C"/>
        <rFont val="Inter"/>
      </rPr>
      <t>Check</t>
    </r>
    <r>
      <rPr>
        <sz val="14"/>
        <color rgb="FF35373C"/>
        <rFont val="Inter"/>
      </rPr>
      <t xml:space="preserve"> worksheet to return the title of the selected book.</t>
    </r>
  </si>
  <si>
    <r>
      <t xml:space="preserve">Write a formula in cell I2 of the </t>
    </r>
    <r>
      <rPr>
        <b/>
        <sz val="14"/>
        <color rgb="FF35373C"/>
        <rFont val="Inter"/>
      </rPr>
      <t>Check</t>
    </r>
    <r>
      <rPr>
        <sz val="14"/>
        <color rgb="FF35373C"/>
        <rFont val="Inter"/>
      </rPr>
      <t xml:space="preserve"> worksheet to display the availability of the selected book based on its remaining copies.</t>
    </r>
  </si>
  <si>
    <r>
      <t xml:space="preserve">Develop a formula in cell J2 of the </t>
    </r>
    <r>
      <rPr>
        <b/>
        <sz val="14"/>
        <color rgb="FF35373C"/>
        <rFont val="Inter"/>
      </rPr>
      <t>Check</t>
    </r>
    <r>
      <rPr>
        <sz val="14"/>
        <color rgb="FF35373C"/>
        <rFont val="Inter"/>
      </rPr>
      <t xml:space="preserve"> worksheet to return the earliest due date for the selected book if no copies are available.</t>
    </r>
  </si>
  <si>
    <r>
      <t xml:space="preserve">In column G of the </t>
    </r>
    <r>
      <rPr>
        <b/>
        <sz val="14"/>
        <color rgb="FF35373C"/>
        <rFont val="Inter"/>
      </rPr>
      <t>Transactions</t>
    </r>
    <r>
      <rPr>
        <sz val="14"/>
        <color rgb="FF35373C"/>
        <rFont val="Inter"/>
      </rPr>
      <t xml:space="preserve"> worksheet, calculate the Due Date for each borrowed book based on a 21-day loan period.</t>
    </r>
  </si>
  <si>
    <r>
      <t xml:space="preserve">Calculate overdue fines by charging $1 for each overdue day in column J of the </t>
    </r>
    <r>
      <rPr>
        <b/>
        <sz val="14"/>
        <color rgb="FF35373C"/>
        <rFont val="Inter"/>
      </rPr>
      <t>Transactions</t>
    </r>
    <r>
      <rPr>
        <sz val="14"/>
        <color rgb="FF35373C"/>
        <rFont val="Inter"/>
      </rPr>
      <t xml:space="preserve"> worksheet.</t>
    </r>
  </si>
  <si>
    <r>
      <t xml:space="preserve">Write a formula in cell H2 of the </t>
    </r>
    <r>
      <rPr>
        <b/>
        <sz val="14"/>
        <color rgb="FF35373C"/>
        <rFont val="Inter"/>
      </rPr>
      <t>Data</t>
    </r>
    <r>
      <rPr>
        <sz val="14"/>
        <color rgb="FF35373C"/>
        <rFont val="Inter"/>
      </rPr>
      <t xml:space="preserve"> worksheet to display the availability of each book based on the information in the </t>
    </r>
    <r>
      <rPr>
        <b/>
        <sz val="14"/>
        <color rgb="FF35373C"/>
        <rFont val="Inter"/>
      </rPr>
      <t>Transactions</t>
    </r>
    <r>
      <rPr>
        <sz val="14"/>
        <color rgb="FF35373C"/>
        <rFont val="Inter"/>
      </rPr>
      <t xml:space="preserve"> worksheet.</t>
    </r>
  </si>
  <si>
    <t>For this challenge, you'll take on these Excel missions:</t>
  </si>
  <si>
    <t>Note that if a student has overdue fines, they should not be allowed to borrow any more books, even if they are still within their borrowing limit.</t>
  </si>
  <si>
    <r>
      <t xml:space="preserve">Calculate the number of overdue days for each loan by comparing the Return Date and Due Date in column I of the </t>
    </r>
    <r>
      <rPr>
        <b/>
        <sz val="14"/>
        <color rgb="FF35373C"/>
        <rFont val="Inter"/>
      </rPr>
      <t>Transactions</t>
    </r>
    <r>
      <rPr>
        <sz val="14"/>
        <color rgb="FF35373C"/>
        <rFont val="Inter"/>
      </rPr>
      <t xml:space="preserve"> worksheet.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</si>
</sst>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_-&quot;$&quot;* #,##0.00_-;\-&quot;$&quot;* #,##0.00_-;_-&quot;$&quot;* &quot;-&quot;??_-;_-@_-"/>
    <numFmt numFmtId="165" formatCode="[$$-409]#,##0"/>
    <numFmt numFmtId="166" formatCode="[$-F800]dddd\,\ mmmm\ dd\,\ yyyy"/>
  </numFmts>
  <fonts count="2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4"/>
      <color rgb="FFE63946"/>
      <name val="Roboto"/>
    </font>
    <font>
      <sz val="12"/>
      <color rgb="FF457B9D"/>
      <name val="Roboto"/>
    </font>
    <font>
      <b/>
      <sz val="25"/>
      <color rgb="FF35373C"/>
      <name val="Arial"/>
      <family val="2"/>
    </font>
    <font>
      <b/>
      <sz val="15"/>
      <color rgb="FF35373C"/>
      <name val="Inter"/>
    </font>
    <font>
      <b/>
      <sz val="13"/>
      <color rgb="FF35373C"/>
      <name val="Inter"/>
    </font>
    <font>
      <sz val="15"/>
      <color rgb="FF35373C"/>
      <name val="Roboto"/>
    </font>
    <font>
      <sz val="14"/>
      <color rgb="FF35373C"/>
      <name val="Inter"/>
    </font>
    <font>
      <sz val="12"/>
      <color rgb="FF35373C"/>
      <name val="Roboto"/>
    </font>
    <font>
      <sz val="11"/>
      <color theme="1"/>
      <name val="Inter"/>
    </font>
    <font>
      <b/>
      <sz val="11"/>
      <color rgb="FF1D3557"/>
      <name val="Arial"/>
      <family val="2"/>
    </font>
    <font>
      <sz val="11"/>
      <color rgb="FF1D1E20"/>
      <name val="Times New Roman"/>
      <family val="1"/>
    </font>
    <font>
      <sz val="11"/>
      <color rgb="FF1D3557"/>
      <name val="Inter"/>
    </font>
    <font>
      <b/>
      <sz val="10"/>
      <color theme="1"/>
      <name val="Arial Unicode MS"/>
    </font>
    <font>
      <sz val="11"/>
      <color rgb="FF1D3557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35373C"/>
      <name val="Inter"/>
    </font>
  </fonts>
  <fills count="8">
    <fill>
      <patternFill patternType="none"/>
    </fill>
    <fill>
      <patternFill patternType="gray125"/>
    </fill>
    <fill>
      <patternFill patternType="solid">
        <fgColor theme="6"/>
      </patternFill>
    </fill>
    <fill>
      <patternFill patternType="solid">
        <fgColor theme="8"/>
      </patternFill>
    </fill>
    <fill>
      <patternFill patternType="solid">
        <fgColor rgb="FFFFCC99"/>
      </patternFill>
    </fill>
    <fill>
      <patternFill patternType="solid">
        <fgColor rgb="FFFFD823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FBF2D4"/>
        <bgColor indexed="64"/>
      </patternFill>
    </fill>
  </fills>
  <borders count="16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medium">
        <color rgb="FF35373C"/>
      </left>
      <right/>
      <top style="medium">
        <color rgb="FF35373C"/>
      </top>
      <bottom/>
      <diagonal/>
    </border>
    <border>
      <left/>
      <right/>
      <top style="medium">
        <color rgb="FF35373C"/>
      </top>
      <bottom/>
      <diagonal/>
    </border>
    <border>
      <left/>
      <right style="medium">
        <color rgb="FF35373C"/>
      </right>
      <top style="medium">
        <color rgb="FF35373C"/>
      </top>
      <bottom/>
      <diagonal/>
    </border>
    <border>
      <left style="medium">
        <color rgb="FF35373C"/>
      </left>
      <right/>
      <top/>
      <bottom/>
      <diagonal/>
    </border>
    <border>
      <left/>
      <right style="medium">
        <color rgb="FF35373C"/>
      </right>
      <top/>
      <bottom/>
      <diagonal/>
    </border>
    <border>
      <left style="medium">
        <color rgb="FF35373C"/>
      </left>
      <right/>
      <top/>
      <bottom style="medium">
        <color rgb="FF35373C"/>
      </bottom>
      <diagonal/>
    </border>
    <border>
      <left/>
      <right/>
      <top/>
      <bottom style="medium">
        <color rgb="FF35373C"/>
      </bottom>
      <diagonal/>
    </border>
    <border>
      <left/>
      <right style="medium">
        <color rgb="FF35373C"/>
      </right>
      <top/>
      <bottom style="medium">
        <color rgb="FF35373C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theme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theme="1"/>
      </left>
      <right style="thin">
        <color theme="1"/>
      </right>
      <top style="thin">
        <color auto="1"/>
      </top>
      <bottom style="medium">
        <color auto="1"/>
      </bottom>
      <diagonal/>
    </border>
  </borders>
  <cellStyleXfs count="5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4" fillId="4" borderId="1" applyNumberFormat="0" applyAlignment="0" applyProtection="0"/>
    <xf numFmtId="164" fontId="19" fillId="0" borderId="0" applyFont="0" applyFill="0" applyBorder="0" applyAlignment="0" applyProtection="0"/>
  </cellStyleXfs>
  <cellXfs count="53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15" fontId="0" fillId="0" borderId="0" xfId="0" applyNumberFormat="1" applyAlignment="1">
      <alignment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7" fillId="0" borderId="0" xfId="0" applyFont="1" applyAlignment="1">
      <alignment horizontal="left" vertical="center"/>
    </xf>
    <xf numFmtId="0" fontId="8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6" fillId="0" borderId="2" xfId="0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6" fillId="0" borderId="4" xfId="0" applyFont="1" applyBorder="1" applyAlignment="1">
      <alignment vertical="center"/>
    </xf>
    <xf numFmtId="0" fontId="10" fillId="0" borderId="5" xfId="0" applyFont="1" applyBorder="1" applyAlignment="1">
      <alignment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6" fillId="0" borderId="6" xfId="0" applyFont="1" applyBorder="1" applyAlignment="1">
      <alignment vertical="center"/>
    </xf>
    <xf numFmtId="0" fontId="6" fillId="0" borderId="9" xfId="0" applyFont="1" applyBorder="1" applyAlignment="1">
      <alignment vertical="center"/>
    </xf>
    <xf numFmtId="0" fontId="12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0" fontId="14" fillId="6" borderId="10" xfId="1" applyFont="1" applyFill="1" applyBorder="1" applyAlignment="1">
      <alignment horizontal="center" vertical="center" wrapText="1"/>
    </xf>
    <xf numFmtId="0" fontId="14" fillId="6" borderId="10" xfId="2" applyFont="1" applyFill="1" applyBorder="1" applyAlignment="1">
      <alignment horizontal="center" vertical="center" wrapText="1"/>
    </xf>
    <xf numFmtId="0" fontId="14" fillId="5" borderId="11" xfId="1" applyFont="1" applyFill="1" applyBorder="1" applyAlignment="1">
      <alignment horizontal="center" vertical="center" wrapText="1"/>
    </xf>
    <xf numFmtId="0" fontId="14" fillId="5" borderId="12" xfId="1" applyFont="1" applyFill="1" applyBorder="1" applyAlignment="1">
      <alignment horizontal="center" vertical="center" wrapText="1"/>
    </xf>
    <xf numFmtId="0" fontId="14" fillId="5" borderId="11" xfId="2" applyFont="1" applyFill="1" applyBorder="1" applyAlignment="1">
      <alignment horizontal="center" vertical="center" wrapText="1"/>
    </xf>
    <xf numFmtId="0" fontId="14" fillId="5" borderId="12" xfId="2" applyFont="1" applyFill="1" applyBorder="1" applyAlignment="1">
      <alignment horizontal="center" vertical="center" wrapText="1"/>
    </xf>
    <xf numFmtId="0" fontId="11" fillId="0" borderId="0" xfId="0" applyFont="1" applyAlignment="1">
      <alignment vertical="center"/>
    </xf>
    <xf numFmtId="0" fontId="11" fillId="0" borderId="8" xfId="0" applyFont="1" applyBorder="1" applyAlignment="1">
      <alignment vertical="center"/>
    </xf>
    <xf numFmtId="0" fontId="10" fillId="0" borderId="7" xfId="0" applyFont="1" applyBorder="1" applyAlignment="1">
      <alignment vertical="center"/>
    </xf>
    <xf numFmtId="0" fontId="15" fillId="0" borderId="0" xfId="0" applyFont="1"/>
    <xf numFmtId="0" fontId="0" fillId="0" borderId="0" xfId="0" quotePrefix="1" applyAlignment="1">
      <alignment vertical="center"/>
    </xf>
    <xf numFmtId="0" fontId="16" fillId="0" borderId="14" xfId="0" applyFont="1" applyBorder="1" applyAlignment="1">
      <alignment vertical="center"/>
    </xf>
    <xf numFmtId="0" fontId="16" fillId="7" borderId="15" xfId="3" applyFont="1" applyFill="1" applyBorder="1" applyAlignment="1">
      <alignment vertical="center"/>
    </xf>
    <xf numFmtId="0" fontId="3" fillId="0" borderId="0" xfId="0" applyFont="1" applyAlignment="1">
      <alignment vertical="center"/>
    </xf>
    <xf numFmtId="14" fontId="0" fillId="0" borderId="0" xfId="0" applyNumberFormat="1" applyAlignment="1">
      <alignment vertical="center"/>
    </xf>
    <xf numFmtId="0" fontId="16" fillId="7" borderId="13" xfId="3" applyFont="1" applyFill="1" applyBorder="1" applyAlignment="1">
      <alignment horizontal="center" vertical="center"/>
    </xf>
    <xf numFmtId="15" fontId="16" fillId="7" borderId="15" xfId="3" applyNumberFormat="1" applyFont="1" applyFill="1" applyBorder="1" applyAlignment="1">
      <alignment horizontal="center" vertical="center"/>
    </xf>
    <xf numFmtId="0" fontId="0" fillId="0" borderId="0" xfId="0" quotePrefix="1" applyAlignment="1">
      <alignment vertical="center" wrapText="1"/>
    </xf>
    <xf numFmtId="0" fontId="17" fillId="0" borderId="0" xfId="0" applyFont="1"/>
    <xf numFmtId="165" fontId="16" fillId="7" borderId="15" xfId="3" applyNumberFormat="1" applyFont="1" applyFill="1" applyBorder="1" applyAlignment="1">
      <alignment vertical="center"/>
    </xf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 vertical="center"/>
    </xf>
    <xf numFmtId="15" fontId="0" fillId="0" borderId="0" xfId="0" applyNumberFormat="1" applyAlignment="1">
      <alignment horizontal="center" vertical="center"/>
    </xf>
    <xf numFmtId="0" fontId="18" fillId="5" borderId="0" xfId="0" applyFont="1" applyFill="1" applyAlignment="1">
      <alignment horizontal="center" vertical="center"/>
    </xf>
    <xf numFmtId="15" fontId="18" fillId="5" borderId="0" xfId="0" applyNumberFormat="1" applyFont="1" applyFill="1" applyAlignment="1">
      <alignment horizontal="center" vertical="center"/>
    </xf>
    <xf numFmtId="15" fontId="18" fillId="7" borderId="0" xfId="0" applyNumberFormat="1" applyFont="1" applyFill="1" applyAlignment="1">
      <alignment vertical="center"/>
    </xf>
    <xf numFmtId="15" fontId="18" fillId="0" borderId="0" xfId="0" applyNumberFormat="1" applyFont="1" applyAlignment="1">
      <alignment vertical="center"/>
    </xf>
    <xf numFmtId="0" fontId="0" fillId="7" borderId="0" xfId="0" applyFill="1" applyAlignment="1">
      <alignment horizontal="center" vertical="center"/>
    </xf>
    <xf numFmtId="166" fontId="16" fillId="7" borderId="13" xfId="3" applyNumberFormat="1" applyFont="1" applyFill="1" applyBorder="1" applyAlignment="1">
      <alignment vertical="center"/>
    </xf>
    <xf numFmtId="164" fontId="18" fillId="5" borderId="0" xfId="4" applyFont="1" applyFill="1" applyAlignment="1">
      <alignment horizontal="center" vertical="center"/>
    </xf>
    <xf numFmtId="164" fontId="18" fillId="7" borderId="0" xfId="4" applyFont="1" applyFill="1" applyAlignment="1">
      <alignment vertical="center"/>
    </xf>
    <xf numFmtId="164" fontId="18" fillId="0" borderId="0" xfId="4" applyFont="1" applyAlignment="1">
      <alignment vertical="center"/>
    </xf>
    <xf numFmtId="0" fontId="18" fillId="7" borderId="0" xfId="0" applyFont="1" applyFill="1" applyAlignment="1">
      <alignment horizontal="center" vertical="center"/>
    </xf>
    <xf numFmtId="15" fontId="18" fillId="0" borderId="0" xfId="0" applyNumberFormat="1" applyFont="1" applyAlignment="1">
      <alignment horizontal="center" vertical="center"/>
    </xf>
    <xf numFmtId="166" fontId="0" fillId="0" borderId="0" xfId="0" applyNumberFormat="1" applyAlignment="1">
      <alignment vertical="center"/>
    </xf>
    <xf numFmtId="0" fontId="7" fillId="0" borderId="0" xfId="0" applyFont="1" applyAlignment="1">
      <alignment horizontal="left" vertical="center"/>
    </xf>
  </cellXfs>
  <cellStyles count="5">
    <cellStyle name="Accent3" xfId="1" builtinId="37"/>
    <cellStyle name="Accent5" xfId="2" builtinId="45"/>
    <cellStyle name="Currency" xfId="4" builtinId="4"/>
    <cellStyle name="Input" xfId="3" builtinId="20"/>
    <cellStyle name="Normal" xfId="0" builtinId="0"/>
  </cellStyles>
  <dxfs count="23">
    <dxf>
      <font>
        <strike val="0"/>
        <outline val="0"/>
        <shadow val="0"/>
        <u val="none"/>
        <vertAlign val="baseline"/>
        <sz val="11"/>
        <color rgb="FF1D3557"/>
        <name val="Calibri"/>
        <family val="2"/>
        <scheme val="minor"/>
      </font>
      <numFmt numFmtId="164" formatCode="_-&quot;$&quot;* #,##0.00_-;\-&quot;$&quot;* #,##0.00_-;_-&quot;$&quot;* &quot;-&quot;??_-;_-@_-"/>
      <fill>
        <patternFill patternType="solid">
          <fgColor indexed="64"/>
          <bgColor rgb="FFFBF2D4"/>
        </patternFill>
      </fill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rgb="FF1D3557"/>
        <name val="Calibri"/>
        <family val="2"/>
        <scheme val="minor"/>
      </font>
      <numFmt numFmtId="0" formatCode="General"/>
      <fill>
        <patternFill patternType="solid">
          <fgColor indexed="64"/>
          <bgColor rgb="FFFBF2D4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rgb="FF1D3557"/>
        <name val="Calibri"/>
        <family val="2"/>
        <scheme val="minor"/>
      </font>
      <numFmt numFmtId="20" formatCode="dd\-mmm\-yy"/>
      <fill>
        <patternFill patternType="solid">
          <fgColor indexed="64"/>
          <bgColor rgb="FFFBF2D4"/>
        </patternFill>
      </fill>
      <alignment horizontal="general" vertical="center" textRotation="0" wrapText="0" indent="0" justifyLastLine="0" shrinkToFit="0" readingOrder="0"/>
    </dxf>
    <dxf>
      <numFmt numFmtId="0" formatCode="General"/>
      <fill>
        <patternFill patternType="solid">
          <fgColor indexed="64"/>
          <bgColor rgb="FFFBF2D4"/>
        </patternFill>
      </fill>
      <alignment horizontal="center" vertical="center" textRotation="0" wrapText="0" indent="0" justifyLastLine="0" shrinkToFit="0" readingOrder="0"/>
    </dxf>
    <dxf>
      <numFmt numFmtId="167" formatCode="dd/mmm/yy"/>
      <alignment horizontal="general" vertical="center" textRotation="0" wrapText="0" indent="0" justifyLastLine="0" shrinkToFit="0" readingOrder="0"/>
    </dxf>
    <dxf>
      <numFmt numFmtId="167" formatCode="dd/mmm/yy"/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</dxfs>
  <tableStyles count="1" defaultTableStyle="TableStyleMedium9" defaultPivotStyle="PivotStyleLight16">
    <tableStyle name="Invisible" pivot="0" table="0" count="0" xr9:uid="{AEF5CB3E-CA30-419E-8866-0BE4BAAD3D97}"/>
  </tableStyles>
  <colors>
    <mruColors>
      <color rgb="FFFBF2D4"/>
      <color rgb="FF1D3557"/>
      <color rgb="FFFFD823"/>
      <color rgb="FFBFBFBF"/>
      <color rgb="FF35373C"/>
      <color rgb="FFF1FAE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microsoft.com/office/2022/11/relationships/FeaturePropertyBag" Target="featurePropertyBag/featurePropertyBag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trlProps/ctrlProp1.xml><?xml version="1.0" encoding="utf-8"?>
<formControlPr xmlns="http://schemas.microsoft.com/office/spreadsheetml/2009/9/main" objectType="CheckBox" checked="Checked" lockText="1" noThreeD="1"/>
</file>

<file path=xl/ctrlProps/ctrlProp2.xml><?xml version="1.0" encoding="utf-8"?>
<formControlPr xmlns="http://schemas.microsoft.com/office/spreadsheetml/2009/9/main" objectType="CheckBox" checked="Checked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lockText="1" noThreeD="1"/>
</file>

<file path=xl/ctrlProps/ctrlProp7.xml><?xml version="1.0" encoding="utf-8"?>
<formControlPr xmlns="http://schemas.microsoft.com/office/spreadsheetml/2009/9/main" objectType="CheckBox" lockText="1" noThreeD="1"/>
</file>

<file path=xl/ctrlProps/ctrlProp8.xml><?xml version="1.0" encoding="utf-8"?>
<formControlPr xmlns="http://schemas.microsoft.com/office/spreadsheetml/2009/9/main" objectType="CheckBox" lockText="1" noThreeD="1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lockText="1" noThreeD="1"/>
</file>

<file path=xl/ctrlProps/ctrlProp11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672352</xdr:colOff>
      <xdr:row>1</xdr:row>
      <xdr:rowOff>0</xdr:rowOff>
    </xdr:from>
    <xdr:to>
      <xdr:col>6</xdr:col>
      <xdr:colOff>1397</xdr:colOff>
      <xdr:row>2</xdr:row>
      <xdr:rowOff>209176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18377" y="257175"/>
          <a:ext cx="2755430" cy="466351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295275</xdr:colOff>
          <xdr:row>10</xdr:row>
          <xdr:rowOff>66675</xdr:rowOff>
        </xdr:from>
        <xdr:to>
          <xdr:col>1</xdr:col>
          <xdr:colOff>571500</xdr:colOff>
          <xdr:row>10</xdr:row>
          <xdr:rowOff>295275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295275</xdr:colOff>
          <xdr:row>11</xdr:row>
          <xdr:rowOff>47625</xdr:rowOff>
        </xdr:from>
        <xdr:to>
          <xdr:col>1</xdr:col>
          <xdr:colOff>571500</xdr:colOff>
          <xdr:row>11</xdr:row>
          <xdr:rowOff>266700</xdr:rowOff>
        </xdr:to>
        <xdr:sp macro="" textlink="">
          <xdr:nvSpPr>
            <xdr:cNvPr id="1026" name="Check Box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295275</xdr:colOff>
          <xdr:row>12</xdr:row>
          <xdr:rowOff>47625</xdr:rowOff>
        </xdr:from>
        <xdr:to>
          <xdr:col>1</xdr:col>
          <xdr:colOff>571500</xdr:colOff>
          <xdr:row>12</xdr:row>
          <xdr:rowOff>266700</xdr:rowOff>
        </xdr:to>
        <xdr:sp macro="" textlink="">
          <xdr:nvSpPr>
            <xdr:cNvPr id="1027" name="Check Box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295275</xdr:colOff>
          <xdr:row>13</xdr:row>
          <xdr:rowOff>47625</xdr:rowOff>
        </xdr:from>
        <xdr:to>
          <xdr:col>1</xdr:col>
          <xdr:colOff>571500</xdr:colOff>
          <xdr:row>13</xdr:row>
          <xdr:rowOff>266700</xdr:rowOff>
        </xdr:to>
        <xdr:sp macro="" textlink="">
          <xdr:nvSpPr>
            <xdr:cNvPr id="1028" name="Check Box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0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295275</xdr:colOff>
          <xdr:row>14</xdr:row>
          <xdr:rowOff>47625</xdr:rowOff>
        </xdr:from>
        <xdr:to>
          <xdr:col>1</xdr:col>
          <xdr:colOff>571500</xdr:colOff>
          <xdr:row>14</xdr:row>
          <xdr:rowOff>266700</xdr:rowOff>
        </xdr:to>
        <xdr:sp macro="" textlink="">
          <xdr:nvSpPr>
            <xdr:cNvPr id="1029" name="Check Box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0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295275</xdr:colOff>
          <xdr:row>16</xdr:row>
          <xdr:rowOff>47625</xdr:rowOff>
        </xdr:from>
        <xdr:to>
          <xdr:col>1</xdr:col>
          <xdr:colOff>571500</xdr:colOff>
          <xdr:row>16</xdr:row>
          <xdr:rowOff>266700</xdr:rowOff>
        </xdr:to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295275</xdr:colOff>
          <xdr:row>17</xdr:row>
          <xdr:rowOff>47625</xdr:rowOff>
        </xdr:from>
        <xdr:to>
          <xdr:col>1</xdr:col>
          <xdr:colOff>571500</xdr:colOff>
          <xdr:row>17</xdr:row>
          <xdr:rowOff>266700</xdr:rowOff>
        </xdr:to>
        <xdr:sp macro="" textlink="">
          <xdr:nvSpPr>
            <xdr:cNvPr id="1031" name="Check Box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295275</xdr:colOff>
          <xdr:row>18</xdr:row>
          <xdr:rowOff>47625</xdr:rowOff>
        </xdr:from>
        <xdr:to>
          <xdr:col>1</xdr:col>
          <xdr:colOff>571500</xdr:colOff>
          <xdr:row>18</xdr:row>
          <xdr:rowOff>266700</xdr:rowOff>
        </xdr:to>
        <xdr:sp macro="" textlink="">
          <xdr:nvSpPr>
            <xdr:cNvPr id="1032" name="Check Box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295275</xdr:colOff>
          <xdr:row>19</xdr:row>
          <xdr:rowOff>47625</xdr:rowOff>
        </xdr:from>
        <xdr:to>
          <xdr:col>1</xdr:col>
          <xdr:colOff>571500</xdr:colOff>
          <xdr:row>19</xdr:row>
          <xdr:rowOff>266700</xdr:rowOff>
        </xdr:to>
        <xdr:sp macro="" textlink="">
          <xdr:nvSpPr>
            <xdr:cNvPr id="1033" name="Check Box 9" hidden="1">
              <a:extLst>
                <a:ext uri="{63B3BB69-23CF-44E3-9099-C40C66FF867C}">
                  <a14:compatExt spid="_x0000_s1033"/>
                </a:ext>
                <a:ext uri="{FF2B5EF4-FFF2-40B4-BE49-F238E27FC236}">
                  <a16:creationId xmlns:a16="http://schemas.microsoft.com/office/drawing/2014/main" id="{00000000-0008-0000-0000-00000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295275</xdr:colOff>
          <xdr:row>20</xdr:row>
          <xdr:rowOff>47625</xdr:rowOff>
        </xdr:from>
        <xdr:to>
          <xdr:col>1</xdr:col>
          <xdr:colOff>571500</xdr:colOff>
          <xdr:row>20</xdr:row>
          <xdr:rowOff>266700</xdr:rowOff>
        </xdr:to>
        <xdr:sp macro="" textlink="">
          <xdr:nvSpPr>
            <xdr:cNvPr id="1034" name="Check Box 10" hidden="1">
              <a:extLst>
                <a:ext uri="{63B3BB69-23CF-44E3-9099-C40C66FF867C}">
                  <a14:compatExt spid="_x0000_s1034"/>
                </a:ext>
                <a:ext uri="{FF2B5EF4-FFF2-40B4-BE49-F238E27FC236}">
                  <a16:creationId xmlns:a16="http://schemas.microsoft.com/office/drawing/2014/main" id="{00000000-0008-0000-0000-00000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295275</xdr:colOff>
          <xdr:row>21</xdr:row>
          <xdr:rowOff>47625</xdr:rowOff>
        </xdr:from>
        <xdr:to>
          <xdr:col>1</xdr:col>
          <xdr:colOff>571500</xdr:colOff>
          <xdr:row>21</xdr:row>
          <xdr:rowOff>266700</xdr:rowOff>
        </xdr:to>
        <xdr:sp macro="" textlink="">
          <xdr:nvSpPr>
            <xdr:cNvPr id="1035" name="Check Box 11" hidden="1">
              <a:extLst>
                <a:ext uri="{63B3BB69-23CF-44E3-9099-C40C66FF867C}">
                  <a14:compatExt spid="_x0000_s1035"/>
                </a:ext>
                <a:ext uri="{FF2B5EF4-FFF2-40B4-BE49-F238E27FC236}">
                  <a16:creationId xmlns:a16="http://schemas.microsoft.com/office/drawing/2014/main" id="{00000000-0008-0000-0000-00000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A50CBC0-208E-466A-81D0-097C806B2356}" name="Students" displayName="Students" ref="A1:B101" totalsRowShown="0" headerRowDxfId="22" dataDxfId="21">
  <autoFilter ref="A1:B101" xr:uid="{CA50CBC0-208E-466A-81D0-097C806B2356}"/>
  <tableColumns count="2">
    <tableColumn id="1" xr3:uid="{ED3E6DDC-831E-4704-ACDD-0FE247C2E773}" name="Student ID" dataDxfId="20"/>
    <tableColumn id="2" xr3:uid="{595AD197-9AF9-4D0A-B213-AD690F28DB5E}" name="Student Name" dataDxfId="19"/>
  </tableColumns>
  <tableStyleInfo name="TableStyleLight1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3435222-B98D-449E-BFC9-0AECAD6F8C43}" name="Books" displayName="Books" ref="D1:H121" totalsRowShown="0" headerRowDxfId="18" dataDxfId="17">
  <autoFilter ref="D1:H121" xr:uid="{A3435222-B98D-449E-BFC9-0AECAD6F8C43}"/>
  <tableColumns count="5">
    <tableColumn id="1" xr3:uid="{B278AC0B-5D23-41A0-A07D-414B2C6AA52D}" name="Book ID" dataDxfId="16"/>
    <tableColumn id="2" xr3:uid="{8A86F0DD-512A-4AA4-9962-9B03E667E37B}" name="Title" dataDxfId="15"/>
    <tableColumn id="3" xr3:uid="{FEAD9F97-8C48-4DAA-A3BF-CBB012516002}" name="Author" dataDxfId="14"/>
    <tableColumn id="4" xr3:uid="{7FC4B54E-4015-4D6B-A6FE-3EAF7470BF26}" name="Number of Copies" dataDxfId="13"/>
    <tableColumn id="5" xr3:uid="{F754FC28-A9DB-44A2-964F-6E8054BEC3DC}" name="Status" dataDxfId="3">
      <calculatedColumnFormula>IF(COUNTIFS(Transactions[Book ID],Books[[#This Row],[Book ID]],Transactions[Return Date],"")&lt;Books[[#This Row],[Number of Copies]],"Available","Not Available")</calculatedColumnFormula>
    </tableColumn>
  </tableColumns>
  <tableStyleInfo name="TableStyleLight20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DA0D5E2-228B-4EEB-8BA1-3505FCC88005}" name="Transactions" displayName="Transactions" ref="A1:J301" totalsRowShown="0" headerRowDxfId="12" dataDxfId="11">
  <autoFilter ref="A1:J301" xr:uid="{00000000-0001-0000-0200-000000000000}"/>
  <sortState xmlns:xlrd2="http://schemas.microsoft.com/office/spreadsheetml/2017/richdata2" ref="A2:J301">
    <sortCondition ref="D11:D301"/>
  </sortState>
  <tableColumns count="10">
    <tableColumn id="1" xr3:uid="{53271640-7CA5-48A4-B696-C2F60543B15B}" name="Transaction ID" dataDxfId="10"/>
    <tableColumn id="2" xr3:uid="{5153BA27-321C-4EC3-AB62-07CE6AA8F8C5}" name="Student ID" dataDxfId="9"/>
    <tableColumn id="3" xr3:uid="{364ED399-62E3-40DD-B0D5-482D9A9DCD23}" name="Student Name" dataDxfId="8">
      <calculatedColumnFormula>VLOOKUP(B2,Data!$A$2:$B$101,2,0)</calculatedColumnFormula>
    </tableColumn>
    <tableColumn id="4" xr3:uid="{954DB27A-F87F-4F05-835C-8C5177F42A43}" name="Book ID" dataDxfId="7"/>
    <tableColumn id="5" xr3:uid="{A6907B8D-FF4B-4F27-92E3-487F2DC1353D}" name="Title" dataDxfId="6">
      <calculatedColumnFormula>VLOOKUP(D2,Data!$D$2:$E$121,2,0)</calculatedColumnFormula>
    </tableColumn>
    <tableColumn id="6" xr3:uid="{A8205D26-F146-42D6-A4EC-7E0DCBA00CB4}" name="Borrow Date" dataDxfId="5"/>
    <tableColumn id="7" xr3:uid="{799522EA-BB31-466D-8558-689B6834B430}" name="Due Date" dataDxfId="2">
      <calculatedColumnFormula>Transactions[[#This Row],[Borrow Date]]+21</calculatedColumnFormula>
    </tableColumn>
    <tableColumn id="8" xr3:uid="{33FB40A7-8A39-4E94-A4D0-0C4E295939D6}" name="Return Date" dataDxfId="4"/>
    <tableColumn id="9" xr3:uid="{60D6BEFA-414B-4056-812A-8A68B70B5374}" name="Overdue Days" dataDxfId="1">
      <calculatedColumnFormula array="1">_xlfn.IFS(Transactions[[#This Row],[Return Date]]&lt;=Transactions[[#This Row],[Due Date]],0,AND(Transactions[[#This Row],[Return Date]]="",TODAY()&lt;=Transactions[[#This Row],[Due Date]]),0,Transactions[[#This Row],[Return Date]]&gt;Transactions[[#This Row],[Due Date]],Transactions[[#This Row],[Return Date]]-Transactions[[#This Row],[Due Date]],AND(Transactions[[#This Row],[Return Date]]="",TODAY()&gt;Transactions[[#This Row],[Due Date]]),TODAY()-Transactions[[#This Row],[Due Date]])</calculatedColumnFormula>
    </tableColumn>
    <tableColumn id="10" xr3:uid="{F7ADC6E0-92F0-445F-A0E0-9B8D931594F2}" name="Overdue Fines" dataDxfId="0" dataCellStyle="Currency">
      <calculatedColumnFormula>Transactions[[#This Row],[Overdue Days]]</calculatedColumnFormula>
    </tableColumn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Aspect">
      <a:dk1>
        <a:sysClr val="windowText" lastClr="000000"/>
      </a:dk1>
      <a:lt1>
        <a:sysClr val="window" lastClr="FFFFFF"/>
      </a:lt1>
      <a:dk2>
        <a:srgbClr val="323232"/>
      </a:dk2>
      <a:lt2>
        <a:srgbClr val="E3DED1"/>
      </a:lt2>
      <a:accent1>
        <a:srgbClr val="F07F09"/>
      </a:accent1>
      <a:accent2>
        <a:srgbClr val="9F2936"/>
      </a:accent2>
      <a:accent3>
        <a:srgbClr val="1B587C"/>
      </a:accent3>
      <a:accent4>
        <a:srgbClr val="4E8542"/>
      </a:accent4>
      <a:accent5>
        <a:srgbClr val="604878"/>
      </a:accent5>
      <a:accent6>
        <a:srgbClr val="C19859"/>
      </a:accent6>
      <a:hlink>
        <a:srgbClr val="6B9F25"/>
      </a:hlink>
      <a:folHlink>
        <a:srgbClr val="B26B02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13" Type="http://schemas.openxmlformats.org/officeDocument/2006/relationships/ctrlProp" Target="../ctrlProps/ctrlProp10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12" Type="http://schemas.openxmlformats.org/officeDocument/2006/relationships/ctrlProp" Target="../ctrlProps/ctrlProp9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11" Type="http://schemas.openxmlformats.org/officeDocument/2006/relationships/ctrlProp" Target="../ctrlProps/ctrlProp8.xml"/><Relationship Id="rId5" Type="http://schemas.openxmlformats.org/officeDocument/2006/relationships/ctrlProp" Target="../ctrlProps/ctrlProp2.xml"/><Relationship Id="rId10" Type="http://schemas.openxmlformats.org/officeDocument/2006/relationships/ctrlProp" Target="../ctrlProps/ctrlProp7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14" Type="http://schemas.openxmlformats.org/officeDocument/2006/relationships/ctrlProp" Target="../ctrlProps/ctrlProp1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85D99F-102B-4B2C-AC6B-269F834367CF}">
  <sheetPr>
    <tabColor theme="9" tint="0.79998168889431442"/>
    <pageSetUpPr fitToPage="1"/>
  </sheetPr>
  <dimension ref="A1:X32"/>
  <sheetViews>
    <sheetView showGridLines="0" zoomScale="85" zoomScaleNormal="85" workbookViewId="0">
      <selection activeCell="Q35" sqref="Q35"/>
    </sheetView>
  </sheetViews>
  <sheetFormatPr defaultColWidth="8.7109375" defaultRowHeight="19.899999999999999" customHeight="1"/>
  <cols>
    <col min="1" max="2" width="8.7109375" style="5"/>
    <col min="3" max="3" width="4.28515625" style="5" customWidth="1"/>
    <col min="4" max="12" width="8.7109375" style="5"/>
    <col min="13" max="13" width="105.28515625" style="5" customWidth="1"/>
    <col min="14" max="16384" width="8.7109375" style="5"/>
  </cols>
  <sheetData>
    <row r="1" spans="1:24" ht="19.899999999999999" customHeight="1">
      <c r="A1" s="4"/>
    </row>
    <row r="2" spans="1:24" ht="19.899999999999999" customHeight="1">
      <c r="A2" s="4"/>
    </row>
    <row r="3" spans="1:24" ht="19.899999999999999" customHeight="1">
      <c r="A3" s="4"/>
    </row>
    <row r="4" spans="1:24" ht="4.9000000000000004" customHeight="1">
      <c r="A4" s="4"/>
    </row>
    <row r="5" spans="1:24" ht="19.899999999999999" customHeight="1">
      <c r="B5" s="52" t="s">
        <v>874</v>
      </c>
      <c r="C5" s="52"/>
      <c r="D5" s="52"/>
      <c r="E5" s="52"/>
      <c r="F5" s="52"/>
      <c r="G5" s="52"/>
      <c r="H5" s="52"/>
      <c r="I5" s="52"/>
      <c r="J5" s="52"/>
      <c r="K5" s="52"/>
      <c r="L5" s="52"/>
      <c r="M5" s="52"/>
      <c r="N5" s="52"/>
      <c r="O5" s="52"/>
      <c r="P5" s="52"/>
      <c r="Q5" s="52"/>
      <c r="R5" s="52"/>
      <c r="S5" s="52"/>
      <c r="T5" s="52"/>
      <c r="U5" s="52"/>
      <c r="V5" s="52"/>
      <c r="W5" s="52"/>
      <c r="X5" s="52"/>
    </row>
    <row r="6" spans="1:24" ht="19.899999999999999" customHeight="1">
      <c r="B6" s="52"/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X6" s="52"/>
    </row>
    <row r="7" spans="1:24" ht="19.899999999999999" customHeight="1">
      <c r="B7" s="52"/>
      <c r="C7" s="52"/>
      <c r="D7" s="52"/>
      <c r="E7" s="52"/>
      <c r="F7" s="52"/>
      <c r="G7" s="52"/>
      <c r="H7" s="52"/>
      <c r="I7" s="52"/>
      <c r="J7" s="52"/>
      <c r="K7" s="52"/>
      <c r="L7" s="52"/>
      <c r="M7" s="52"/>
      <c r="N7" s="52"/>
      <c r="O7" s="52"/>
      <c r="P7" s="52"/>
      <c r="Q7" s="52"/>
      <c r="R7" s="52"/>
      <c r="S7" s="52"/>
      <c r="T7" s="52"/>
      <c r="U7" s="52"/>
      <c r="V7" s="52"/>
      <c r="W7" s="52"/>
      <c r="X7" s="52"/>
    </row>
    <row r="8" spans="1:24" ht="25.15" customHeight="1">
      <c r="B8" s="7" t="s">
        <v>887</v>
      </c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</row>
    <row r="9" spans="1:24" ht="19.899999999999999" customHeight="1" thickBot="1">
      <c r="B9" s="8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</row>
    <row r="10" spans="1:24" ht="19.899999999999999" customHeight="1">
      <c r="B10" s="9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1"/>
    </row>
    <row r="11" spans="1:24" ht="25.15" customHeight="1">
      <c r="B11" s="12"/>
      <c r="C11" s="23" t="s">
        <v>886</v>
      </c>
      <c r="D11" s="23"/>
      <c r="E11" s="23"/>
      <c r="F11" s="23"/>
      <c r="G11" s="23"/>
      <c r="H11" s="23"/>
      <c r="I11" s="23"/>
      <c r="J11" s="23"/>
      <c r="K11" s="23"/>
      <c r="L11" s="23"/>
      <c r="M11" s="13"/>
    </row>
    <row r="12" spans="1:24" ht="25.15" customHeight="1">
      <c r="B12" s="12"/>
      <c r="C12" s="23" t="s">
        <v>877</v>
      </c>
      <c r="D12" s="23"/>
      <c r="E12" s="23"/>
      <c r="F12" s="23"/>
      <c r="G12" s="23"/>
      <c r="H12" s="23"/>
      <c r="I12" s="23"/>
      <c r="J12" s="23"/>
      <c r="K12" s="23"/>
      <c r="L12" s="23"/>
      <c r="M12" s="13"/>
    </row>
    <row r="13" spans="1:24" ht="25.15" customHeight="1">
      <c r="B13" s="12"/>
      <c r="C13" s="23" t="s">
        <v>878</v>
      </c>
      <c r="D13" s="23"/>
      <c r="E13" s="23"/>
      <c r="F13" s="23"/>
      <c r="G13" s="23"/>
      <c r="H13" s="23"/>
      <c r="I13" s="23"/>
      <c r="J13" s="23"/>
      <c r="K13" s="23"/>
      <c r="L13" s="23"/>
      <c r="M13" s="13"/>
    </row>
    <row r="14" spans="1:24" ht="25.15" customHeight="1">
      <c r="B14" s="12"/>
      <c r="C14" s="23" t="s">
        <v>879</v>
      </c>
      <c r="D14" s="23"/>
      <c r="E14" s="23"/>
      <c r="F14" s="23"/>
      <c r="G14" s="23"/>
      <c r="H14" s="23"/>
      <c r="I14" s="23"/>
      <c r="J14" s="23"/>
      <c r="K14" s="23"/>
      <c r="L14" s="23"/>
      <c r="M14" s="13"/>
    </row>
    <row r="15" spans="1:24" ht="25.15" customHeight="1">
      <c r="B15" s="12"/>
      <c r="C15" s="23" t="s">
        <v>880</v>
      </c>
      <c r="D15" s="23"/>
      <c r="E15" s="23"/>
      <c r="F15" s="23"/>
      <c r="G15" s="23"/>
      <c r="H15" s="23"/>
      <c r="I15" s="23"/>
      <c r="J15" s="23"/>
      <c r="K15" s="23"/>
      <c r="L15" s="23"/>
      <c r="M15" s="13"/>
    </row>
    <row r="16" spans="1:24" ht="25.15" customHeight="1">
      <c r="B16" s="12"/>
      <c r="C16" s="23" t="s">
        <v>888</v>
      </c>
      <c r="D16" s="23"/>
      <c r="E16" s="23"/>
      <c r="F16" s="23"/>
      <c r="G16" s="23"/>
      <c r="H16" s="23"/>
      <c r="I16" s="23"/>
      <c r="J16" s="23"/>
      <c r="K16" s="23"/>
      <c r="L16" s="23"/>
      <c r="M16" s="13"/>
    </row>
    <row r="17" spans="2:13" ht="25.15" customHeight="1">
      <c r="B17" s="12"/>
      <c r="C17" s="23" t="s">
        <v>881</v>
      </c>
      <c r="D17" s="23"/>
      <c r="E17" s="23"/>
      <c r="F17" s="23"/>
      <c r="G17" s="23"/>
      <c r="H17" s="23"/>
      <c r="I17" s="23"/>
      <c r="J17" s="23"/>
      <c r="K17" s="23"/>
      <c r="L17" s="23"/>
      <c r="M17" s="13"/>
    </row>
    <row r="18" spans="2:13" ht="25.15" customHeight="1">
      <c r="B18" s="12"/>
      <c r="C18" s="23" t="s">
        <v>882</v>
      </c>
      <c r="D18" s="23"/>
      <c r="E18" s="23"/>
      <c r="F18" s="23"/>
      <c r="G18" s="23"/>
      <c r="H18" s="23"/>
      <c r="I18" s="23"/>
      <c r="J18" s="23"/>
      <c r="K18" s="23"/>
      <c r="L18" s="23"/>
      <c r="M18" s="13"/>
    </row>
    <row r="19" spans="2:13" ht="25.15" customHeight="1">
      <c r="B19" s="12"/>
      <c r="C19" s="23" t="s">
        <v>883</v>
      </c>
      <c r="D19" s="23"/>
      <c r="E19" s="23"/>
      <c r="F19" s="23"/>
      <c r="G19" s="23"/>
      <c r="H19" s="23"/>
      <c r="I19" s="23"/>
      <c r="J19" s="23"/>
      <c r="K19" s="23"/>
      <c r="L19" s="23"/>
      <c r="M19" s="13"/>
    </row>
    <row r="20" spans="2:13" ht="25.15" customHeight="1">
      <c r="B20" s="12"/>
      <c r="C20" s="23" t="s">
        <v>884</v>
      </c>
      <c r="D20" s="23"/>
      <c r="E20" s="23"/>
      <c r="F20" s="23"/>
      <c r="G20" s="23"/>
      <c r="H20" s="23"/>
      <c r="I20" s="23"/>
      <c r="J20" s="23"/>
      <c r="K20" s="23"/>
      <c r="L20" s="23"/>
      <c r="M20" s="13"/>
    </row>
    <row r="21" spans="2:13" ht="25.15" customHeight="1">
      <c r="B21" s="12"/>
      <c r="C21" s="23" t="s">
        <v>889</v>
      </c>
      <c r="D21" s="23"/>
      <c r="E21" s="23"/>
      <c r="F21" s="23"/>
      <c r="G21" s="23"/>
      <c r="H21" s="23"/>
      <c r="I21" s="23"/>
      <c r="J21" s="23"/>
      <c r="K21" s="23"/>
      <c r="L21" s="23"/>
      <c r="M21" s="13"/>
    </row>
    <row r="22" spans="2:13" ht="25.15" customHeight="1">
      <c r="B22" s="12"/>
      <c r="C22" s="23" t="s">
        <v>885</v>
      </c>
      <c r="D22" s="23"/>
      <c r="E22" s="23"/>
      <c r="F22" s="23"/>
      <c r="G22" s="23"/>
      <c r="H22" s="23"/>
      <c r="I22" s="23"/>
      <c r="J22" s="23"/>
      <c r="K22" s="23"/>
      <c r="L22" s="23"/>
      <c r="M22" s="13"/>
    </row>
    <row r="23" spans="2:13" ht="25.15" customHeight="1" thickBot="1">
      <c r="B23" s="25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14"/>
    </row>
    <row r="24" spans="2:13" ht="25.15" customHeight="1"/>
    <row r="25" spans="2:13" ht="25.15" customHeight="1"/>
    <row r="26" spans="2:13" ht="25.15" customHeight="1">
      <c r="K26" s="15"/>
    </row>
    <row r="27" spans="2:13" ht="25.15" customHeight="1">
      <c r="G27" s="26"/>
    </row>
    <row r="28" spans="2:13" ht="25.15" customHeight="1"/>
    <row r="29" spans="2:13" ht="25.15" customHeight="1"/>
    <row r="30" spans="2:13" ht="25.15" customHeight="1"/>
    <row r="31" spans="2:13" ht="25.15" customHeight="1"/>
    <row r="32" spans="2:13" ht="25.15" customHeight="1"/>
  </sheetData>
  <mergeCells count="1">
    <mergeCell ref="B5:X7"/>
  </mergeCells>
  <printOptions horizontalCentered="1"/>
  <pageMargins left="0.25" right="0.25" top="0.75" bottom="0.25" header="0.3" footer="0.3"/>
  <pageSetup paperSize="9" scale="62" orientation="landscape" r:id="rId1"/>
  <headerFooter>
    <oddHeader>&amp;C&amp;"Roboto,Bold"&amp;12Excel Challenge #47 Rules</oddHeader>
  </headerFooter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Check Box 1">
              <controlPr defaultSize="0" autoFill="0" autoLine="0" autoPict="0">
                <anchor moveWithCells="1">
                  <from>
                    <xdr:col>1</xdr:col>
                    <xdr:colOff>295275</xdr:colOff>
                    <xdr:row>10</xdr:row>
                    <xdr:rowOff>66675</xdr:rowOff>
                  </from>
                  <to>
                    <xdr:col>1</xdr:col>
                    <xdr:colOff>571500</xdr:colOff>
                    <xdr:row>10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" r:id="rId5" name="Check Box 2">
              <controlPr defaultSize="0" autoFill="0" autoLine="0" autoPict="0">
                <anchor moveWithCells="1">
                  <from>
                    <xdr:col>1</xdr:col>
                    <xdr:colOff>295275</xdr:colOff>
                    <xdr:row>11</xdr:row>
                    <xdr:rowOff>47625</xdr:rowOff>
                  </from>
                  <to>
                    <xdr:col>1</xdr:col>
                    <xdr:colOff>571500</xdr:colOff>
                    <xdr:row>11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" r:id="rId6" name="Check Box 3">
              <controlPr defaultSize="0" autoFill="0" autoLine="0" autoPict="0">
                <anchor moveWithCells="1">
                  <from>
                    <xdr:col>1</xdr:col>
                    <xdr:colOff>295275</xdr:colOff>
                    <xdr:row>12</xdr:row>
                    <xdr:rowOff>47625</xdr:rowOff>
                  </from>
                  <to>
                    <xdr:col>1</xdr:col>
                    <xdr:colOff>571500</xdr:colOff>
                    <xdr:row>12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8" r:id="rId7" name="Check Box 4">
              <controlPr defaultSize="0" autoFill="0" autoLine="0" autoPict="0">
                <anchor moveWithCells="1">
                  <from>
                    <xdr:col>1</xdr:col>
                    <xdr:colOff>295275</xdr:colOff>
                    <xdr:row>13</xdr:row>
                    <xdr:rowOff>47625</xdr:rowOff>
                  </from>
                  <to>
                    <xdr:col>1</xdr:col>
                    <xdr:colOff>571500</xdr:colOff>
                    <xdr:row>13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9" r:id="rId8" name="Check Box 5">
              <controlPr defaultSize="0" autoFill="0" autoLine="0" autoPict="0">
                <anchor moveWithCells="1">
                  <from>
                    <xdr:col>1</xdr:col>
                    <xdr:colOff>295275</xdr:colOff>
                    <xdr:row>14</xdr:row>
                    <xdr:rowOff>47625</xdr:rowOff>
                  </from>
                  <to>
                    <xdr:col>1</xdr:col>
                    <xdr:colOff>571500</xdr:colOff>
                    <xdr:row>14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9" name="Check Box 6">
              <controlPr defaultSize="0" autoFill="0" autoLine="0" autoPict="0">
                <anchor moveWithCells="1">
                  <from>
                    <xdr:col>1</xdr:col>
                    <xdr:colOff>295275</xdr:colOff>
                    <xdr:row>16</xdr:row>
                    <xdr:rowOff>47625</xdr:rowOff>
                  </from>
                  <to>
                    <xdr:col>1</xdr:col>
                    <xdr:colOff>571500</xdr:colOff>
                    <xdr:row>16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10" name="Check Box 7">
              <controlPr defaultSize="0" autoFill="0" autoLine="0" autoPict="0">
                <anchor moveWithCells="1">
                  <from>
                    <xdr:col>1</xdr:col>
                    <xdr:colOff>295275</xdr:colOff>
                    <xdr:row>17</xdr:row>
                    <xdr:rowOff>47625</xdr:rowOff>
                  </from>
                  <to>
                    <xdr:col>1</xdr:col>
                    <xdr:colOff>571500</xdr:colOff>
                    <xdr:row>17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11" name="Check Box 8">
              <controlPr defaultSize="0" autoFill="0" autoLine="0" autoPict="0">
                <anchor moveWithCells="1">
                  <from>
                    <xdr:col>1</xdr:col>
                    <xdr:colOff>295275</xdr:colOff>
                    <xdr:row>18</xdr:row>
                    <xdr:rowOff>47625</xdr:rowOff>
                  </from>
                  <to>
                    <xdr:col>1</xdr:col>
                    <xdr:colOff>571500</xdr:colOff>
                    <xdr:row>18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3" r:id="rId12" name="Check Box 9">
              <controlPr defaultSize="0" autoFill="0" autoLine="0" autoPict="0">
                <anchor moveWithCells="1">
                  <from>
                    <xdr:col>1</xdr:col>
                    <xdr:colOff>295275</xdr:colOff>
                    <xdr:row>19</xdr:row>
                    <xdr:rowOff>47625</xdr:rowOff>
                  </from>
                  <to>
                    <xdr:col>1</xdr:col>
                    <xdr:colOff>571500</xdr:colOff>
                    <xdr:row>19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4" r:id="rId13" name="Check Box 10">
              <controlPr defaultSize="0" autoFill="0" autoLine="0" autoPict="0">
                <anchor moveWithCells="1">
                  <from>
                    <xdr:col>1</xdr:col>
                    <xdr:colOff>295275</xdr:colOff>
                    <xdr:row>20</xdr:row>
                    <xdr:rowOff>47625</xdr:rowOff>
                  </from>
                  <to>
                    <xdr:col>1</xdr:col>
                    <xdr:colOff>571500</xdr:colOff>
                    <xdr:row>20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5" r:id="rId14" name="Check Box 11">
              <controlPr defaultSize="0" autoFill="0" autoLine="0" autoPict="0">
                <anchor moveWithCells="1">
                  <from>
                    <xdr:col>1</xdr:col>
                    <xdr:colOff>295275</xdr:colOff>
                    <xdr:row>21</xdr:row>
                    <xdr:rowOff>47625</xdr:rowOff>
                  </from>
                  <to>
                    <xdr:col>1</xdr:col>
                    <xdr:colOff>571500</xdr:colOff>
                    <xdr:row>21</xdr:row>
                    <xdr:rowOff>266700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9" tint="0.59999389629810485"/>
  </sheetPr>
  <dimension ref="A1:K121"/>
  <sheetViews>
    <sheetView showGridLines="0" workbookViewId="0">
      <selection activeCell="B116" sqref="B116"/>
    </sheetView>
  </sheetViews>
  <sheetFormatPr defaultColWidth="10" defaultRowHeight="15"/>
  <cols>
    <col min="1" max="2" width="30.7109375" style="2" customWidth="1"/>
    <col min="3" max="3" width="5.7109375" style="2" customWidth="1"/>
    <col min="4" max="4" width="11.85546875" style="2" bestFit="1" customWidth="1"/>
    <col min="5" max="5" width="47.7109375" style="2" bestFit="1" customWidth="1"/>
    <col min="6" max="6" width="23.85546875" style="2" bestFit="1" customWidth="1"/>
    <col min="7" max="7" width="19.7109375" style="37" bestFit="1" customWidth="1"/>
    <col min="8" max="8" width="16.42578125" style="37" bestFit="1" customWidth="1"/>
    <col min="9" max="16384" width="10" style="2"/>
  </cols>
  <sheetData>
    <row r="1" spans="1:11">
      <c r="A1" s="2" t="s">
        <v>0</v>
      </c>
      <c r="B1" s="37" t="s">
        <v>1</v>
      </c>
      <c r="D1" s="2" t="s">
        <v>203</v>
      </c>
      <c r="E1" s="37" t="s">
        <v>204</v>
      </c>
      <c r="F1" s="37" t="s">
        <v>205</v>
      </c>
      <c r="G1" s="37" t="s">
        <v>876</v>
      </c>
      <c r="H1" s="38" t="s">
        <v>206</v>
      </c>
    </row>
    <row r="2" spans="1:11">
      <c r="A2" s="2" t="s">
        <v>2</v>
      </c>
      <c r="B2" s="2" t="s">
        <v>102</v>
      </c>
      <c r="D2" s="2" t="s">
        <v>207</v>
      </c>
      <c r="E2" s="2" t="s">
        <v>765</v>
      </c>
      <c r="F2" s="2" t="s">
        <v>327</v>
      </c>
      <c r="G2" s="37">
        <v>5</v>
      </c>
      <c r="H2" s="44" t="str">
        <f>IF(COUNTIFS(Transactions[Book ID],Books[[#This Row],[Book ID]],Transactions[Return Date],"")&lt;Books[[#This Row],[Number of Copies]],"Available","Not Available")</f>
        <v>Available</v>
      </c>
    </row>
    <row r="3" spans="1:11">
      <c r="A3" s="2" t="s">
        <v>3</v>
      </c>
      <c r="B3" s="2" t="s">
        <v>103</v>
      </c>
      <c r="D3" s="2" t="s">
        <v>208</v>
      </c>
      <c r="E3" s="2" t="s">
        <v>766</v>
      </c>
      <c r="F3" s="2" t="s">
        <v>328</v>
      </c>
      <c r="G3" s="37">
        <v>4</v>
      </c>
      <c r="H3" s="44" t="str">
        <f>IF(COUNTIFS(Transactions[Book ID],Books[[#This Row],[Book ID]],Transactions[Return Date],"")&lt;Books[[#This Row],[Number of Copies]],"Available","Not Available")</f>
        <v>Available</v>
      </c>
      <c r="K3" s="27"/>
    </row>
    <row r="4" spans="1:11">
      <c r="A4" s="2" t="s">
        <v>4</v>
      </c>
      <c r="B4" s="2" t="s">
        <v>104</v>
      </c>
      <c r="D4" s="2" t="s">
        <v>209</v>
      </c>
      <c r="E4" s="2" t="s">
        <v>767</v>
      </c>
      <c r="F4" s="2" t="s">
        <v>329</v>
      </c>
      <c r="G4" s="37">
        <v>5</v>
      </c>
      <c r="H4" s="44" t="str">
        <f>IF(COUNTIFS(Transactions[Book ID],Books[[#This Row],[Book ID]],Transactions[Return Date],"")&lt;Books[[#This Row],[Number of Copies]],"Available","Not Available")</f>
        <v>Available</v>
      </c>
    </row>
    <row r="5" spans="1:11">
      <c r="A5" s="2" t="s">
        <v>5</v>
      </c>
      <c r="B5" s="2" t="s">
        <v>105</v>
      </c>
      <c r="D5" s="2" t="s">
        <v>210</v>
      </c>
      <c r="E5" s="2" t="s">
        <v>768</v>
      </c>
      <c r="F5" s="2" t="s">
        <v>330</v>
      </c>
      <c r="G5" s="37">
        <v>5</v>
      </c>
      <c r="H5" s="44" t="str">
        <f>IF(COUNTIFS(Transactions[Book ID],Books[[#This Row],[Book ID]],Transactions[Return Date],"")&lt;Books[[#This Row],[Number of Copies]],"Available","Not Available")</f>
        <v>Available</v>
      </c>
    </row>
    <row r="6" spans="1:11">
      <c r="A6" s="2" t="s">
        <v>6</v>
      </c>
      <c r="B6" s="2" t="s">
        <v>106</v>
      </c>
      <c r="D6" s="2" t="s">
        <v>211</v>
      </c>
      <c r="E6" s="2" t="s">
        <v>769</v>
      </c>
      <c r="F6" s="2" t="s">
        <v>331</v>
      </c>
      <c r="G6" s="37">
        <v>5</v>
      </c>
      <c r="H6" s="44" t="str">
        <f>IF(COUNTIFS(Transactions[Book ID],Books[[#This Row],[Book ID]],Transactions[Return Date],"")&lt;Books[[#This Row],[Number of Copies]],"Available","Not Available")</f>
        <v>Available</v>
      </c>
    </row>
    <row r="7" spans="1:11">
      <c r="A7" s="2" t="s">
        <v>7</v>
      </c>
      <c r="B7" s="2" t="s">
        <v>107</v>
      </c>
      <c r="D7" s="2" t="s">
        <v>212</v>
      </c>
      <c r="E7" s="2" t="s">
        <v>770</v>
      </c>
      <c r="F7" s="2" t="s">
        <v>332</v>
      </c>
      <c r="G7" s="37">
        <v>5</v>
      </c>
      <c r="H7" s="44" t="str">
        <f>IF(COUNTIFS(Transactions[Book ID],Books[[#This Row],[Book ID]],Transactions[Return Date],"")&lt;Books[[#This Row],[Number of Copies]],"Available","Not Available")</f>
        <v>Available</v>
      </c>
    </row>
    <row r="8" spans="1:11">
      <c r="A8" s="2" t="s">
        <v>8</v>
      </c>
      <c r="B8" s="2" t="s">
        <v>108</v>
      </c>
      <c r="D8" s="2" t="s">
        <v>213</v>
      </c>
      <c r="E8" s="2" t="s">
        <v>771</v>
      </c>
      <c r="F8" s="2" t="s">
        <v>333</v>
      </c>
      <c r="G8" s="37">
        <v>4</v>
      </c>
      <c r="H8" s="44" t="str">
        <f>IF(COUNTIFS(Transactions[Book ID],Books[[#This Row],[Book ID]],Transactions[Return Date],"")&lt;Books[[#This Row],[Number of Copies]],"Available","Not Available")</f>
        <v>Available</v>
      </c>
    </row>
    <row r="9" spans="1:11">
      <c r="A9" s="2" t="s">
        <v>9</v>
      </c>
      <c r="B9" s="2" t="s">
        <v>764</v>
      </c>
      <c r="D9" s="2" t="s">
        <v>214</v>
      </c>
      <c r="E9" s="2" t="s">
        <v>772</v>
      </c>
      <c r="F9" s="2" t="s">
        <v>334</v>
      </c>
      <c r="G9" s="37">
        <v>3</v>
      </c>
      <c r="H9" s="44" t="str">
        <f>IF(COUNTIFS(Transactions[Book ID],Books[[#This Row],[Book ID]],Transactions[Return Date],"")&lt;Books[[#This Row],[Number of Copies]],"Available","Not Available")</f>
        <v>Available</v>
      </c>
    </row>
    <row r="10" spans="1:11">
      <c r="A10" s="2" t="s">
        <v>10</v>
      </c>
      <c r="B10" s="2" t="s">
        <v>109</v>
      </c>
      <c r="D10" s="2" t="s">
        <v>215</v>
      </c>
      <c r="E10" s="2" t="s">
        <v>773</v>
      </c>
      <c r="F10" s="2" t="s">
        <v>335</v>
      </c>
      <c r="G10" s="37">
        <v>5</v>
      </c>
      <c r="H10" s="44" t="str">
        <f>IF(COUNTIFS(Transactions[Book ID],Books[[#This Row],[Book ID]],Transactions[Return Date],"")&lt;Books[[#This Row],[Number of Copies]],"Available","Not Available")</f>
        <v>Available</v>
      </c>
    </row>
    <row r="11" spans="1:11">
      <c r="A11" s="2" t="s">
        <v>11</v>
      </c>
      <c r="B11" s="2" t="s">
        <v>110</v>
      </c>
      <c r="D11" s="2" t="s">
        <v>216</v>
      </c>
      <c r="E11" s="2" t="s">
        <v>774</v>
      </c>
      <c r="F11" s="2" t="s">
        <v>121</v>
      </c>
      <c r="G11" s="37">
        <v>4</v>
      </c>
      <c r="H11" s="44" t="str">
        <f>IF(COUNTIFS(Transactions[Book ID],Books[[#This Row],[Book ID]],Transactions[Return Date],"")&lt;Books[[#This Row],[Number of Copies]],"Available","Not Available")</f>
        <v>Available</v>
      </c>
    </row>
    <row r="12" spans="1:11">
      <c r="A12" s="2" t="s">
        <v>12</v>
      </c>
      <c r="B12" s="2" t="s">
        <v>111</v>
      </c>
      <c r="D12" s="2" t="s">
        <v>217</v>
      </c>
      <c r="E12" s="2" t="s">
        <v>775</v>
      </c>
      <c r="F12" s="2" t="s">
        <v>336</v>
      </c>
      <c r="G12" s="37">
        <v>5</v>
      </c>
      <c r="H12" s="44" t="str">
        <f>IF(COUNTIFS(Transactions[Book ID],Books[[#This Row],[Book ID]],Transactions[Return Date],"")&lt;Books[[#This Row],[Number of Copies]],"Available","Not Available")</f>
        <v>Available</v>
      </c>
    </row>
    <row r="13" spans="1:11">
      <c r="A13" s="2" t="s">
        <v>13</v>
      </c>
      <c r="B13" s="2" t="s">
        <v>112</v>
      </c>
      <c r="D13" s="2" t="s">
        <v>218</v>
      </c>
      <c r="E13" s="2" t="s">
        <v>776</v>
      </c>
      <c r="F13" s="2" t="s">
        <v>337</v>
      </c>
      <c r="G13" s="37">
        <v>5</v>
      </c>
      <c r="H13" s="44" t="str">
        <f>IF(COUNTIFS(Transactions[Book ID],Books[[#This Row],[Book ID]],Transactions[Return Date],"")&lt;Books[[#This Row],[Number of Copies]],"Available","Not Available")</f>
        <v>Available</v>
      </c>
    </row>
    <row r="14" spans="1:11">
      <c r="A14" s="2" t="s">
        <v>14</v>
      </c>
      <c r="B14" s="2" t="s">
        <v>113</v>
      </c>
      <c r="D14" s="2" t="s">
        <v>219</v>
      </c>
      <c r="E14" s="2" t="s">
        <v>777</v>
      </c>
      <c r="F14" s="2" t="s">
        <v>338</v>
      </c>
      <c r="G14" s="37">
        <v>5</v>
      </c>
      <c r="H14" s="44" t="str">
        <f>IF(COUNTIFS(Transactions[Book ID],Books[[#This Row],[Book ID]],Transactions[Return Date],"")&lt;Books[[#This Row],[Number of Copies]],"Available","Not Available")</f>
        <v>Available</v>
      </c>
    </row>
    <row r="15" spans="1:11">
      <c r="A15" s="2" t="s">
        <v>15</v>
      </c>
      <c r="B15" s="2" t="s">
        <v>114</v>
      </c>
      <c r="D15" s="2" t="s">
        <v>220</v>
      </c>
      <c r="E15" s="2" t="s">
        <v>750</v>
      </c>
      <c r="F15" s="2" t="s">
        <v>339</v>
      </c>
      <c r="G15" s="37">
        <v>5</v>
      </c>
      <c r="H15" s="44" t="str">
        <f>IF(COUNTIFS(Transactions[Book ID],Books[[#This Row],[Book ID]],Transactions[Return Date],"")&lt;Books[[#This Row],[Number of Copies]],"Available","Not Available")</f>
        <v>Available</v>
      </c>
    </row>
    <row r="16" spans="1:11">
      <c r="A16" s="2" t="s">
        <v>16</v>
      </c>
      <c r="B16" s="2" t="s">
        <v>115</v>
      </c>
      <c r="D16" s="2" t="s">
        <v>221</v>
      </c>
      <c r="E16" s="2" t="s">
        <v>778</v>
      </c>
      <c r="F16" s="2" t="s">
        <v>340</v>
      </c>
      <c r="G16" s="37">
        <v>3</v>
      </c>
      <c r="H16" s="44" t="str">
        <f>IF(COUNTIFS(Transactions[Book ID],Books[[#This Row],[Book ID]],Transactions[Return Date],"")&lt;Books[[#This Row],[Number of Copies]],"Available","Not Available")</f>
        <v>Not Available</v>
      </c>
    </row>
    <row r="17" spans="1:8">
      <c r="A17" s="2" t="s">
        <v>17</v>
      </c>
      <c r="B17" s="2" t="s">
        <v>116</v>
      </c>
      <c r="D17" s="2" t="s">
        <v>222</v>
      </c>
      <c r="E17" s="2" t="s">
        <v>779</v>
      </c>
      <c r="F17" s="2" t="s">
        <v>341</v>
      </c>
      <c r="G17" s="37">
        <v>3</v>
      </c>
      <c r="H17" s="44" t="str">
        <f>IF(COUNTIFS(Transactions[Book ID],Books[[#This Row],[Book ID]],Transactions[Return Date],"")&lt;Books[[#This Row],[Number of Copies]],"Available","Not Available")</f>
        <v>Available</v>
      </c>
    </row>
    <row r="18" spans="1:8">
      <c r="A18" s="2" t="s">
        <v>18</v>
      </c>
      <c r="B18" s="2" t="s">
        <v>117</v>
      </c>
      <c r="D18" s="2" t="s">
        <v>223</v>
      </c>
      <c r="E18" s="2" t="s">
        <v>780</v>
      </c>
      <c r="F18" s="2" t="s">
        <v>342</v>
      </c>
      <c r="G18" s="37">
        <v>4</v>
      </c>
      <c r="H18" s="44" t="str">
        <f>IF(COUNTIFS(Transactions[Book ID],Books[[#This Row],[Book ID]],Transactions[Return Date],"")&lt;Books[[#This Row],[Number of Copies]],"Available","Not Available")</f>
        <v>Available</v>
      </c>
    </row>
    <row r="19" spans="1:8">
      <c r="A19" s="2" t="s">
        <v>19</v>
      </c>
      <c r="B19" s="2" t="s">
        <v>118</v>
      </c>
      <c r="D19" s="2" t="s">
        <v>224</v>
      </c>
      <c r="E19" s="2" t="s">
        <v>781</v>
      </c>
      <c r="F19" s="2" t="s">
        <v>343</v>
      </c>
      <c r="G19" s="37">
        <v>5</v>
      </c>
      <c r="H19" s="44" t="str">
        <f>IF(COUNTIFS(Transactions[Book ID],Books[[#This Row],[Book ID]],Transactions[Return Date],"")&lt;Books[[#This Row],[Number of Copies]],"Available","Not Available")</f>
        <v>Available</v>
      </c>
    </row>
    <row r="20" spans="1:8">
      <c r="A20" s="2" t="s">
        <v>20</v>
      </c>
      <c r="B20" s="2" t="s">
        <v>119</v>
      </c>
      <c r="D20" s="2" t="s">
        <v>225</v>
      </c>
      <c r="E20" s="2" t="s">
        <v>782</v>
      </c>
      <c r="F20" s="2" t="s">
        <v>344</v>
      </c>
      <c r="G20" s="37">
        <v>5</v>
      </c>
      <c r="H20" s="44" t="str">
        <f>IF(COUNTIFS(Transactions[Book ID],Books[[#This Row],[Book ID]],Transactions[Return Date],"")&lt;Books[[#This Row],[Number of Copies]],"Available","Not Available")</f>
        <v>Available</v>
      </c>
    </row>
    <row r="21" spans="1:8">
      <c r="A21" s="2" t="s">
        <v>21</v>
      </c>
      <c r="B21" s="2" t="s">
        <v>120</v>
      </c>
      <c r="D21" s="2" t="s">
        <v>226</v>
      </c>
      <c r="E21" s="2" t="s">
        <v>783</v>
      </c>
      <c r="F21" s="2" t="s">
        <v>345</v>
      </c>
      <c r="G21" s="37">
        <v>3</v>
      </c>
      <c r="H21" s="44" t="str">
        <f>IF(COUNTIFS(Transactions[Book ID],Books[[#This Row],[Book ID]],Transactions[Return Date],"")&lt;Books[[#This Row],[Number of Copies]],"Available","Not Available")</f>
        <v>Available</v>
      </c>
    </row>
    <row r="22" spans="1:8">
      <c r="A22" s="2" t="s">
        <v>22</v>
      </c>
      <c r="B22" s="2" t="s">
        <v>121</v>
      </c>
      <c r="D22" s="2" t="s">
        <v>227</v>
      </c>
      <c r="E22" s="2" t="s">
        <v>784</v>
      </c>
      <c r="F22" s="2" t="s">
        <v>346</v>
      </c>
      <c r="G22" s="37">
        <v>5</v>
      </c>
      <c r="H22" s="44" t="str">
        <f>IF(COUNTIFS(Transactions[Book ID],Books[[#This Row],[Book ID]],Transactions[Return Date],"")&lt;Books[[#This Row],[Number of Copies]],"Available","Not Available")</f>
        <v>Available</v>
      </c>
    </row>
    <row r="23" spans="1:8">
      <c r="A23" s="2" t="s">
        <v>23</v>
      </c>
      <c r="B23" s="2" t="s">
        <v>122</v>
      </c>
      <c r="D23" s="2" t="s">
        <v>228</v>
      </c>
      <c r="E23" s="2" t="s">
        <v>785</v>
      </c>
      <c r="F23" s="2" t="s">
        <v>347</v>
      </c>
      <c r="G23" s="37">
        <v>4</v>
      </c>
      <c r="H23" s="44" t="str">
        <f>IF(COUNTIFS(Transactions[Book ID],Books[[#This Row],[Book ID]],Transactions[Return Date],"")&lt;Books[[#This Row],[Number of Copies]],"Available","Not Available")</f>
        <v>Available</v>
      </c>
    </row>
    <row r="24" spans="1:8">
      <c r="A24" s="2" t="s">
        <v>24</v>
      </c>
      <c r="B24" s="2" t="s">
        <v>123</v>
      </c>
      <c r="D24" s="2" t="s">
        <v>229</v>
      </c>
      <c r="E24" s="2" t="s">
        <v>786</v>
      </c>
      <c r="F24" s="2" t="s">
        <v>348</v>
      </c>
      <c r="G24" s="37">
        <v>3</v>
      </c>
      <c r="H24" s="44" t="str">
        <f>IF(COUNTIFS(Transactions[Book ID],Books[[#This Row],[Book ID]],Transactions[Return Date],"")&lt;Books[[#This Row],[Number of Copies]],"Available","Not Available")</f>
        <v>Available</v>
      </c>
    </row>
    <row r="25" spans="1:8">
      <c r="A25" s="2" t="s">
        <v>25</v>
      </c>
      <c r="B25" s="2" t="s">
        <v>124</v>
      </c>
      <c r="D25" s="2" t="s">
        <v>230</v>
      </c>
      <c r="E25" s="2" t="s">
        <v>787</v>
      </c>
      <c r="F25" s="2" t="s">
        <v>349</v>
      </c>
      <c r="G25" s="37">
        <v>4</v>
      </c>
      <c r="H25" s="44" t="str">
        <f>IF(COUNTIFS(Transactions[Book ID],Books[[#This Row],[Book ID]],Transactions[Return Date],"")&lt;Books[[#This Row],[Number of Copies]],"Available","Not Available")</f>
        <v>Available</v>
      </c>
    </row>
    <row r="26" spans="1:8">
      <c r="A26" s="2" t="s">
        <v>26</v>
      </c>
      <c r="B26" s="2" t="s">
        <v>125</v>
      </c>
      <c r="D26" s="2" t="s">
        <v>231</v>
      </c>
      <c r="E26" s="2" t="s">
        <v>788</v>
      </c>
      <c r="F26" s="2" t="s">
        <v>350</v>
      </c>
      <c r="G26" s="37">
        <v>5</v>
      </c>
      <c r="H26" s="44" t="str">
        <f>IF(COUNTIFS(Transactions[Book ID],Books[[#This Row],[Book ID]],Transactions[Return Date],"")&lt;Books[[#This Row],[Number of Copies]],"Available","Not Available")</f>
        <v>Available</v>
      </c>
    </row>
    <row r="27" spans="1:8">
      <c r="A27" s="2" t="s">
        <v>27</v>
      </c>
      <c r="B27" s="2" t="s">
        <v>126</v>
      </c>
      <c r="D27" s="2" t="s">
        <v>232</v>
      </c>
      <c r="E27" s="2" t="s">
        <v>789</v>
      </c>
      <c r="F27" s="2" t="s">
        <v>351</v>
      </c>
      <c r="G27" s="37">
        <v>5</v>
      </c>
      <c r="H27" s="44" t="str">
        <f>IF(COUNTIFS(Transactions[Book ID],Books[[#This Row],[Book ID]],Transactions[Return Date],"")&lt;Books[[#This Row],[Number of Copies]],"Available","Not Available")</f>
        <v>Available</v>
      </c>
    </row>
    <row r="28" spans="1:8">
      <c r="A28" s="2" t="s">
        <v>28</v>
      </c>
      <c r="B28" s="2" t="s">
        <v>127</v>
      </c>
      <c r="D28" s="2" t="s">
        <v>233</v>
      </c>
      <c r="E28" s="2" t="s">
        <v>790</v>
      </c>
      <c r="F28" s="2" t="s">
        <v>352</v>
      </c>
      <c r="G28" s="37">
        <v>4</v>
      </c>
      <c r="H28" s="44" t="str">
        <f>IF(COUNTIFS(Transactions[Book ID],Books[[#This Row],[Book ID]],Transactions[Return Date],"")&lt;Books[[#This Row],[Number of Copies]],"Available","Not Available")</f>
        <v>Available</v>
      </c>
    </row>
    <row r="29" spans="1:8">
      <c r="A29" s="2" t="s">
        <v>29</v>
      </c>
      <c r="B29" s="2" t="s">
        <v>128</v>
      </c>
      <c r="D29" s="2" t="s">
        <v>234</v>
      </c>
      <c r="E29" s="2" t="s">
        <v>791</v>
      </c>
      <c r="F29" s="2" t="s">
        <v>353</v>
      </c>
      <c r="G29" s="37">
        <v>4</v>
      </c>
      <c r="H29" s="44" t="str">
        <f>IF(COUNTIFS(Transactions[Book ID],Books[[#This Row],[Book ID]],Transactions[Return Date],"")&lt;Books[[#This Row],[Number of Copies]],"Available","Not Available")</f>
        <v>Available</v>
      </c>
    </row>
    <row r="30" spans="1:8">
      <c r="A30" s="2" t="s">
        <v>30</v>
      </c>
      <c r="B30" s="2" t="s">
        <v>129</v>
      </c>
      <c r="D30" s="2" t="s">
        <v>235</v>
      </c>
      <c r="E30" s="2" t="s">
        <v>792</v>
      </c>
      <c r="F30" s="2" t="s">
        <v>354</v>
      </c>
      <c r="G30" s="37">
        <v>4</v>
      </c>
      <c r="H30" s="44" t="str">
        <f>IF(COUNTIFS(Transactions[Book ID],Books[[#This Row],[Book ID]],Transactions[Return Date],"")&lt;Books[[#This Row],[Number of Copies]],"Available","Not Available")</f>
        <v>Available</v>
      </c>
    </row>
    <row r="31" spans="1:8">
      <c r="A31" s="2" t="s">
        <v>31</v>
      </c>
      <c r="B31" s="2" t="s">
        <v>130</v>
      </c>
      <c r="D31" s="2" t="s">
        <v>236</v>
      </c>
      <c r="E31" s="2" t="s">
        <v>751</v>
      </c>
      <c r="F31" s="2" t="s">
        <v>355</v>
      </c>
      <c r="G31" s="37">
        <v>3</v>
      </c>
      <c r="H31" s="44" t="str">
        <f>IF(COUNTIFS(Transactions[Book ID],Books[[#This Row],[Book ID]],Transactions[Return Date],"")&lt;Books[[#This Row],[Number of Copies]],"Available","Not Available")</f>
        <v>Available</v>
      </c>
    </row>
    <row r="32" spans="1:8">
      <c r="A32" s="2" t="s">
        <v>32</v>
      </c>
      <c r="B32" s="2" t="s">
        <v>131</v>
      </c>
      <c r="D32" s="2" t="s">
        <v>237</v>
      </c>
      <c r="E32" s="2" t="s">
        <v>793</v>
      </c>
      <c r="F32" s="2" t="s">
        <v>356</v>
      </c>
      <c r="G32" s="37">
        <v>4</v>
      </c>
      <c r="H32" s="44" t="str">
        <f>IF(COUNTIFS(Transactions[Book ID],Books[[#This Row],[Book ID]],Transactions[Return Date],"")&lt;Books[[#This Row],[Number of Copies]],"Available","Not Available")</f>
        <v>Available</v>
      </c>
    </row>
    <row r="33" spans="1:8">
      <c r="A33" s="2" t="s">
        <v>33</v>
      </c>
      <c r="B33" s="2" t="s">
        <v>132</v>
      </c>
      <c r="D33" s="2" t="s">
        <v>238</v>
      </c>
      <c r="E33" s="2" t="s">
        <v>794</v>
      </c>
      <c r="F33" s="2" t="s">
        <v>357</v>
      </c>
      <c r="G33" s="37">
        <v>5</v>
      </c>
      <c r="H33" s="44" t="str">
        <f>IF(COUNTIFS(Transactions[Book ID],Books[[#This Row],[Book ID]],Transactions[Return Date],"")&lt;Books[[#This Row],[Number of Copies]],"Available","Not Available")</f>
        <v>Available</v>
      </c>
    </row>
    <row r="34" spans="1:8">
      <c r="A34" s="2" t="s">
        <v>34</v>
      </c>
      <c r="B34" s="2" t="s">
        <v>133</v>
      </c>
      <c r="D34" s="2" t="s">
        <v>239</v>
      </c>
      <c r="E34" s="2" t="s">
        <v>795</v>
      </c>
      <c r="F34" s="2" t="s">
        <v>358</v>
      </c>
      <c r="G34" s="37">
        <v>5</v>
      </c>
      <c r="H34" s="44" t="str">
        <f>IF(COUNTIFS(Transactions[Book ID],Books[[#This Row],[Book ID]],Transactions[Return Date],"")&lt;Books[[#This Row],[Number of Copies]],"Available","Not Available")</f>
        <v>Available</v>
      </c>
    </row>
    <row r="35" spans="1:8">
      <c r="A35" s="2" t="s">
        <v>35</v>
      </c>
      <c r="B35" s="2" t="s">
        <v>134</v>
      </c>
      <c r="D35" s="2" t="s">
        <v>240</v>
      </c>
      <c r="E35" s="2" t="s">
        <v>796</v>
      </c>
      <c r="F35" s="2" t="s">
        <v>359</v>
      </c>
      <c r="G35" s="37">
        <v>4</v>
      </c>
      <c r="H35" s="44" t="str">
        <f>IF(COUNTIFS(Transactions[Book ID],Books[[#This Row],[Book ID]],Transactions[Return Date],"")&lt;Books[[#This Row],[Number of Copies]],"Available","Not Available")</f>
        <v>Available</v>
      </c>
    </row>
    <row r="36" spans="1:8">
      <c r="A36" s="2" t="s">
        <v>36</v>
      </c>
      <c r="B36" s="2" t="s">
        <v>135</v>
      </c>
      <c r="D36" s="2" t="s">
        <v>241</v>
      </c>
      <c r="E36" s="2" t="s">
        <v>797</v>
      </c>
      <c r="F36" s="2" t="s">
        <v>360</v>
      </c>
      <c r="G36" s="37">
        <v>4</v>
      </c>
      <c r="H36" s="44" t="str">
        <f>IF(COUNTIFS(Transactions[Book ID],Books[[#This Row],[Book ID]],Transactions[Return Date],"")&lt;Books[[#This Row],[Number of Copies]],"Available","Not Available")</f>
        <v>Available</v>
      </c>
    </row>
    <row r="37" spans="1:8">
      <c r="A37" s="2" t="s">
        <v>37</v>
      </c>
      <c r="B37" s="2" t="s">
        <v>136</v>
      </c>
      <c r="D37" s="2" t="s">
        <v>242</v>
      </c>
      <c r="E37" s="2" t="s">
        <v>798</v>
      </c>
      <c r="F37" s="2" t="s">
        <v>361</v>
      </c>
      <c r="G37" s="37">
        <v>5</v>
      </c>
      <c r="H37" s="44" t="str">
        <f>IF(COUNTIFS(Transactions[Book ID],Books[[#This Row],[Book ID]],Transactions[Return Date],"")&lt;Books[[#This Row],[Number of Copies]],"Available","Not Available")</f>
        <v>Available</v>
      </c>
    </row>
    <row r="38" spans="1:8">
      <c r="A38" s="2" t="s">
        <v>38</v>
      </c>
      <c r="B38" s="2" t="s">
        <v>137</v>
      </c>
      <c r="D38" s="2" t="s">
        <v>243</v>
      </c>
      <c r="E38" s="2" t="s">
        <v>752</v>
      </c>
      <c r="F38" s="2" t="s">
        <v>362</v>
      </c>
      <c r="G38" s="37">
        <v>5</v>
      </c>
      <c r="H38" s="44" t="str">
        <f>IF(COUNTIFS(Transactions[Book ID],Books[[#This Row],[Book ID]],Transactions[Return Date],"")&lt;Books[[#This Row],[Number of Copies]],"Available","Not Available")</f>
        <v>Available</v>
      </c>
    </row>
    <row r="39" spans="1:8">
      <c r="A39" s="2" t="s">
        <v>39</v>
      </c>
      <c r="B39" s="2" t="s">
        <v>138</v>
      </c>
      <c r="D39" s="2" t="s">
        <v>244</v>
      </c>
      <c r="E39" s="2" t="s">
        <v>799</v>
      </c>
      <c r="F39" s="2" t="s">
        <v>363</v>
      </c>
      <c r="G39" s="37">
        <v>5</v>
      </c>
      <c r="H39" s="44" t="str">
        <f>IF(COUNTIFS(Transactions[Book ID],Books[[#This Row],[Book ID]],Transactions[Return Date],"")&lt;Books[[#This Row],[Number of Copies]],"Available","Not Available")</f>
        <v>Available</v>
      </c>
    </row>
    <row r="40" spans="1:8">
      <c r="A40" s="2" t="s">
        <v>40</v>
      </c>
      <c r="B40" s="2" t="s">
        <v>139</v>
      </c>
      <c r="D40" s="2" t="s">
        <v>245</v>
      </c>
      <c r="E40" s="2" t="s">
        <v>800</v>
      </c>
      <c r="F40" s="2" t="s">
        <v>364</v>
      </c>
      <c r="G40" s="37">
        <v>5</v>
      </c>
      <c r="H40" s="44" t="str">
        <f>IF(COUNTIFS(Transactions[Book ID],Books[[#This Row],[Book ID]],Transactions[Return Date],"")&lt;Books[[#This Row],[Number of Copies]],"Available","Not Available")</f>
        <v>Available</v>
      </c>
    </row>
    <row r="41" spans="1:8">
      <c r="A41" s="2" t="s">
        <v>41</v>
      </c>
      <c r="B41" s="2" t="s">
        <v>140</v>
      </c>
      <c r="D41" s="2" t="s">
        <v>246</v>
      </c>
      <c r="E41" s="2" t="s">
        <v>801</v>
      </c>
      <c r="F41" s="2" t="s">
        <v>365</v>
      </c>
      <c r="G41" s="37">
        <v>4</v>
      </c>
      <c r="H41" s="44" t="str">
        <f>IF(COUNTIFS(Transactions[Book ID],Books[[#This Row],[Book ID]],Transactions[Return Date],"")&lt;Books[[#This Row],[Number of Copies]],"Available","Not Available")</f>
        <v>Available</v>
      </c>
    </row>
    <row r="42" spans="1:8">
      <c r="A42" s="2" t="s">
        <v>42</v>
      </c>
      <c r="B42" s="2" t="s">
        <v>141</v>
      </c>
      <c r="D42" s="2" t="s">
        <v>247</v>
      </c>
      <c r="E42" s="2" t="s">
        <v>802</v>
      </c>
      <c r="F42" s="2" t="s">
        <v>366</v>
      </c>
      <c r="G42" s="37">
        <v>4</v>
      </c>
      <c r="H42" s="44" t="str">
        <f>IF(COUNTIFS(Transactions[Book ID],Books[[#This Row],[Book ID]],Transactions[Return Date],"")&lt;Books[[#This Row],[Number of Copies]],"Available","Not Available")</f>
        <v>Available</v>
      </c>
    </row>
    <row r="43" spans="1:8">
      <c r="A43" s="2" t="s">
        <v>43</v>
      </c>
      <c r="B43" s="2" t="s">
        <v>142</v>
      </c>
      <c r="D43" s="2" t="s">
        <v>248</v>
      </c>
      <c r="E43" s="2" t="s">
        <v>803</v>
      </c>
      <c r="F43" s="2" t="s">
        <v>367</v>
      </c>
      <c r="G43" s="37">
        <v>3</v>
      </c>
      <c r="H43" s="44" t="str">
        <f>IF(COUNTIFS(Transactions[Book ID],Books[[#This Row],[Book ID]],Transactions[Return Date],"")&lt;Books[[#This Row],[Number of Copies]],"Available","Not Available")</f>
        <v>Available</v>
      </c>
    </row>
    <row r="44" spans="1:8">
      <c r="A44" s="2" t="s">
        <v>44</v>
      </c>
      <c r="B44" s="2" t="s">
        <v>143</v>
      </c>
      <c r="D44" s="2" t="s">
        <v>249</v>
      </c>
      <c r="E44" s="2" t="s">
        <v>804</v>
      </c>
      <c r="F44" s="2" t="s">
        <v>368</v>
      </c>
      <c r="G44" s="37">
        <v>5</v>
      </c>
      <c r="H44" s="44" t="str">
        <f>IF(COUNTIFS(Transactions[Book ID],Books[[#This Row],[Book ID]],Transactions[Return Date],"")&lt;Books[[#This Row],[Number of Copies]],"Available","Not Available")</f>
        <v>Available</v>
      </c>
    </row>
    <row r="45" spans="1:8">
      <c r="A45" s="2" t="s">
        <v>45</v>
      </c>
      <c r="B45" s="2" t="s">
        <v>144</v>
      </c>
      <c r="D45" s="2" t="s">
        <v>250</v>
      </c>
      <c r="E45" s="2" t="s">
        <v>805</v>
      </c>
      <c r="F45" s="2" t="s">
        <v>369</v>
      </c>
      <c r="G45" s="37">
        <v>4</v>
      </c>
      <c r="H45" s="44" t="str">
        <f>IF(COUNTIFS(Transactions[Book ID],Books[[#This Row],[Book ID]],Transactions[Return Date],"")&lt;Books[[#This Row],[Number of Copies]],"Available","Not Available")</f>
        <v>Available</v>
      </c>
    </row>
    <row r="46" spans="1:8">
      <c r="A46" s="2" t="s">
        <v>46</v>
      </c>
      <c r="B46" s="2" t="s">
        <v>145</v>
      </c>
      <c r="D46" s="2" t="s">
        <v>251</v>
      </c>
      <c r="E46" s="2" t="s">
        <v>806</v>
      </c>
      <c r="F46" s="2" t="s">
        <v>370</v>
      </c>
      <c r="G46" s="37">
        <v>5</v>
      </c>
      <c r="H46" s="44" t="str">
        <f>IF(COUNTIFS(Transactions[Book ID],Books[[#This Row],[Book ID]],Transactions[Return Date],"")&lt;Books[[#This Row],[Number of Copies]],"Available","Not Available")</f>
        <v>Available</v>
      </c>
    </row>
    <row r="47" spans="1:8">
      <c r="A47" s="2" t="s">
        <v>47</v>
      </c>
      <c r="B47" s="2" t="s">
        <v>146</v>
      </c>
      <c r="D47" s="2" t="s">
        <v>252</v>
      </c>
      <c r="E47" s="2" t="s">
        <v>807</v>
      </c>
      <c r="F47" s="2" t="s">
        <v>371</v>
      </c>
      <c r="G47" s="37">
        <v>4</v>
      </c>
      <c r="H47" s="44" t="str">
        <f>IF(COUNTIFS(Transactions[Book ID],Books[[#This Row],[Book ID]],Transactions[Return Date],"")&lt;Books[[#This Row],[Number of Copies]],"Available","Not Available")</f>
        <v>Available</v>
      </c>
    </row>
    <row r="48" spans="1:8">
      <c r="A48" s="2" t="s">
        <v>48</v>
      </c>
      <c r="B48" s="2" t="s">
        <v>147</v>
      </c>
      <c r="D48" s="2" t="s">
        <v>253</v>
      </c>
      <c r="E48" s="2" t="s">
        <v>753</v>
      </c>
      <c r="F48" s="2" t="s">
        <v>372</v>
      </c>
      <c r="G48" s="37">
        <v>5</v>
      </c>
      <c r="H48" s="44" t="str">
        <f>IF(COUNTIFS(Transactions[Book ID],Books[[#This Row],[Book ID]],Transactions[Return Date],"")&lt;Books[[#This Row],[Number of Copies]],"Available","Not Available")</f>
        <v>Available</v>
      </c>
    </row>
    <row r="49" spans="1:8">
      <c r="A49" s="2" t="s">
        <v>49</v>
      </c>
      <c r="B49" s="2" t="s">
        <v>148</v>
      </c>
      <c r="D49" s="2" t="s">
        <v>254</v>
      </c>
      <c r="E49" s="2" t="s">
        <v>754</v>
      </c>
      <c r="F49" s="2" t="s">
        <v>373</v>
      </c>
      <c r="G49" s="37">
        <v>4</v>
      </c>
      <c r="H49" s="44" t="str">
        <f>IF(COUNTIFS(Transactions[Book ID],Books[[#This Row],[Book ID]],Transactions[Return Date],"")&lt;Books[[#This Row],[Number of Copies]],"Available","Not Available")</f>
        <v>Available</v>
      </c>
    </row>
    <row r="50" spans="1:8">
      <c r="A50" s="2" t="s">
        <v>50</v>
      </c>
      <c r="B50" s="2" t="s">
        <v>149</v>
      </c>
      <c r="D50" s="2" t="s">
        <v>255</v>
      </c>
      <c r="E50" s="2" t="s">
        <v>808</v>
      </c>
      <c r="F50" s="2" t="s">
        <v>374</v>
      </c>
      <c r="G50" s="37">
        <v>5</v>
      </c>
      <c r="H50" s="44" t="str">
        <f>IF(COUNTIFS(Transactions[Book ID],Books[[#This Row],[Book ID]],Transactions[Return Date],"")&lt;Books[[#This Row],[Number of Copies]],"Available","Not Available")</f>
        <v>Available</v>
      </c>
    </row>
    <row r="51" spans="1:8">
      <c r="A51" s="2" t="s">
        <v>51</v>
      </c>
      <c r="B51" s="2" t="s">
        <v>150</v>
      </c>
      <c r="D51" s="2" t="s">
        <v>256</v>
      </c>
      <c r="E51" s="2" t="s">
        <v>755</v>
      </c>
      <c r="F51" s="2" t="s">
        <v>375</v>
      </c>
      <c r="G51" s="37">
        <v>5</v>
      </c>
      <c r="H51" s="44" t="str">
        <f>IF(COUNTIFS(Transactions[Book ID],Books[[#This Row],[Book ID]],Transactions[Return Date],"")&lt;Books[[#This Row],[Number of Copies]],"Available","Not Available")</f>
        <v>Available</v>
      </c>
    </row>
    <row r="52" spans="1:8">
      <c r="A52" s="2" t="s">
        <v>52</v>
      </c>
      <c r="B52" s="2" t="s">
        <v>151</v>
      </c>
      <c r="D52" s="2" t="s">
        <v>257</v>
      </c>
      <c r="E52" s="2" t="s">
        <v>809</v>
      </c>
      <c r="F52" s="2" t="s">
        <v>376</v>
      </c>
      <c r="G52" s="37">
        <v>4</v>
      </c>
      <c r="H52" s="44" t="str">
        <f>IF(COUNTIFS(Transactions[Book ID],Books[[#This Row],[Book ID]],Transactions[Return Date],"")&lt;Books[[#This Row],[Number of Copies]],"Available","Not Available")</f>
        <v>Available</v>
      </c>
    </row>
    <row r="53" spans="1:8">
      <c r="A53" s="2" t="s">
        <v>53</v>
      </c>
      <c r="B53" s="2" t="s">
        <v>152</v>
      </c>
      <c r="D53" s="2" t="s">
        <v>258</v>
      </c>
      <c r="E53" s="2" t="s">
        <v>810</v>
      </c>
      <c r="F53" s="2" t="s">
        <v>377</v>
      </c>
      <c r="G53" s="37">
        <v>5</v>
      </c>
      <c r="H53" s="44" t="str">
        <f>IF(COUNTIFS(Transactions[Book ID],Books[[#This Row],[Book ID]],Transactions[Return Date],"")&lt;Books[[#This Row],[Number of Copies]],"Available","Not Available")</f>
        <v>Available</v>
      </c>
    </row>
    <row r="54" spans="1:8">
      <c r="A54" s="2" t="s">
        <v>54</v>
      </c>
      <c r="B54" s="2" t="s">
        <v>153</v>
      </c>
      <c r="D54" s="2" t="s">
        <v>259</v>
      </c>
      <c r="E54" s="2" t="s">
        <v>811</v>
      </c>
      <c r="F54" s="2" t="s">
        <v>378</v>
      </c>
      <c r="G54" s="37">
        <v>3</v>
      </c>
      <c r="H54" s="44" t="str">
        <f>IF(COUNTIFS(Transactions[Book ID],Books[[#This Row],[Book ID]],Transactions[Return Date],"")&lt;Books[[#This Row],[Number of Copies]],"Available","Not Available")</f>
        <v>Not Available</v>
      </c>
    </row>
    <row r="55" spans="1:8">
      <c r="A55" s="2" t="s">
        <v>55</v>
      </c>
      <c r="B55" s="2" t="s">
        <v>154</v>
      </c>
      <c r="D55" s="2" t="s">
        <v>260</v>
      </c>
      <c r="E55" s="2" t="s">
        <v>812</v>
      </c>
      <c r="F55" s="2" t="s">
        <v>379</v>
      </c>
      <c r="G55" s="37">
        <v>4</v>
      </c>
      <c r="H55" s="44" t="str">
        <f>IF(COUNTIFS(Transactions[Book ID],Books[[#This Row],[Book ID]],Transactions[Return Date],"")&lt;Books[[#This Row],[Number of Copies]],"Available","Not Available")</f>
        <v>Available</v>
      </c>
    </row>
    <row r="56" spans="1:8">
      <c r="A56" s="2" t="s">
        <v>56</v>
      </c>
      <c r="B56" s="2" t="s">
        <v>155</v>
      </c>
      <c r="D56" s="2" t="s">
        <v>261</v>
      </c>
      <c r="E56" s="2" t="s">
        <v>756</v>
      </c>
      <c r="F56" s="2" t="s">
        <v>380</v>
      </c>
      <c r="G56" s="37">
        <v>3</v>
      </c>
      <c r="H56" s="44" t="str">
        <f>IF(COUNTIFS(Transactions[Book ID],Books[[#This Row],[Book ID]],Transactions[Return Date],"")&lt;Books[[#This Row],[Number of Copies]],"Available","Not Available")</f>
        <v>Available</v>
      </c>
    </row>
    <row r="57" spans="1:8">
      <c r="A57" s="2" t="s">
        <v>57</v>
      </c>
      <c r="B57" s="2" t="s">
        <v>156</v>
      </c>
      <c r="D57" s="2" t="s">
        <v>262</v>
      </c>
      <c r="E57" s="2" t="s">
        <v>813</v>
      </c>
      <c r="F57" s="2" t="s">
        <v>381</v>
      </c>
      <c r="G57" s="37">
        <v>4</v>
      </c>
      <c r="H57" s="44" t="str">
        <f>IF(COUNTIFS(Transactions[Book ID],Books[[#This Row],[Book ID]],Transactions[Return Date],"")&lt;Books[[#This Row],[Number of Copies]],"Available","Not Available")</f>
        <v>Available</v>
      </c>
    </row>
    <row r="58" spans="1:8">
      <c r="A58" s="2" t="s">
        <v>58</v>
      </c>
      <c r="B58" s="2" t="s">
        <v>157</v>
      </c>
      <c r="D58" s="2" t="s">
        <v>263</v>
      </c>
      <c r="E58" s="2" t="s">
        <v>814</v>
      </c>
      <c r="F58" s="2" t="s">
        <v>382</v>
      </c>
      <c r="G58" s="37">
        <v>3</v>
      </c>
      <c r="H58" s="44" t="str">
        <f>IF(COUNTIFS(Transactions[Book ID],Books[[#This Row],[Book ID]],Transactions[Return Date],"")&lt;Books[[#This Row],[Number of Copies]],"Available","Not Available")</f>
        <v>Available</v>
      </c>
    </row>
    <row r="59" spans="1:8">
      <c r="A59" s="2" t="s">
        <v>59</v>
      </c>
      <c r="B59" s="2" t="s">
        <v>158</v>
      </c>
      <c r="D59" s="2" t="s">
        <v>264</v>
      </c>
      <c r="E59" s="2" t="s">
        <v>815</v>
      </c>
      <c r="F59" s="2" t="s">
        <v>383</v>
      </c>
      <c r="G59" s="37">
        <v>3</v>
      </c>
      <c r="H59" s="44" t="str">
        <f>IF(COUNTIFS(Transactions[Book ID],Books[[#This Row],[Book ID]],Transactions[Return Date],"")&lt;Books[[#This Row],[Number of Copies]],"Available","Not Available")</f>
        <v>Available</v>
      </c>
    </row>
    <row r="60" spans="1:8">
      <c r="A60" s="2" t="s">
        <v>60</v>
      </c>
      <c r="B60" s="2" t="s">
        <v>159</v>
      </c>
      <c r="D60" s="2" t="s">
        <v>265</v>
      </c>
      <c r="E60" s="2" t="s">
        <v>816</v>
      </c>
      <c r="F60" s="2" t="s">
        <v>384</v>
      </c>
      <c r="G60" s="37">
        <v>3</v>
      </c>
      <c r="H60" s="44" t="str">
        <f>IF(COUNTIFS(Transactions[Book ID],Books[[#This Row],[Book ID]],Transactions[Return Date],"")&lt;Books[[#This Row],[Number of Copies]],"Available","Not Available")</f>
        <v>Available</v>
      </c>
    </row>
    <row r="61" spans="1:8">
      <c r="A61" s="2" t="s">
        <v>61</v>
      </c>
      <c r="B61" s="2" t="s">
        <v>160</v>
      </c>
      <c r="D61" s="2" t="s">
        <v>266</v>
      </c>
      <c r="E61" s="2" t="s">
        <v>817</v>
      </c>
      <c r="F61" s="2" t="s">
        <v>385</v>
      </c>
      <c r="G61" s="37">
        <v>4</v>
      </c>
      <c r="H61" s="44" t="str">
        <f>IF(COUNTIFS(Transactions[Book ID],Books[[#This Row],[Book ID]],Transactions[Return Date],"")&lt;Books[[#This Row],[Number of Copies]],"Available","Not Available")</f>
        <v>Available</v>
      </c>
    </row>
    <row r="62" spans="1:8">
      <c r="A62" s="2" t="s">
        <v>62</v>
      </c>
      <c r="B62" s="2" t="s">
        <v>161</v>
      </c>
      <c r="D62" s="2" t="s">
        <v>267</v>
      </c>
      <c r="E62" s="2" t="s">
        <v>818</v>
      </c>
      <c r="F62" s="2" t="s">
        <v>386</v>
      </c>
      <c r="G62" s="37">
        <v>4</v>
      </c>
      <c r="H62" s="44" t="str">
        <f>IF(COUNTIFS(Transactions[Book ID],Books[[#This Row],[Book ID]],Transactions[Return Date],"")&lt;Books[[#This Row],[Number of Copies]],"Available","Not Available")</f>
        <v>Available</v>
      </c>
    </row>
    <row r="63" spans="1:8">
      <c r="A63" s="2" t="s">
        <v>63</v>
      </c>
      <c r="B63" s="2" t="s">
        <v>162</v>
      </c>
      <c r="D63" s="2" t="s">
        <v>268</v>
      </c>
      <c r="E63" s="2" t="s">
        <v>819</v>
      </c>
      <c r="F63" s="2" t="s">
        <v>387</v>
      </c>
      <c r="G63" s="37">
        <v>5</v>
      </c>
      <c r="H63" s="44" t="str">
        <f>IF(COUNTIFS(Transactions[Book ID],Books[[#This Row],[Book ID]],Transactions[Return Date],"")&lt;Books[[#This Row],[Number of Copies]],"Available","Not Available")</f>
        <v>Available</v>
      </c>
    </row>
    <row r="64" spans="1:8">
      <c r="A64" s="2" t="s">
        <v>64</v>
      </c>
      <c r="B64" s="2" t="s">
        <v>163</v>
      </c>
      <c r="D64" s="2" t="s">
        <v>269</v>
      </c>
      <c r="E64" s="2" t="s">
        <v>820</v>
      </c>
      <c r="F64" s="2" t="s">
        <v>388</v>
      </c>
      <c r="G64" s="37">
        <v>3</v>
      </c>
      <c r="H64" s="44" t="str">
        <f>IF(COUNTIFS(Transactions[Book ID],Books[[#This Row],[Book ID]],Transactions[Return Date],"")&lt;Books[[#This Row],[Number of Copies]],"Available","Not Available")</f>
        <v>Available</v>
      </c>
    </row>
    <row r="65" spans="1:8">
      <c r="A65" s="2" t="s">
        <v>65</v>
      </c>
      <c r="B65" s="2" t="s">
        <v>164</v>
      </c>
      <c r="D65" s="2" t="s">
        <v>270</v>
      </c>
      <c r="E65" s="2" t="s">
        <v>821</v>
      </c>
      <c r="F65" s="2" t="s">
        <v>389</v>
      </c>
      <c r="G65" s="37">
        <v>4</v>
      </c>
      <c r="H65" s="44" t="str">
        <f>IF(COUNTIFS(Transactions[Book ID],Books[[#This Row],[Book ID]],Transactions[Return Date],"")&lt;Books[[#This Row],[Number of Copies]],"Available","Not Available")</f>
        <v>Available</v>
      </c>
    </row>
    <row r="66" spans="1:8">
      <c r="A66" s="2" t="s">
        <v>66</v>
      </c>
      <c r="B66" s="2" t="s">
        <v>165</v>
      </c>
      <c r="D66" s="2" t="s">
        <v>271</v>
      </c>
      <c r="E66" s="2" t="s">
        <v>822</v>
      </c>
      <c r="F66" s="2" t="s">
        <v>390</v>
      </c>
      <c r="G66" s="37">
        <v>5</v>
      </c>
      <c r="H66" s="44" t="str">
        <f>IF(COUNTIFS(Transactions[Book ID],Books[[#This Row],[Book ID]],Transactions[Return Date],"")&lt;Books[[#This Row],[Number of Copies]],"Available","Not Available")</f>
        <v>Available</v>
      </c>
    </row>
    <row r="67" spans="1:8">
      <c r="A67" s="2" t="s">
        <v>67</v>
      </c>
      <c r="B67" s="2" t="s">
        <v>166</v>
      </c>
      <c r="D67" s="2" t="s">
        <v>272</v>
      </c>
      <c r="E67" s="2" t="s">
        <v>823</v>
      </c>
      <c r="F67" s="2" t="s">
        <v>391</v>
      </c>
      <c r="G67" s="37">
        <v>3</v>
      </c>
      <c r="H67" s="44" t="str">
        <f>IF(COUNTIFS(Transactions[Book ID],Books[[#This Row],[Book ID]],Transactions[Return Date],"")&lt;Books[[#This Row],[Number of Copies]],"Available","Not Available")</f>
        <v>Available</v>
      </c>
    </row>
    <row r="68" spans="1:8">
      <c r="A68" s="2" t="s">
        <v>68</v>
      </c>
      <c r="B68" s="2" t="s">
        <v>167</v>
      </c>
      <c r="D68" s="2" t="s">
        <v>273</v>
      </c>
      <c r="E68" s="2" t="s">
        <v>757</v>
      </c>
      <c r="F68" s="2" t="s">
        <v>392</v>
      </c>
      <c r="G68" s="37">
        <v>4</v>
      </c>
      <c r="H68" s="44" t="str">
        <f>IF(COUNTIFS(Transactions[Book ID],Books[[#This Row],[Book ID]],Transactions[Return Date],"")&lt;Books[[#This Row],[Number of Copies]],"Available","Not Available")</f>
        <v>Available</v>
      </c>
    </row>
    <row r="69" spans="1:8">
      <c r="A69" s="2" t="s">
        <v>69</v>
      </c>
      <c r="B69" s="2" t="s">
        <v>168</v>
      </c>
      <c r="D69" s="2" t="s">
        <v>274</v>
      </c>
      <c r="E69" s="2" t="s">
        <v>824</v>
      </c>
      <c r="F69" s="2" t="s">
        <v>393</v>
      </c>
      <c r="G69" s="37">
        <v>3</v>
      </c>
      <c r="H69" s="44" t="str">
        <f>IF(COUNTIFS(Transactions[Book ID],Books[[#This Row],[Book ID]],Transactions[Return Date],"")&lt;Books[[#This Row],[Number of Copies]],"Available","Not Available")</f>
        <v>Available</v>
      </c>
    </row>
    <row r="70" spans="1:8">
      <c r="A70" s="2" t="s">
        <v>70</v>
      </c>
      <c r="B70" s="2" t="s">
        <v>169</v>
      </c>
      <c r="D70" s="2" t="s">
        <v>275</v>
      </c>
      <c r="E70" s="2" t="s">
        <v>825</v>
      </c>
      <c r="F70" s="2" t="s">
        <v>394</v>
      </c>
      <c r="G70" s="37">
        <v>4</v>
      </c>
      <c r="H70" s="44" t="str">
        <f>IF(COUNTIFS(Transactions[Book ID],Books[[#This Row],[Book ID]],Transactions[Return Date],"")&lt;Books[[#This Row],[Number of Copies]],"Available","Not Available")</f>
        <v>Available</v>
      </c>
    </row>
    <row r="71" spans="1:8">
      <c r="A71" s="2" t="s">
        <v>71</v>
      </c>
      <c r="B71" s="2" t="s">
        <v>170</v>
      </c>
      <c r="D71" s="2" t="s">
        <v>276</v>
      </c>
      <c r="E71" s="2" t="s">
        <v>758</v>
      </c>
      <c r="F71" s="2" t="s">
        <v>395</v>
      </c>
      <c r="G71" s="37">
        <v>5</v>
      </c>
      <c r="H71" s="44" t="str">
        <f>IF(COUNTIFS(Transactions[Book ID],Books[[#This Row],[Book ID]],Transactions[Return Date],"")&lt;Books[[#This Row],[Number of Copies]],"Available","Not Available")</f>
        <v>Available</v>
      </c>
    </row>
    <row r="72" spans="1:8">
      <c r="A72" s="2" t="s">
        <v>72</v>
      </c>
      <c r="B72" s="2" t="s">
        <v>171</v>
      </c>
      <c r="D72" s="2" t="s">
        <v>277</v>
      </c>
      <c r="E72" s="2" t="s">
        <v>826</v>
      </c>
      <c r="F72" s="2" t="s">
        <v>396</v>
      </c>
      <c r="G72" s="37">
        <v>3</v>
      </c>
      <c r="H72" s="44" t="str">
        <f>IF(COUNTIFS(Transactions[Book ID],Books[[#This Row],[Book ID]],Transactions[Return Date],"")&lt;Books[[#This Row],[Number of Copies]],"Available","Not Available")</f>
        <v>Available</v>
      </c>
    </row>
    <row r="73" spans="1:8">
      <c r="A73" s="2" t="s">
        <v>73</v>
      </c>
      <c r="B73" s="2" t="s">
        <v>172</v>
      </c>
      <c r="D73" s="2" t="s">
        <v>278</v>
      </c>
      <c r="E73" s="2" t="s">
        <v>827</v>
      </c>
      <c r="F73" s="2" t="s">
        <v>397</v>
      </c>
      <c r="G73" s="37">
        <v>5</v>
      </c>
      <c r="H73" s="44" t="str">
        <f>IF(COUNTIFS(Transactions[Book ID],Books[[#This Row],[Book ID]],Transactions[Return Date],"")&lt;Books[[#This Row],[Number of Copies]],"Available","Not Available")</f>
        <v>Available</v>
      </c>
    </row>
    <row r="74" spans="1:8">
      <c r="A74" s="2" t="s">
        <v>74</v>
      </c>
      <c r="B74" s="2" t="s">
        <v>173</v>
      </c>
      <c r="D74" s="2" t="s">
        <v>279</v>
      </c>
      <c r="E74" s="2" t="s">
        <v>828</v>
      </c>
      <c r="F74" s="2" t="s">
        <v>398</v>
      </c>
      <c r="G74" s="37">
        <v>4</v>
      </c>
      <c r="H74" s="44" t="str">
        <f>IF(COUNTIFS(Transactions[Book ID],Books[[#This Row],[Book ID]],Transactions[Return Date],"")&lt;Books[[#This Row],[Number of Copies]],"Available","Not Available")</f>
        <v>Available</v>
      </c>
    </row>
    <row r="75" spans="1:8">
      <c r="A75" s="2" t="s">
        <v>75</v>
      </c>
      <c r="B75" s="2" t="s">
        <v>174</v>
      </c>
      <c r="D75" s="2" t="s">
        <v>280</v>
      </c>
      <c r="E75" s="2" t="s">
        <v>829</v>
      </c>
      <c r="F75" s="2" t="s">
        <v>399</v>
      </c>
      <c r="G75" s="37">
        <v>5</v>
      </c>
      <c r="H75" s="44" t="str">
        <f>IF(COUNTIFS(Transactions[Book ID],Books[[#This Row],[Book ID]],Transactions[Return Date],"")&lt;Books[[#This Row],[Number of Copies]],"Available","Not Available")</f>
        <v>Available</v>
      </c>
    </row>
    <row r="76" spans="1:8">
      <c r="A76" s="2" t="s">
        <v>76</v>
      </c>
      <c r="B76" s="2" t="s">
        <v>175</v>
      </c>
      <c r="D76" s="2" t="s">
        <v>281</v>
      </c>
      <c r="E76" s="2" t="s">
        <v>830</v>
      </c>
      <c r="F76" s="2" t="s">
        <v>400</v>
      </c>
      <c r="G76" s="37">
        <v>3</v>
      </c>
      <c r="H76" s="44" t="str">
        <f>IF(COUNTIFS(Transactions[Book ID],Books[[#This Row],[Book ID]],Transactions[Return Date],"")&lt;Books[[#This Row],[Number of Copies]],"Available","Not Available")</f>
        <v>Available</v>
      </c>
    </row>
    <row r="77" spans="1:8">
      <c r="A77" s="2" t="s">
        <v>77</v>
      </c>
      <c r="B77" s="2" t="s">
        <v>176</v>
      </c>
      <c r="D77" s="2" t="s">
        <v>282</v>
      </c>
      <c r="E77" s="2" t="s">
        <v>831</v>
      </c>
      <c r="F77" s="2" t="s">
        <v>401</v>
      </c>
      <c r="G77" s="37">
        <v>4</v>
      </c>
      <c r="H77" s="44" t="str">
        <f>IF(COUNTIFS(Transactions[Book ID],Books[[#This Row],[Book ID]],Transactions[Return Date],"")&lt;Books[[#This Row],[Number of Copies]],"Available","Not Available")</f>
        <v>Available</v>
      </c>
    </row>
    <row r="78" spans="1:8">
      <c r="A78" s="2" t="s">
        <v>78</v>
      </c>
      <c r="B78" s="2" t="s">
        <v>177</v>
      </c>
      <c r="D78" s="2" t="s">
        <v>283</v>
      </c>
      <c r="E78" s="2" t="s">
        <v>832</v>
      </c>
      <c r="F78" s="2" t="s">
        <v>402</v>
      </c>
      <c r="G78" s="37">
        <v>5</v>
      </c>
      <c r="H78" s="44" t="str">
        <f>IF(COUNTIFS(Transactions[Book ID],Books[[#This Row],[Book ID]],Transactions[Return Date],"")&lt;Books[[#This Row],[Number of Copies]],"Available","Not Available")</f>
        <v>Available</v>
      </c>
    </row>
    <row r="79" spans="1:8">
      <c r="A79" s="2" t="s">
        <v>79</v>
      </c>
      <c r="B79" s="2" t="s">
        <v>178</v>
      </c>
      <c r="D79" s="2" t="s">
        <v>284</v>
      </c>
      <c r="E79" s="2" t="s">
        <v>833</v>
      </c>
      <c r="F79" s="2" t="s">
        <v>202</v>
      </c>
      <c r="G79" s="37">
        <v>3</v>
      </c>
      <c r="H79" s="44" t="str">
        <f>IF(COUNTIFS(Transactions[Book ID],Books[[#This Row],[Book ID]],Transactions[Return Date],"")&lt;Books[[#This Row],[Number of Copies]],"Available","Not Available")</f>
        <v>Available</v>
      </c>
    </row>
    <row r="80" spans="1:8">
      <c r="A80" s="2" t="s">
        <v>80</v>
      </c>
      <c r="B80" s="2" t="s">
        <v>179</v>
      </c>
      <c r="D80" s="2" t="s">
        <v>285</v>
      </c>
      <c r="E80" s="2" t="s">
        <v>834</v>
      </c>
      <c r="F80" s="2" t="s">
        <v>403</v>
      </c>
      <c r="G80" s="37">
        <v>5</v>
      </c>
      <c r="H80" s="44" t="str">
        <f>IF(COUNTIFS(Transactions[Book ID],Books[[#This Row],[Book ID]],Transactions[Return Date],"")&lt;Books[[#This Row],[Number of Copies]],"Available","Not Available")</f>
        <v>Available</v>
      </c>
    </row>
    <row r="81" spans="1:8">
      <c r="A81" s="2" t="s">
        <v>81</v>
      </c>
      <c r="B81" s="2" t="s">
        <v>180</v>
      </c>
      <c r="D81" s="2" t="s">
        <v>286</v>
      </c>
      <c r="E81" s="2" t="s">
        <v>835</v>
      </c>
      <c r="F81" s="2" t="s">
        <v>404</v>
      </c>
      <c r="G81" s="37">
        <v>3</v>
      </c>
      <c r="H81" s="44" t="str">
        <f>IF(COUNTIFS(Transactions[Book ID],Books[[#This Row],[Book ID]],Transactions[Return Date],"")&lt;Books[[#This Row],[Number of Copies]],"Available","Not Available")</f>
        <v>Available</v>
      </c>
    </row>
    <row r="82" spans="1:8">
      <c r="A82" s="2" t="s">
        <v>82</v>
      </c>
      <c r="B82" s="2" t="s">
        <v>181</v>
      </c>
      <c r="D82" s="2" t="s">
        <v>287</v>
      </c>
      <c r="E82" s="2" t="s">
        <v>836</v>
      </c>
      <c r="F82" s="2" t="s">
        <v>405</v>
      </c>
      <c r="G82" s="37">
        <v>4</v>
      </c>
      <c r="H82" s="44" t="str">
        <f>IF(COUNTIFS(Transactions[Book ID],Books[[#This Row],[Book ID]],Transactions[Return Date],"")&lt;Books[[#This Row],[Number of Copies]],"Available","Not Available")</f>
        <v>Available</v>
      </c>
    </row>
    <row r="83" spans="1:8">
      <c r="A83" s="2" t="s">
        <v>83</v>
      </c>
      <c r="B83" s="2" t="s">
        <v>182</v>
      </c>
      <c r="D83" s="2" t="s">
        <v>288</v>
      </c>
      <c r="E83" s="2" t="s">
        <v>759</v>
      </c>
      <c r="F83" s="2" t="s">
        <v>406</v>
      </c>
      <c r="G83" s="37">
        <v>4</v>
      </c>
      <c r="H83" s="44" t="str">
        <f>IF(COUNTIFS(Transactions[Book ID],Books[[#This Row],[Book ID]],Transactions[Return Date],"")&lt;Books[[#This Row],[Number of Copies]],"Available","Not Available")</f>
        <v>Available</v>
      </c>
    </row>
    <row r="84" spans="1:8">
      <c r="A84" s="2" t="s">
        <v>84</v>
      </c>
      <c r="B84" s="2" t="s">
        <v>183</v>
      </c>
      <c r="D84" s="2" t="s">
        <v>289</v>
      </c>
      <c r="E84" s="2" t="s">
        <v>760</v>
      </c>
      <c r="F84" s="2" t="s">
        <v>407</v>
      </c>
      <c r="G84" s="37">
        <v>5</v>
      </c>
      <c r="H84" s="44" t="str">
        <f>IF(COUNTIFS(Transactions[Book ID],Books[[#This Row],[Book ID]],Transactions[Return Date],"")&lt;Books[[#This Row],[Number of Copies]],"Available","Not Available")</f>
        <v>Available</v>
      </c>
    </row>
    <row r="85" spans="1:8">
      <c r="A85" s="2" t="s">
        <v>85</v>
      </c>
      <c r="B85" s="2" t="s">
        <v>184</v>
      </c>
      <c r="D85" s="2" t="s">
        <v>290</v>
      </c>
      <c r="E85" s="2" t="s">
        <v>837</v>
      </c>
      <c r="F85" s="2" t="s">
        <v>408</v>
      </c>
      <c r="G85" s="37">
        <v>4</v>
      </c>
      <c r="H85" s="44" t="str">
        <f>IF(COUNTIFS(Transactions[Book ID],Books[[#This Row],[Book ID]],Transactions[Return Date],"")&lt;Books[[#This Row],[Number of Copies]],"Available","Not Available")</f>
        <v>Available</v>
      </c>
    </row>
    <row r="86" spans="1:8">
      <c r="A86" s="2" t="s">
        <v>86</v>
      </c>
      <c r="B86" s="2" t="s">
        <v>185</v>
      </c>
      <c r="D86" s="2" t="s">
        <v>291</v>
      </c>
      <c r="E86" s="2" t="s">
        <v>838</v>
      </c>
      <c r="F86" s="2" t="s">
        <v>409</v>
      </c>
      <c r="G86" s="37">
        <v>4</v>
      </c>
      <c r="H86" s="44" t="str">
        <f>IF(COUNTIFS(Transactions[Book ID],Books[[#This Row],[Book ID]],Transactions[Return Date],"")&lt;Books[[#This Row],[Number of Copies]],"Available","Not Available")</f>
        <v>Available</v>
      </c>
    </row>
    <row r="87" spans="1:8">
      <c r="A87" s="2" t="s">
        <v>87</v>
      </c>
      <c r="B87" s="2" t="s">
        <v>186</v>
      </c>
      <c r="D87" s="2" t="s">
        <v>292</v>
      </c>
      <c r="E87" s="2" t="s">
        <v>839</v>
      </c>
      <c r="F87" s="2" t="s">
        <v>410</v>
      </c>
      <c r="G87" s="37">
        <v>3</v>
      </c>
      <c r="H87" s="44" t="str">
        <f>IF(COUNTIFS(Transactions[Book ID],Books[[#This Row],[Book ID]],Transactions[Return Date],"")&lt;Books[[#This Row],[Number of Copies]],"Available","Not Available")</f>
        <v>Available</v>
      </c>
    </row>
    <row r="88" spans="1:8">
      <c r="A88" s="2" t="s">
        <v>88</v>
      </c>
      <c r="B88" s="2" t="s">
        <v>187</v>
      </c>
      <c r="D88" s="2" t="s">
        <v>293</v>
      </c>
      <c r="E88" s="2" t="s">
        <v>840</v>
      </c>
      <c r="F88" s="2" t="s">
        <v>411</v>
      </c>
      <c r="G88" s="37">
        <v>4</v>
      </c>
      <c r="H88" s="44" t="str">
        <f>IF(COUNTIFS(Transactions[Book ID],Books[[#This Row],[Book ID]],Transactions[Return Date],"")&lt;Books[[#This Row],[Number of Copies]],"Available","Not Available")</f>
        <v>Available</v>
      </c>
    </row>
    <row r="89" spans="1:8">
      <c r="A89" s="2" t="s">
        <v>89</v>
      </c>
      <c r="B89" s="2" t="s">
        <v>188</v>
      </c>
      <c r="D89" s="2" t="s">
        <v>294</v>
      </c>
      <c r="E89" s="2" t="s">
        <v>841</v>
      </c>
      <c r="F89" s="2" t="s">
        <v>412</v>
      </c>
      <c r="G89" s="37">
        <v>4</v>
      </c>
      <c r="H89" s="44" t="str">
        <f>IF(COUNTIFS(Transactions[Book ID],Books[[#This Row],[Book ID]],Transactions[Return Date],"")&lt;Books[[#This Row],[Number of Copies]],"Available","Not Available")</f>
        <v>Available</v>
      </c>
    </row>
    <row r="90" spans="1:8">
      <c r="A90" s="2" t="s">
        <v>90</v>
      </c>
      <c r="B90" s="2" t="s">
        <v>189</v>
      </c>
      <c r="D90" s="2" t="s">
        <v>295</v>
      </c>
      <c r="E90" s="2" t="s">
        <v>842</v>
      </c>
      <c r="F90" s="2" t="s">
        <v>413</v>
      </c>
      <c r="G90" s="37">
        <v>5</v>
      </c>
      <c r="H90" s="44" t="str">
        <f>IF(COUNTIFS(Transactions[Book ID],Books[[#This Row],[Book ID]],Transactions[Return Date],"")&lt;Books[[#This Row],[Number of Copies]],"Available","Not Available")</f>
        <v>Available</v>
      </c>
    </row>
    <row r="91" spans="1:8">
      <c r="A91" s="2" t="s">
        <v>91</v>
      </c>
      <c r="B91" s="2" t="s">
        <v>190</v>
      </c>
      <c r="D91" s="2" t="s">
        <v>296</v>
      </c>
      <c r="E91" s="2" t="s">
        <v>843</v>
      </c>
      <c r="F91" s="2" t="s">
        <v>414</v>
      </c>
      <c r="G91" s="37">
        <v>5</v>
      </c>
      <c r="H91" s="44" t="str">
        <f>IF(COUNTIFS(Transactions[Book ID],Books[[#This Row],[Book ID]],Transactions[Return Date],"")&lt;Books[[#This Row],[Number of Copies]],"Available","Not Available")</f>
        <v>Available</v>
      </c>
    </row>
    <row r="92" spans="1:8">
      <c r="A92" s="2" t="s">
        <v>92</v>
      </c>
      <c r="B92" s="2" t="s">
        <v>191</v>
      </c>
      <c r="D92" s="2" t="s">
        <v>297</v>
      </c>
      <c r="E92" s="2" t="s">
        <v>761</v>
      </c>
      <c r="F92" s="2" t="s">
        <v>415</v>
      </c>
      <c r="G92" s="37">
        <v>4</v>
      </c>
      <c r="H92" s="44" t="str">
        <f>IF(COUNTIFS(Transactions[Book ID],Books[[#This Row],[Book ID]],Transactions[Return Date],"")&lt;Books[[#This Row],[Number of Copies]],"Available","Not Available")</f>
        <v>Available</v>
      </c>
    </row>
    <row r="93" spans="1:8">
      <c r="A93" s="2" t="s">
        <v>93</v>
      </c>
      <c r="B93" s="2" t="s">
        <v>192</v>
      </c>
      <c r="D93" s="2" t="s">
        <v>298</v>
      </c>
      <c r="E93" s="2" t="s">
        <v>844</v>
      </c>
      <c r="F93" s="2" t="s">
        <v>416</v>
      </c>
      <c r="G93" s="37">
        <v>5</v>
      </c>
      <c r="H93" s="44" t="str">
        <f>IF(COUNTIFS(Transactions[Book ID],Books[[#This Row],[Book ID]],Transactions[Return Date],"")&lt;Books[[#This Row],[Number of Copies]],"Available","Not Available")</f>
        <v>Available</v>
      </c>
    </row>
    <row r="94" spans="1:8">
      <c r="A94" s="2" t="s">
        <v>94</v>
      </c>
      <c r="B94" s="2" t="s">
        <v>193</v>
      </c>
      <c r="D94" s="2" t="s">
        <v>299</v>
      </c>
      <c r="E94" s="2" t="s">
        <v>845</v>
      </c>
      <c r="F94" s="2" t="s">
        <v>417</v>
      </c>
      <c r="G94" s="37">
        <v>5</v>
      </c>
      <c r="H94" s="44" t="str">
        <f>IF(COUNTIFS(Transactions[Book ID],Books[[#This Row],[Book ID]],Transactions[Return Date],"")&lt;Books[[#This Row],[Number of Copies]],"Available","Not Available")</f>
        <v>Not Available</v>
      </c>
    </row>
    <row r="95" spans="1:8">
      <c r="A95" s="2" t="s">
        <v>95</v>
      </c>
      <c r="B95" s="2" t="s">
        <v>194</v>
      </c>
      <c r="D95" s="2" t="s">
        <v>300</v>
      </c>
      <c r="E95" s="2" t="s">
        <v>846</v>
      </c>
      <c r="F95" s="2" t="s">
        <v>418</v>
      </c>
      <c r="G95" s="37">
        <v>3</v>
      </c>
      <c r="H95" s="44" t="str">
        <f>IF(COUNTIFS(Transactions[Book ID],Books[[#This Row],[Book ID]],Transactions[Return Date],"")&lt;Books[[#This Row],[Number of Copies]],"Available","Not Available")</f>
        <v>Available</v>
      </c>
    </row>
    <row r="96" spans="1:8">
      <c r="A96" s="2" t="s">
        <v>96</v>
      </c>
      <c r="B96" s="2" t="s">
        <v>195</v>
      </c>
      <c r="D96" s="2" t="s">
        <v>301</v>
      </c>
      <c r="E96" s="2" t="s">
        <v>847</v>
      </c>
      <c r="F96" s="2" t="s">
        <v>419</v>
      </c>
      <c r="G96" s="37">
        <v>5</v>
      </c>
      <c r="H96" s="44" t="str">
        <f>IF(COUNTIFS(Transactions[Book ID],Books[[#This Row],[Book ID]],Transactions[Return Date],"")&lt;Books[[#This Row],[Number of Copies]],"Available","Not Available")</f>
        <v>Available</v>
      </c>
    </row>
    <row r="97" spans="1:8">
      <c r="A97" s="2" t="s">
        <v>97</v>
      </c>
      <c r="B97" s="2" t="s">
        <v>196</v>
      </c>
      <c r="D97" s="2" t="s">
        <v>302</v>
      </c>
      <c r="E97" s="2" t="s">
        <v>848</v>
      </c>
      <c r="F97" s="2" t="s">
        <v>420</v>
      </c>
      <c r="G97" s="37">
        <v>3</v>
      </c>
      <c r="H97" s="44" t="str">
        <f>IF(COUNTIFS(Transactions[Book ID],Books[[#This Row],[Book ID]],Transactions[Return Date],"")&lt;Books[[#This Row],[Number of Copies]],"Available","Not Available")</f>
        <v>Available</v>
      </c>
    </row>
    <row r="98" spans="1:8">
      <c r="A98" s="2" t="s">
        <v>98</v>
      </c>
      <c r="B98" s="2" t="s">
        <v>197</v>
      </c>
      <c r="D98" s="2" t="s">
        <v>303</v>
      </c>
      <c r="E98" s="2" t="s">
        <v>849</v>
      </c>
      <c r="F98" s="2" t="s">
        <v>421</v>
      </c>
      <c r="G98" s="37">
        <v>3</v>
      </c>
      <c r="H98" s="44" t="str">
        <f>IF(COUNTIFS(Transactions[Book ID],Books[[#This Row],[Book ID]],Transactions[Return Date],"")&lt;Books[[#This Row],[Number of Copies]],"Available","Not Available")</f>
        <v>Available</v>
      </c>
    </row>
    <row r="99" spans="1:8">
      <c r="A99" s="2" t="s">
        <v>99</v>
      </c>
      <c r="B99" s="2" t="s">
        <v>198</v>
      </c>
      <c r="D99" s="2" t="s">
        <v>304</v>
      </c>
      <c r="E99" s="2" t="s">
        <v>850</v>
      </c>
      <c r="F99" s="2" t="s">
        <v>422</v>
      </c>
      <c r="G99" s="37">
        <v>4</v>
      </c>
      <c r="H99" s="44" t="str">
        <f>IF(COUNTIFS(Transactions[Book ID],Books[[#This Row],[Book ID]],Transactions[Return Date],"")&lt;Books[[#This Row],[Number of Copies]],"Available","Not Available")</f>
        <v>Available</v>
      </c>
    </row>
    <row r="100" spans="1:8">
      <c r="A100" s="2" t="s">
        <v>100</v>
      </c>
      <c r="B100" s="2" t="s">
        <v>199</v>
      </c>
      <c r="D100" s="2" t="s">
        <v>305</v>
      </c>
      <c r="E100" s="2" t="s">
        <v>851</v>
      </c>
      <c r="F100" s="2" t="s">
        <v>423</v>
      </c>
      <c r="G100" s="37">
        <v>3</v>
      </c>
      <c r="H100" s="44" t="str">
        <f>IF(COUNTIFS(Transactions[Book ID],Books[[#This Row],[Book ID]],Transactions[Return Date],"")&lt;Books[[#This Row],[Number of Copies]],"Available","Not Available")</f>
        <v>Available</v>
      </c>
    </row>
    <row r="101" spans="1:8">
      <c r="A101" s="2" t="s">
        <v>101</v>
      </c>
      <c r="B101" s="2" t="s">
        <v>200</v>
      </c>
      <c r="D101" s="2" t="s">
        <v>306</v>
      </c>
      <c r="E101" s="2" t="s">
        <v>852</v>
      </c>
      <c r="F101" s="2" t="s">
        <v>424</v>
      </c>
      <c r="G101" s="37">
        <v>5</v>
      </c>
      <c r="H101" s="44" t="str">
        <f>IF(COUNTIFS(Transactions[Book ID],Books[[#This Row],[Book ID]],Transactions[Return Date],"")&lt;Books[[#This Row],[Number of Copies]],"Available","Not Available")</f>
        <v>Available</v>
      </c>
    </row>
    <row r="102" spans="1:8">
      <c r="D102" s="2" t="s">
        <v>307</v>
      </c>
      <c r="E102" s="2" t="s">
        <v>853</v>
      </c>
      <c r="F102" s="2" t="s">
        <v>425</v>
      </c>
      <c r="G102" s="37">
        <v>4</v>
      </c>
      <c r="H102" s="44" t="str">
        <f>IF(COUNTIFS(Transactions[Book ID],Books[[#This Row],[Book ID]],Transactions[Return Date],"")&lt;Books[[#This Row],[Number of Copies]],"Available","Not Available")</f>
        <v>Available</v>
      </c>
    </row>
    <row r="103" spans="1:8">
      <c r="D103" s="2" t="s">
        <v>308</v>
      </c>
      <c r="E103" s="2" t="s">
        <v>854</v>
      </c>
      <c r="F103" s="2" t="s">
        <v>426</v>
      </c>
      <c r="G103" s="37">
        <v>4</v>
      </c>
      <c r="H103" s="44" t="str">
        <f>IF(COUNTIFS(Transactions[Book ID],Books[[#This Row],[Book ID]],Transactions[Return Date],"")&lt;Books[[#This Row],[Number of Copies]],"Available","Not Available")</f>
        <v>Available</v>
      </c>
    </row>
    <row r="104" spans="1:8">
      <c r="D104" s="2" t="s">
        <v>309</v>
      </c>
      <c r="E104" s="2" t="s">
        <v>855</v>
      </c>
      <c r="F104" s="2" t="s">
        <v>427</v>
      </c>
      <c r="G104" s="37">
        <v>5</v>
      </c>
      <c r="H104" s="44" t="str">
        <f>IF(COUNTIFS(Transactions[Book ID],Books[[#This Row],[Book ID]],Transactions[Return Date],"")&lt;Books[[#This Row],[Number of Copies]],"Available","Not Available")</f>
        <v>Available</v>
      </c>
    </row>
    <row r="105" spans="1:8">
      <c r="D105" s="2" t="s">
        <v>310</v>
      </c>
      <c r="E105" s="2" t="s">
        <v>856</v>
      </c>
      <c r="F105" s="2" t="s">
        <v>428</v>
      </c>
      <c r="G105" s="37">
        <v>3</v>
      </c>
      <c r="H105" s="44" t="str">
        <f>IF(COUNTIFS(Transactions[Book ID],Books[[#This Row],[Book ID]],Transactions[Return Date],"")&lt;Books[[#This Row],[Number of Copies]],"Available","Not Available")</f>
        <v>Available</v>
      </c>
    </row>
    <row r="106" spans="1:8">
      <c r="D106" s="2" t="s">
        <v>311</v>
      </c>
      <c r="E106" s="2" t="s">
        <v>857</v>
      </c>
      <c r="F106" s="2" t="s">
        <v>429</v>
      </c>
      <c r="G106" s="37">
        <v>4</v>
      </c>
      <c r="H106" s="44" t="str">
        <f>IF(COUNTIFS(Transactions[Book ID],Books[[#This Row],[Book ID]],Transactions[Return Date],"")&lt;Books[[#This Row],[Number of Copies]],"Available","Not Available")</f>
        <v>Available</v>
      </c>
    </row>
    <row r="107" spans="1:8">
      <c r="D107" s="2" t="s">
        <v>312</v>
      </c>
      <c r="E107" s="2" t="s">
        <v>858</v>
      </c>
      <c r="F107" s="2" t="s">
        <v>430</v>
      </c>
      <c r="G107" s="37">
        <v>3</v>
      </c>
      <c r="H107" s="44" t="str">
        <f>IF(COUNTIFS(Transactions[Book ID],Books[[#This Row],[Book ID]],Transactions[Return Date],"")&lt;Books[[#This Row],[Number of Copies]],"Available","Not Available")</f>
        <v>Available</v>
      </c>
    </row>
    <row r="108" spans="1:8">
      <c r="D108" s="2" t="s">
        <v>313</v>
      </c>
      <c r="E108" s="2" t="s">
        <v>859</v>
      </c>
      <c r="F108" s="2" t="s">
        <v>431</v>
      </c>
      <c r="G108" s="37">
        <v>3</v>
      </c>
      <c r="H108" s="44" t="str">
        <f>IF(COUNTIFS(Transactions[Book ID],Books[[#This Row],[Book ID]],Transactions[Return Date],"")&lt;Books[[#This Row],[Number of Copies]],"Available","Not Available")</f>
        <v>Available</v>
      </c>
    </row>
    <row r="109" spans="1:8">
      <c r="D109" s="2" t="s">
        <v>314</v>
      </c>
      <c r="E109" s="2" t="s">
        <v>860</v>
      </c>
      <c r="F109" s="2" t="s">
        <v>432</v>
      </c>
      <c r="G109" s="37">
        <v>5</v>
      </c>
      <c r="H109" s="44" t="str">
        <f>IF(COUNTIFS(Transactions[Book ID],Books[[#This Row],[Book ID]],Transactions[Return Date],"")&lt;Books[[#This Row],[Number of Copies]],"Available","Not Available")</f>
        <v>Available</v>
      </c>
    </row>
    <row r="110" spans="1:8">
      <c r="D110" s="2" t="s">
        <v>315</v>
      </c>
      <c r="E110" s="2" t="s">
        <v>861</v>
      </c>
      <c r="F110" s="2" t="s">
        <v>433</v>
      </c>
      <c r="G110" s="37">
        <v>3</v>
      </c>
      <c r="H110" s="44" t="str">
        <f>IF(COUNTIFS(Transactions[Book ID],Books[[#This Row],[Book ID]],Transactions[Return Date],"")&lt;Books[[#This Row],[Number of Copies]],"Available","Not Available")</f>
        <v>Available</v>
      </c>
    </row>
    <row r="111" spans="1:8">
      <c r="D111" s="2" t="s">
        <v>316</v>
      </c>
      <c r="E111" s="2" t="s">
        <v>862</v>
      </c>
      <c r="F111" s="2" t="s">
        <v>434</v>
      </c>
      <c r="G111" s="37">
        <v>4</v>
      </c>
      <c r="H111" s="44" t="str">
        <f>IF(COUNTIFS(Transactions[Book ID],Books[[#This Row],[Book ID]],Transactions[Return Date],"")&lt;Books[[#This Row],[Number of Copies]],"Available","Not Available")</f>
        <v>Available</v>
      </c>
    </row>
    <row r="112" spans="1:8">
      <c r="D112" s="2" t="s">
        <v>317</v>
      </c>
      <c r="E112" s="2" t="s">
        <v>863</v>
      </c>
      <c r="F112" s="2" t="s">
        <v>201</v>
      </c>
      <c r="G112" s="37">
        <v>3</v>
      </c>
      <c r="H112" s="44" t="str">
        <f>IF(COUNTIFS(Transactions[Book ID],Books[[#This Row],[Book ID]],Transactions[Return Date],"")&lt;Books[[#This Row],[Number of Copies]],"Available","Not Available")</f>
        <v>Available</v>
      </c>
    </row>
    <row r="113" spans="4:8">
      <c r="D113" s="2" t="s">
        <v>318</v>
      </c>
      <c r="E113" s="2" t="s">
        <v>864</v>
      </c>
      <c r="F113" s="2" t="s">
        <v>435</v>
      </c>
      <c r="G113" s="37">
        <v>5</v>
      </c>
      <c r="H113" s="44" t="str">
        <f>IF(COUNTIFS(Transactions[Book ID],Books[[#This Row],[Book ID]],Transactions[Return Date],"")&lt;Books[[#This Row],[Number of Copies]],"Available","Not Available")</f>
        <v>Available</v>
      </c>
    </row>
    <row r="114" spans="4:8">
      <c r="D114" s="2" t="s">
        <v>319</v>
      </c>
      <c r="E114" s="2" t="s">
        <v>865</v>
      </c>
      <c r="F114" s="2" t="s">
        <v>436</v>
      </c>
      <c r="G114" s="37">
        <v>5</v>
      </c>
      <c r="H114" s="44" t="str">
        <f>IF(COUNTIFS(Transactions[Book ID],Books[[#This Row],[Book ID]],Transactions[Return Date],"")&lt;Books[[#This Row],[Number of Copies]],"Available","Not Available")</f>
        <v>Available</v>
      </c>
    </row>
    <row r="115" spans="4:8">
      <c r="D115" s="2" t="s">
        <v>320</v>
      </c>
      <c r="E115" s="2" t="s">
        <v>866</v>
      </c>
      <c r="F115" s="2" t="s">
        <v>437</v>
      </c>
      <c r="G115" s="37">
        <v>4</v>
      </c>
      <c r="H115" s="44" t="str">
        <f>IF(COUNTIFS(Transactions[Book ID],Books[[#This Row],[Book ID]],Transactions[Return Date],"")&lt;Books[[#This Row],[Number of Copies]],"Available","Not Available")</f>
        <v>Available</v>
      </c>
    </row>
    <row r="116" spans="4:8">
      <c r="D116" s="2" t="s">
        <v>321</v>
      </c>
      <c r="E116" s="2" t="s">
        <v>867</v>
      </c>
      <c r="F116" s="2" t="s">
        <v>438</v>
      </c>
      <c r="G116" s="37">
        <v>5</v>
      </c>
      <c r="H116" s="44" t="str">
        <f>IF(COUNTIFS(Transactions[Book ID],Books[[#This Row],[Book ID]],Transactions[Return Date],"")&lt;Books[[#This Row],[Number of Copies]],"Available","Not Available")</f>
        <v>Available</v>
      </c>
    </row>
    <row r="117" spans="4:8">
      <c r="D117" s="2" t="s">
        <v>322</v>
      </c>
      <c r="E117" s="2" t="s">
        <v>868</v>
      </c>
      <c r="F117" s="2" t="s">
        <v>439</v>
      </c>
      <c r="G117" s="37">
        <v>5</v>
      </c>
      <c r="H117" s="44" t="str">
        <f>IF(COUNTIFS(Transactions[Book ID],Books[[#This Row],[Book ID]],Transactions[Return Date],"")&lt;Books[[#This Row],[Number of Copies]],"Available","Not Available")</f>
        <v>Available</v>
      </c>
    </row>
    <row r="118" spans="4:8">
      <c r="D118" s="2" t="s">
        <v>323</v>
      </c>
      <c r="E118" s="2" t="s">
        <v>869</v>
      </c>
      <c r="F118" s="2" t="s">
        <v>440</v>
      </c>
      <c r="G118" s="37">
        <v>3</v>
      </c>
      <c r="H118" s="44" t="str">
        <f>IF(COUNTIFS(Transactions[Book ID],Books[[#This Row],[Book ID]],Transactions[Return Date],"")&lt;Books[[#This Row],[Number of Copies]],"Available","Not Available")</f>
        <v>Available</v>
      </c>
    </row>
    <row r="119" spans="4:8">
      <c r="D119" s="2" t="s">
        <v>324</v>
      </c>
      <c r="E119" s="2" t="s">
        <v>870</v>
      </c>
      <c r="F119" s="2" t="s">
        <v>441</v>
      </c>
      <c r="G119" s="37">
        <v>5</v>
      </c>
      <c r="H119" s="44" t="str">
        <f>IF(COUNTIFS(Transactions[Book ID],Books[[#This Row],[Book ID]],Transactions[Return Date],"")&lt;Books[[#This Row],[Number of Copies]],"Available","Not Available")</f>
        <v>Available</v>
      </c>
    </row>
    <row r="120" spans="4:8">
      <c r="D120" s="2" t="s">
        <v>325</v>
      </c>
      <c r="E120" s="2" t="s">
        <v>871</v>
      </c>
      <c r="F120" s="2" t="s">
        <v>442</v>
      </c>
      <c r="G120" s="37">
        <v>5</v>
      </c>
      <c r="H120" s="44" t="str">
        <f>IF(COUNTIFS(Transactions[Book ID],Books[[#This Row],[Book ID]],Transactions[Return Date],"")&lt;Books[[#This Row],[Number of Copies]],"Available","Not Available")</f>
        <v>Available</v>
      </c>
    </row>
    <row r="121" spans="4:8">
      <c r="D121" s="2" t="s">
        <v>326</v>
      </c>
      <c r="E121" s="2" t="s">
        <v>872</v>
      </c>
      <c r="F121" s="2" t="s">
        <v>443</v>
      </c>
      <c r="G121" s="37">
        <v>5</v>
      </c>
      <c r="H121" s="44" t="str">
        <f>IF(COUNTIFS(Transactions[Book ID],Books[[#This Row],[Book ID]],Transactions[Return Date],"")&lt;Books[[#This Row],[Number of Copies]],"Available","Not Available")</f>
        <v>Available</v>
      </c>
    </row>
  </sheetData>
  <sortState xmlns:xlrd2="http://schemas.microsoft.com/office/spreadsheetml/2017/richdata2" ref="D2:H121">
    <sortCondition ref="D3:D121"/>
  </sortState>
  <pageMargins left="0.7" right="0.7" top="0.75" bottom="0.75" header="0.3" footer="0.3"/>
  <pageSetup orientation="portrait" horizontalDpi="300" verticalDpi="300" r:id="rId1"/>
  <tableParts count="2">
    <tablePart r:id="rId2"/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B4879-C934-402F-9F0E-D8BAE57D5C43}">
  <sheetPr>
    <tabColor theme="9" tint="0.39997558519241921"/>
  </sheetPr>
  <dimension ref="A1:M11"/>
  <sheetViews>
    <sheetView showGridLines="0" workbookViewId="0">
      <selection activeCell="H22" sqref="H22"/>
    </sheetView>
  </sheetViews>
  <sheetFormatPr defaultColWidth="8.7109375" defaultRowHeight="15"/>
  <cols>
    <col min="1" max="1" width="9.7109375" style="2" bestFit="1" customWidth="1"/>
    <col min="2" max="2" width="18.7109375" style="2" bestFit="1" customWidth="1"/>
    <col min="3" max="3" width="10.7109375" style="2" customWidth="1"/>
    <col min="4" max="4" width="12.28515625" style="2" customWidth="1"/>
    <col min="5" max="5" width="11.28515625" style="2" customWidth="1"/>
    <col min="6" max="6" width="5.7109375" style="2" customWidth="1"/>
    <col min="7" max="7" width="8.7109375" style="2"/>
    <col min="8" max="8" width="24.140625" style="2" bestFit="1" customWidth="1"/>
    <col min="9" max="9" width="12.85546875" style="2" bestFit="1" customWidth="1"/>
    <col min="10" max="10" width="16.5703125" style="2" bestFit="1" customWidth="1"/>
    <col min="11" max="11" width="8.7109375" style="2"/>
    <col min="12" max="12" width="9.140625" style="2" bestFit="1" customWidth="1"/>
    <col min="13" max="16384" width="8.7109375" style="2"/>
  </cols>
  <sheetData>
    <row r="1" spans="1:13" ht="60">
      <c r="A1" s="17" t="s">
        <v>0</v>
      </c>
      <c r="B1" s="19" t="s">
        <v>1</v>
      </c>
      <c r="C1" s="19" t="s">
        <v>873</v>
      </c>
      <c r="D1" s="19" t="s">
        <v>762</v>
      </c>
      <c r="E1" s="20" t="s">
        <v>875</v>
      </c>
      <c r="F1" s="1"/>
      <c r="G1" s="18" t="s">
        <v>203</v>
      </c>
      <c r="H1" s="21" t="s">
        <v>204</v>
      </c>
      <c r="I1" s="21" t="s">
        <v>763</v>
      </c>
      <c r="J1" s="22" t="s">
        <v>446</v>
      </c>
    </row>
    <row r="2" spans="1:13" s="16" customFormat="1" thickBot="1">
      <c r="A2" s="28" t="s">
        <v>63</v>
      </c>
      <c r="B2" s="29" t="str">
        <f>_xlfn.XLOOKUP(A2,Students[Student ID],Students[Student Name])</f>
        <v>Kenneth Mitchell Jr.</v>
      </c>
      <c r="C2" s="29">
        <f>COUNTIFS(Transactions[Student Name],B2,Transactions[Return Date],"")</f>
        <v>1</v>
      </c>
      <c r="D2" s="36">
        <f ca="1">_xlfn.XLOOKUP(A2,Transactions[Student ID],Transactions[Overdue Fines])</f>
        <v>0</v>
      </c>
      <c r="E2" s="32">
        <f ca="1">IF(OR(D2&gt;0,C2=5),0,5-C2)</f>
        <v>4</v>
      </c>
      <c r="G2" s="28" t="s">
        <v>209</v>
      </c>
      <c r="H2" s="29" t="str">
        <f>_xlfn.XLOOKUP(G2,Books[Book ID],Books[Title])</f>
        <v>Yet Dinner</v>
      </c>
      <c r="I2" s="33" t="str">
        <f>_xlfn.XLOOKUP(H2,Books[Title],Books[Status])</f>
        <v>Available</v>
      </c>
      <c r="J2" s="45" t="str" cm="1">
        <f t="array" aca="1" ref="J2" ca="1">IF(I2="Not Available",_xlfn._xlws.FILTER(Transactions[Due Date],(Transactions[Book ID]=Check!G2)*(Transactions[Due Date]&gt;=TODAY()),"Overdue"),"")</f>
        <v/>
      </c>
    </row>
    <row r="3" spans="1:13">
      <c r="J3" s="51"/>
    </row>
    <row r="4" spans="1:13">
      <c r="J4" s="34"/>
      <c r="M4" s="30"/>
    </row>
    <row r="5" spans="1:13">
      <c r="I5" s="31"/>
    </row>
    <row r="7" spans="1:13">
      <c r="I7" s="31"/>
    </row>
    <row r="9" spans="1:13">
      <c r="H9" s="35"/>
    </row>
    <row r="10" spans="1:13">
      <c r="H10" s="35"/>
    </row>
    <row r="11" spans="1:13">
      <c r="H11" s="35"/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28CDFF3A-A715-45EC-9C86-351303BB2956}">
          <x14:formula1>
            <xm:f>Data!$A$2:$A$101</xm:f>
          </x14:formula1>
          <xm:sqref>A2</xm:sqref>
        </x14:dataValidation>
        <x14:dataValidation type="list" allowBlank="1" showInputMessage="1" showErrorMessage="1" xr:uid="{9F462996-E970-48FB-9431-E699246EB3C1}">
          <x14:formula1>
            <xm:f>Data!$D$2:$D$121</xm:f>
          </x14:formula1>
          <xm:sqref>G2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9" tint="-0.249977111117893"/>
  </sheetPr>
  <dimension ref="A1:J301"/>
  <sheetViews>
    <sheetView showGridLines="0" tabSelected="1" workbookViewId="0">
      <selection activeCell="N13" sqref="N13"/>
    </sheetView>
  </sheetViews>
  <sheetFormatPr defaultColWidth="8.7109375" defaultRowHeight="15"/>
  <cols>
    <col min="1" max="4" width="15.7109375" style="2" customWidth="1"/>
    <col min="5" max="5" width="32" style="2" bestFit="1" customWidth="1"/>
    <col min="6" max="6" width="15.7109375" style="3" customWidth="1"/>
    <col min="7" max="7" width="15.7109375" style="43" customWidth="1"/>
    <col min="8" max="8" width="15.7109375" style="3" customWidth="1"/>
    <col min="9" max="9" width="17.28515625" style="50" bestFit="1" customWidth="1"/>
    <col min="10" max="10" width="17.7109375" style="48" bestFit="1" customWidth="1"/>
    <col min="11" max="11" width="8.7109375" style="2"/>
    <col min="12" max="12" width="13.7109375" style="2" customWidth="1"/>
    <col min="13" max="16384" width="8.7109375" style="2"/>
  </cols>
  <sheetData>
    <row r="1" spans="1:10">
      <c r="A1" s="2" t="s">
        <v>444</v>
      </c>
      <c r="B1" s="37" t="s">
        <v>0</v>
      </c>
      <c r="C1" s="37" t="s">
        <v>1</v>
      </c>
      <c r="D1" s="37" t="s">
        <v>203</v>
      </c>
      <c r="E1" s="37" t="s">
        <v>204</v>
      </c>
      <c r="F1" s="39" t="s">
        <v>445</v>
      </c>
      <c r="G1" s="41" t="s">
        <v>446</v>
      </c>
      <c r="H1" s="39" t="s">
        <v>447</v>
      </c>
      <c r="I1" s="40" t="s">
        <v>749</v>
      </c>
      <c r="J1" s="46" t="s">
        <v>762</v>
      </c>
    </row>
    <row r="2" spans="1:10">
      <c r="A2" s="2" t="s">
        <v>595</v>
      </c>
      <c r="B2" s="2" t="s">
        <v>101</v>
      </c>
      <c r="C2" s="2" t="str">
        <f>VLOOKUP(B2,Data!$A$2:$B$101,2,0)</f>
        <v>Alyssa Davis</v>
      </c>
      <c r="D2" s="2" t="s">
        <v>208</v>
      </c>
      <c r="E2" s="2" t="str">
        <f>VLOOKUP(D2,Data!$D$2:$E$121,2,0)</f>
        <v>Ready Firm</v>
      </c>
      <c r="F2" s="3">
        <v>45333</v>
      </c>
      <c r="G2" s="42">
        <f>Transactions[[#This Row],[Borrow Date]]+21</f>
        <v>45354</v>
      </c>
      <c r="H2" s="3">
        <v>45348</v>
      </c>
      <c r="I2" s="49" cm="1">
        <f t="array" aca="1" ref="I2" ca="1">_xlfn.IFS(Transactions[[#This Row],[Return Date]]&lt;=Transactions[[#This Row],[Due Date]],0,AND(Transactions[[#This Row],[Return Date]]="",TODAY()&lt;=Transactions[[#This Row],[Due Date]]),0,Transactions[[#This Row],[Return Date]]&gt;Transactions[[#This Row],[Due Date]],Transactions[[#This Row],[Return Date]]-Transactions[[#This Row],[Due Date]],AND(Transactions[[#This Row],[Return Date]]="",TODAY()&gt;Transactions[[#This Row],[Due Date]]),TODAY()-Transactions[[#This Row],[Due Date]])</f>
        <v>0</v>
      </c>
      <c r="J2" s="47">
        <f ca="1">Transactions[[#This Row],[Overdue Days]]</f>
        <v>0</v>
      </c>
    </row>
    <row r="3" spans="1:10">
      <c r="A3" s="2" t="s">
        <v>670</v>
      </c>
      <c r="B3" s="2" t="s">
        <v>31</v>
      </c>
      <c r="C3" s="2" t="str">
        <f>VLOOKUP(B3,Data!$A$2:$B$101,2,0)</f>
        <v>John Wright</v>
      </c>
      <c r="D3" s="2" t="s">
        <v>208</v>
      </c>
      <c r="E3" s="2" t="str">
        <f>VLOOKUP(D3,Data!$D$2:$E$121,2,0)</f>
        <v>Ready Firm</v>
      </c>
      <c r="F3" s="3">
        <v>45651</v>
      </c>
      <c r="G3" s="42">
        <f>Transactions[[#This Row],[Borrow Date]]+21</f>
        <v>45672</v>
      </c>
      <c r="H3" s="3" t="s">
        <v>748</v>
      </c>
      <c r="I3" s="49" t="e" cm="1">
        <f t="array" aca="1" ref="I3" ca="1">_xlfn.IFS(Transactions[[#This Row],[Return Date]]&lt;=Transactions[[#This Row],[Due Date]],0,AND(Transactions[[#This Row],[Return Date]]="",TODAY()&lt;=Transactions[[#This Row],[Due Date]]),0,Transactions[[#This Row],[Return Date]]&gt;Transactions[[#This Row],[Due Date]],Transactions[[#This Row],[Return Date]]-Transactions[[#This Row],[Due Date]],AND(Transactions[[#This Row],[Return Date]]="",TODAY()&gt;Transactions[[#This Row],[Due Date]]),TODAY()-Transactions[[#This Row],[Due Date]])</f>
        <v>#VALUE!</v>
      </c>
      <c r="J3" s="47" t="e">
        <f ca="1">Transactions[[#This Row],[Overdue Days]]</f>
        <v>#VALUE!</v>
      </c>
    </row>
    <row r="4" spans="1:10">
      <c r="A4" s="2" t="s">
        <v>677</v>
      </c>
      <c r="B4" s="2" t="s">
        <v>89</v>
      </c>
      <c r="C4" s="2" t="str">
        <f>VLOOKUP(B4,Data!$A$2:$B$101,2,0)</f>
        <v>Cheyenne Garcia</v>
      </c>
      <c r="D4" s="2" t="s">
        <v>208</v>
      </c>
      <c r="E4" s="2" t="str">
        <f>VLOOKUP(D4,Data!$D$2:$E$121,2,0)</f>
        <v>Ready Firm</v>
      </c>
      <c r="F4" s="3">
        <v>45377</v>
      </c>
      <c r="G4" s="42">
        <f>Transactions[[#This Row],[Borrow Date]]+21</f>
        <v>45398</v>
      </c>
      <c r="H4" s="3">
        <v>45401</v>
      </c>
      <c r="I4" s="49" cm="1">
        <f t="array" aca="1" ref="I4" ca="1">_xlfn.IFS(Transactions[[#This Row],[Return Date]]&lt;=Transactions[[#This Row],[Due Date]],0,AND(Transactions[[#This Row],[Return Date]]="",TODAY()&lt;=Transactions[[#This Row],[Due Date]]),0,Transactions[[#This Row],[Return Date]]&gt;Transactions[[#This Row],[Due Date]],Transactions[[#This Row],[Return Date]]-Transactions[[#This Row],[Due Date]],AND(Transactions[[#This Row],[Return Date]]="",TODAY()&gt;Transactions[[#This Row],[Due Date]]),TODAY()-Transactions[[#This Row],[Due Date]])</f>
        <v>3</v>
      </c>
      <c r="J4" s="47">
        <f ca="1">Transactions[[#This Row],[Overdue Days]]</f>
        <v>3</v>
      </c>
    </row>
    <row r="5" spans="1:10">
      <c r="A5" s="2" t="s">
        <v>496</v>
      </c>
      <c r="B5" s="2" t="s">
        <v>45</v>
      </c>
      <c r="C5" s="2" t="str">
        <f>VLOOKUP(B5,Data!$A$2:$B$101,2,0)</f>
        <v>Patrick Garcia</v>
      </c>
      <c r="D5" s="2" t="s">
        <v>209</v>
      </c>
      <c r="E5" s="2" t="str">
        <f>VLOOKUP(D5,Data!$D$2:$E$121,2,0)</f>
        <v>Yet Dinner</v>
      </c>
      <c r="F5" s="3">
        <v>45465</v>
      </c>
      <c r="G5" s="42">
        <f>Transactions[[#This Row],[Borrow Date]]+21</f>
        <v>45486</v>
      </c>
      <c r="H5" s="3">
        <v>45488</v>
      </c>
      <c r="I5" s="49" cm="1">
        <f t="array" aca="1" ref="I5" ca="1">_xlfn.IFS(Transactions[[#This Row],[Return Date]]&lt;=Transactions[[#This Row],[Due Date]],0,AND(Transactions[[#This Row],[Return Date]]="",TODAY()&lt;=Transactions[[#This Row],[Due Date]]),0,Transactions[[#This Row],[Return Date]]&gt;Transactions[[#This Row],[Due Date]],Transactions[[#This Row],[Return Date]]-Transactions[[#This Row],[Due Date]],AND(Transactions[[#This Row],[Return Date]]="",TODAY()&gt;Transactions[[#This Row],[Due Date]]),TODAY()-Transactions[[#This Row],[Due Date]])</f>
        <v>2</v>
      </c>
      <c r="J5" s="47">
        <f ca="1">Transactions[[#This Row],[Overdue Days]]</f>
        <v>2</v>
      </c>
    </row>
    <row r="6" spans="1:10">
      <c r="A6" s="2" t="s">
        <v>557</v>
      </c>
      <c r="B6" s="2" t="s">
        <v>11</v>
      </c>
      <c r="C6" s="2" t="str">
        <f>VLOOKUP(B6,Data!$A$2:$B$101,2,0)</f>
        <v>Erin Chandler</v>
      </c>
      <c r="D6" s="2" t="s">
        <v>209</v>
      </c>
      <c r="E6" s="2" t="str">
        <f>VLOOKUP(D6,Data!$D$2:$E$121,2,0)</f>
        <v>Yet Dinner</v>
      </c>
      <c r="F6" s="3">
        <v>45523</v>
      </c>
      <c r="G6" s="42">
        <f>Transactions[[#This Row],[Borrow Date]]+21</f>
        <v>45544</v>
      </c>
      <c r="H6" s="3">
        <v>45549</v>
      </c>
      <c r="I6" s="49" cm="1">
        <f t="array" aca="1" ref="I6" ca="1">_xlfn.IFS(Transactions[[#This Row],[Return Date]]&lt;=Transactions[[#This Row],[Due Date]],0,AND(Transactions[[#This Row],[Return Date]]="",TODAY()&lt;=Transactions[[#This Row],[Due Date]]),0,Transactions[[#This Row],[Return Date]]&gt;Transactions[[#This Row],[Due Date]],Transactions[[#This Row],[Return Date]]-Transactions[[#This Row],[Due Date]],AND(Transactions[[#This Row],[Return Date]]="",TODAY()&gt;Transactions[[#This Row],[Due Date]]),TODAY()-Transactions[[#This Row],[Due Date]])</f>
        <v>5</v>
      </c>
      <c r="J6" s="47">
        <f ca="1">Transactions[[#This Row],[Overdue Days]]</f>
        <v>5</v>
      </c>
    </row>
    <row r="7" spans="1:10">
      <c r="A7" s="2" t="s">
        <v>574</v>
      </c>
      <c r="B7" s="2" t="s">
        <v>90</v>
      </c>
      <c r="C7" s="2" t="str">
        <f>VLOOKUP(B7,Data!$A$2:$B$101,2,0)</f>
        <v>Edward Price</v>
      </c>
      <c r="D7" s="2" t="s">
        <v>209</v>
      </c>
      <c r="E7" s="2" t="str">
        <f>VLOOKUP(D7,Data!$D$2:$E$121,2,0)</f>
        <v>Yet Dinner</v>
      </c>
      <c r="F7" s="3">
        <v>45523</v>
      </c>
      <c r="G7" s="42">
        <f>Transactions[[#This Row],[Borrow Date]]+21</f>
        <v>45544</v>
      </c>
      <c r="H7" s="3">
        <v>45538</v>
      </c>
      <c r="I7" s="49" cm="1">
        <f t="array" aca="1" ref="I7" ca="1">_xlfn.IFS(Transactions[[#This Row],[Return Date]]&lt;=Transactions[[#This Row],[Due Date]],0,AND(Transactions[[#This Row],[Return Date]]="",TODAY()&lt;=Transactions[[#This Row],[Due Date]]),0,Transactions[[#This Row],[Return Date]]&gt;Transactions[[#This Row],[Due Date]],Transactions[[#This Row],[Return Date]]-Transactions[[#This Row],[Due Date]],AND(Transactions[[#This Row],[Return Date]]="",TODAY()&gt;Transactions[[#This Row],[Due Date]]),TODAY()-Transactions[[#This Row],[Due Date]])</f>
        <v>0</v>
      </c>
      <c r="J7" s="47">
        <f ca="1">Transactions[[#This Row],[Overdue Days]]</f>
        <v>0</v>
      </c>
    </row>
    <row r="8" spans="1:10">
      <c r="A8" s="2" t="s">
        <v>581</v>
      </c>
      <c r="B8" s="2" t="s">
        <v>79</v>
      </c>
      <c r="C8" s="2" t="str">
        <f>VLOOKUP(B8,Data!$A$2:$B$101,2,0)</f>
        <v>Christopher Fleming</v>
      </c>
      <c r="D8" s="2" t="s">
        <v>209</v>
      </c>
      <c r="E8" s="2" t="str">
        <f>VLOOKUP(D8,Data!$D$2:$E$121,2,0)</f>
        <v>Yet Dinner</v>
      </c>
      <c r="F8" s="3">
        <v>45478</v>
      </c>
      <c r="G8" s="42">
        <f>Transactions[[#This Row],[Borrow Date]]+21</f>
        <v>45499</v>
      </c>
      <c r="H8" s="3">
        <v>45498</v>
      </c>
      <c r="I8" s="49" cm="1">
        <f t="array" aca="1" ref="I8" ca="1">_xlfn.IFS(Transactions[[#This Row],[Return Date]]&lt;=Transactions[[#This Row],[Due Date]],0,AND(Transactions[[#This Row],[Return Date]]="",TODAY()&lt;=Transactions[[#This Row],[Due Date]]),0,Transactions[[#This Row],[Return Date]]&gt;Transactions[[#This Row],[Due Date]],Transactions[[#This Row],[Return Date]]-Transactions[[#This Row],[Due Date]],AND(Transactions[[#This Row],[Return Date]]="",TODAY()&gt;Transactions[[#This Row],[Due Date]]),TODAY()-Transactions[[#This Row],[Due Date]])</f>
        <v>0</v>
      </c>
      <c r="J8" s="47">
        <f ca="1">Transactions[[#This Row],[Overdue Days]]</f>
        <v>0</v>
      </c>
    </row>
    <row r="9" spans="1:10">
      <c r="A9" s="2" t="s">
        <v>676</v>
      </c>
      <c r="B9" s="2" t="s">
        <v>90</v>
      </c>
      <c r="C9" s="2" t="str">
        <f>VLOOKUP(B9,Data!$A$2:$B$101,2,0)</f>
        <v>Edward Price</v>
      </c>
      <c r="D9" s="2" t="s">
        <v>209</v>
      </c>
      <c r="E9" s="2" t="str">
        <f>VLOOKUP(D9,Data!$D$2:$E$121,2,0)</f>
        <v>Yet Dinner</v>
      </c>
      <c r="F9" s="3">
        <v>45621</v>
      </c>
      <c r="G9" s="42">
        <f>Transactions[[#This Row],[Borrow Date]]+21</f>
        <v>45642</v>
      </c>
      <c r="H9" s="3">
        <v>45646</v>
      </c>
      <c r="I9" s="49" cm="1">
        <f t="array" aca="1" ref="I9" ca="1">_xlfn.IFS(Transactions[[#This Row],[Return Date]]&lt;=Transactions[[#This Row],[Due Date]],0,AND(Transactions[[#This Row],[Return Date]]="",TODAY()&lt;=Transactions[[#This Row],[Due Date]]),0,Transactions[[#This Row],[Return Date]]&gt;Transactions[[#This Row],[Due Date]],Transactions[[#This Row],[Return Date]]-Transactions[[#This Row],[Due Date]],AND(Transactions[[#This Row],[Return Date]]="",TODAY()&gt;Transactions[[#This Row],[Due Date]]),TODAY()-Transactions[[#This Row],[Due Date]])</f>
        <v>4</v>
      </c>
      <c r="J9" s="47">
        <f ca="1">Transactions[[#This Row],[Overdue Days]]</f>
        <v>4</v>
      </c>
    </row>
    <row r="10" spans="1:10">
      <c r="A10" s="2" t="s">
        <v>690</v>
      </c>
      <c r="B10" s="2" t="s">
        <v>18</v>
      </c>
      <c r="C10" s="2" t="str">
        <f>VLOOKUP(B10,Data!$A$2:$B$101,2,0)</f>
        <v>Katelyn Flores</v>
      </c>
      <c r="D10" s="2" t="s">
        <v>210</v>
      </c>
      <c r="E10" s="2" t="str">
        <f>VLOOKUP(D10,Data!$D$2:$E$121,2,0)</f>
        <v>Policy Behind Charge Shoulder</v>
      </c>
      <c r="F10" s="3">
        <v>45491</v>
      </c>
      <c r="G10" s="42">
        <f>Transactions[[#This Row],[Borrow Date]]+21</f>
        <v>45512</v>
      </c>
      <c r="H10" s="3">
        <v>45514</v>
      </c>
      <c r="I10" s="49" cm="1">
        <f t="array" aca="1" ref="I10" ca="1">_xlfn.IFS(Transactions[[#This Row],[Return Date]]&lt;=Transactions[[#This Row],[Due Date]],0,AND(Transactions[[#This Row],[Return Date]]="",TODAY()&lt;=Transactions[[#This Row],[Due Date]]),0,Transactions[[#This Row],[Return Date]]&gt;Transactions[[#This Row],[Due Date]],Transactions[[#This Row],[Return Date]]-Transactions[[#This Row],[Due Date]],AND(Transactions[[#This Row],[Return Date]]="",TODAY()&gt;Transactions[[#This Row],[Due Date]]),TODAY()-Transactions[[#This Row],[Due Date]])</f>
        <v>2</v>
      </c>
      <c r="J10" s="47">
        <f ca="1">Transactions[[#This Row],[Overdue Days]]</f>
        <v>2</v>
      </c>
    </row>
    <row r="11" spans="1:10">
      <c r="A11" s="2" t="s">
        <v>696</v>
      </c>
      <c r="B11" s="2" t="s">
        <v>38</v>
      </c>
      <c r="C11" s="2" t="str">
        <f>VLOOKUP(B11,Data!$A$2:$B$101,2,0)</f>
        <v>Tommy Miller</v>
      </c>
      <c r="D11" s="2" t="s">
        <v>210</v>
      </c>
      <c r="E11" s="2" t="str">
        <f>VLOOKUP(D11,Data!$D$2:$E$121,2,0)</f>
        <v>Policy Behind Charge Shoulder</v>
      </c>
      <c r="F11" s="3">
        <v>45483</v>
      </c>
      <c r="G11" s="42">
        <f>Transactions[[#This Row],[Borrow Date]]+21</f>
        <v>45504</v>
      </c>
      <c r="H11" s="3">
        <v>45500</v>
      </c>
      <c r="I11" s="49" cm="1">
        <f t="array" aca="1" ref="I11" ca="1">_xlfn.IFS(Transactions[[#This Row],[Return Date]]&lt;=Transactions[[#This Row],[Due Date]],0,AND(Transactions[[#This Row],[Return Date]]="",TODAY()&lt;=Transactions[[#This Row],[Due Date]]),0,Transactions[[#This Row],[Return Date]]&gt;Transactions[[#This Row],[Due Date]],Transactions[[#This Row],[Return Date]]-Transactions[[#This Row],[Due Date]],AND(Transactions[[#This Row],[Return Date]]="",TODAY()&gt;Transactions[[#This Row],[Due Date]]),TODAY()-Transactions[[#This Row],[Due Date]])</f>
        <v>0</v>
      </c>
      <c r="J11" s="47">
        <f ca="1">Transactions[[#This Row],[Overdue Days]]</f>
        <v>0</v>
      </c>
    </row>
    <row r="12" spans="1:10">
      <c r="A12" s="2" t="s">
        <v>538</v>
      </c>
      <c r="B12" s="2" t="s">
        <v>60</v>
      </c>
      <c r="C12" s="2" t="str">
        <f>VLOOKUP(B12,Data!$A$2:$B$101,2,0)</f>
        <v>Dillon Payne</v>
      </c>
      <c r="D12" s="2" t="s">
        <v>211</v>
      </c>
      <c r="E12" s="2" t="str">
        <f>VLOOKUP(D12,Data!$D$2:$E$121,2,0)</f>
        <v>Form Method Task</v>
      </c>
      <c r="F12" s="3">
        <v>45585</v>
      </c>
      <c r="G12" s="42">
        <f>Transactions[[#This Row],[Borrow Date]]+21</f>
        <v>45606</v>
      </c>
      <c r="H12" s="3">
        <v>45600</v>
      </c>
      <c r="I12" s="49" cm="1">
        <f t="array" aca="1" ref="I12" ca="1">_xlfn.IFS(Transactions[[#This Row],[Return Date]]&lt;=Transactions[[#This Row],[Due Date]],0,AND(Transactions[[#This Row],[Return Date]]="",TODAY()&lt;=Transactions[[#This Row],[Due Date]]),0,Transactions[[#This Row],[Return Date]]&gt;Transactions[[#This Row],[Due Date]],Transactions[[#This Row],[Return Date]]-Transactions[[#This Row],[Due Date]],AND(Transactions[[#This Row],[Return Date]]="",TODAY()&gt;Transactions[[#This Row],[Due Date]]),TODAY()-Transactions[[#This Row],[Due Date]])</f>
        <v>0</v>
      </c>
      <c r="J12" s="47">
        <f ca="1">Transactions[[#This Row],[Overdue Days]]</f>
        <v>0</v>
      </c>
    </row>
    <row r="13" spans="1:10">
      <c r="A13" s="2" t="s">
        <v>448</v>
      </c>
      <c r="B13" s="2" t="s">
        <v>50</v>
      </c>
      <c r="C13" s="2" t="str">
        <f>VLOOKUP(B13,Data!$A$2:$B$101,2,0)</f>
        <v>Susan Moreno</v>
      </c>
      <c r="D13" s="2" t="s">
        <v>212</v>
      </c>
      <c r="E13" s="2" t="str">
        <f>VLOOKUP(D13,Data!$D$2:$E$121,2,0)</f>
        <v>Politics Car Sure</v>
      </c>
      <c r="F13" s="3">
        <v>45653</v>
      </c>
      <c r="G13" s="42">
        <f>Transactions[[#This Row],[Borrow Date]]+21</f>
        <v>45674</v>
      </c>
      <c r="H13" s="3" t="s">
        <v>748</v>
      </c>
      <c r="I13" s="49" t="e" cm="1">
        <f t="array" aca="1" ref="I13" ca="1">_xlfn.IFS(Transactions[[#This Row],[Return Date]]&lt;=Transactions[[#This Row],[Due Date]],0,AND(Transactions[[#This Row],[Return Date]]="",TODAY()&lt;=Transactions[[#This Row],[Due Date]]),0,Transactions[[#This Row],[Return Date]]&gt;Transactions[[#This Row],[Due Date]],Transactions[[#This Row],[Return Date]]-Transactions[[#This Row],[Due Date]],AND(Transactions[[#This Row],[Return Date]]="",TODAY()&gt;Transactions[[#This Row],[Due Date]]),TODAY()-Transactions[[#This Row],[Due Date]])</f>
        <v>#VALUE!</v>
      </c>
      <c r="J13" s="47" t="e">
        <f ca="1">Transactions[[#This Row],[Overdue Days]]</f>
        <v>#VALUE!</v>
      </c>
    </row>
    <row r="14" spans="1:10">
      <c r="A14" s="2" t="s">
        <v>527</v>
      </c>
      <c r="B14" s="2" t="s">
        <v>21</v>
      </c>
      <c r="C14" s="2" t="str">
        <f>VLOOKUP(B14,Data!$A$2:$B$101,2,0)</f>
        <v>Jesse Kennedy</v>
      </c>
      <c r="D14" s="2" t="s">
        <v>213</v>
      </c>
      <c r="E14" s="2" t="str">
        <f>VLOOKUP(D14,Data!$D$2:$E$121,2,0)</f>
        <v>Ball Social</v>
      </c>
      <c r="F14" s="3">
        <v>45571</v>
      </c>
      <c r="G14" s="42">
        <f>Transactions[[#This Row],[Borrow Date]]+21</f>
        <v>45592</v>
      </c>
      <c r="H14" s="3">
        <v>45596</v>
      </c>
      <c r="I14" s="49" cm="1">
        <f t="array" aca="1" ref="I14" ca="1">_xlfn.IFS(Transactions[[#This Row],[Return Date]]&lt;=Transactions[[#This Row],[Due Date]],0,AND(Transactions[[#This Row],[Return Date]]="",TODAY()&lt;=Transactions[[#This Row],[Due Date]]),0,Transactions[[#This Row],[Return Date]]&gt;Transactions[[#This Row],[Due Date]],Transactions[[#This Row],[Return Date]]-Transactions[[#This Row],[Due Date]],AND(Transactions[[#This Row],[Return Date]]="",TODAY()&gt;Transactions[[#This Row],[Due Date]]),TODAY()-Transactions[[#This Row],[Due Date]])</f>
        <v>4</v>
      </c>
      <c r="J14" s="47">
        <f ca="1">Transactions[[#This Row],[Overdue Days]]</f>
        <v>4</v>
      </c>
    </row>
    <row r="15" spans="1:10">
      <c r="A15" s="2" t="s">
        <v>586</v>
      </c>
      <c r="B15" s="2" t="s">
        <v>22</v>
      </c>
      <c r="C15" s="2" t="str">
        <f>VLOOKUP(B15,Data!$A$2:$B$101,2,0)</f>
        <v>David Lopez</v>
      </c>
      <c r="D15" s="2" t="s">
        <v>213</v>
      </c>
      <c r="E15" s="2" t="str">
        <f>VLOOKUP(D15,Data!$D$2:$E$121,2,0)</f>
        <v>Ball Social</v>
      </c>
      <c r="F15" s="3">
        <v>45454</v>
      </c>
      <c r="G15" s="42">
        <f>Transactions[[#This Row],[Borrow Date]]+21</f>
        <v>45475</v>
      </c>
      <c r="H15" s="3">
        <v>45477</v>
      </c>
      <c r="I15" s="49" cm="1">
        <f t="array" aca="1" ref="I15" ca="1">_xlfn.IFS(Transactions[[#This Row],[Return Date]]&lt;=Transactions[[#This Row],[Due Date]],0,AND(Transactions[[#This Row],[Return Date]]="",TODAY()&lt;=Transactions[[#This Row],[Due Date]]),0,Transactions[[#This Row],[Return Date]]&gt;Transactions[[#This Row],[Due Date]],Transactions[[#This Row],[Return Date]]-Transactions[[#This Row],[Due Date]],AND(Transactions[[#This Row],[Return Date]]="",TODAY()&gt;Transactions[[#This Row],[Due Date]]),TODAY()-Transactions[[#This Row],[Due Date]])</f>
        <v>2</v>
      </c>
      <c r="J15" s="47">
        <f ca="1">Transactions[[#This Row],[Overdue Days]]</f>
        <v>2</v>
      </c>
    </row>
    <row r="16" spans="1:10">
      <c r="A16" s="2" t="s">
        <v>663</v>
      </c>
      <c r="B16" s="2" t="s">
        <v>61</v>
      </c>
      <c r="C16" s="2" t="str">
        <f>VLOOKUP(B16,Data!$A$2:$B$101,2,0)</f>
        <v>Scott Howell</v>
      </c>
      <c r="D16" s="2" t="s">
        <v>213</v>
      </c>
      <c r="E16" s="2" t="str">
        <f>VLOOKUP(D16,Data!$D$2:$E$121,2,0)</f>
        <v>Ball Social</v>
      </c>
      <c r="F16" s="3">
        <v>45362</v>
      </c>
      <c r="G16" s="42">
        <f>Transactions[[#This Row],[Borrow Date]]+21</f>
        <v>45383</v>
      </c>
      <c r="H16" s="3">
        <v>45388</v>
      </c>
      <c r="I16" s="49" cm="1">
        <f t="array" aca="1" ref="I16" ca="1">_xlfn.IFS(Transactions[[#This Row],[Return Date]]&lt;=Transactions[[#This Row],[Due Date]],0,AND(Transactions[[#This Row],[Return Date]]="",TODAY()&lt;=Transactions[[#This Row],[Due Date]]),0,Transactions[[#This Row],[Return Date]]&gt;Transactions[[#This Row],[Due Date]],Transactions[[#This Row],[Return Date]]-Transactions[[#This Row],[Due Date]],AND(Transactions[[#This Row],[Return Date]]="",TODAY()&gt;Transactions[[#This Row],[Due Date]]),TODAY()-Transactions[[#This Row],[Due Date]])</f>
        <v>5</v>
      </c>
      <c r="J16" s="47">
        <f ca="1">Transactions[[#This Row],[Overdue Days]]</f>
        <v>5</v>
      </c>
    </row>
    <row r="17" spans="1:10">
      <c r="A17" s="2" t="s">
        <v>475</v>
      </c>
      <c r="B17" s="2" t="s">
        <v>33</v>
      </c>
      <c r="C17" s="2" t="str">
        <f>VLOOKUP(B17,Data!$A$2:$B$101,2,0)</f>
        <v>Jason Oconnor</v>
      </c>
      <c r="D17" s="2" t="s">
        <v>214</v>
      </c>
      <c r="E17" s="2" t="str">
        <f>VLOOKUP(D17,Data!$D$2:$E$121,2,0)</f>
        <v>Close Music Direction</v>
      </c>
      <c r="F17" s="3">
        <v>45653</v>
      </c>
      <c r="G17" s="42">
        <f>Transactions[[#This Row],[Borrow Date]]+21</f>
        <v>45674</v>
      </c>
      <c r="H17" s="3" t="s">
        <v>748</v>
      </c>
      <c r="I17" s="49" t="e" cm="1">
        <f t="array" aca="1" ref="I17" ca="1">_xlfn.IFS(Transactions[[#This Row],[Return Date]]&lt;=Transactions[[#This Row],[Due Date]],0,AND(Transactions[[#This Row],[Return Date]]="",TODAY()&lt;=Transactions[[#This Row],[Due Date]]),0,Transactions[[#This Row],[Return Date]]&gt;Transactions[[#This Row],[Due Date]],Transactions[[#This Row],[Return Date]]-Transactions[[#This Row],[Due Date]],AND(Transactions[[#This Row],[Return Date]]="",TODAY()&gt;Transactions[[#This Row],[Due Date]]),TODAY()-Transactions[[#This Row],[Due Date]])</f>
        <v>#VALUE!</v>
      </c>
      <c r="J17" s="47" t="e">
        <f ca="1">Transactions[[#This Row],[Overdue Days]]</f>
        <v>#VALUE!</v>
      </c>
    </row>
    <row r="18" spans="1:10">
      <c r="A18" s="2" t="s">
        <v>603</v>
      </c>
      <c r="B18" s="2" t="s">
        <v>96</v>
      </c>
      <c r="C18" s="2" t="str">
        <f>VLOOKUP(B18,Data!$A$2:$B$101,2,0)</f>
        <v>Darlene Perry</v>
      </c>
      <c r="D18" s="2" t="s">
        <v>214</v>
      </c>
      <c r="E18" s="2" t="str">
        <f>VLOOKUP(D18,Data!$D$2:$E$121,2,0)</f>
        <v>Close Music Direction</v>
      </c>
      <c r="F18" s="3">
        <v>45507</v>
      </c>
      <c r="G18" s="42">
        <f>Transactions[[#This Row],[Borrow Date]]+21</f>
        <v>45528</v>
      </c>
      <c r="H18" s="3">
        <v>45528</v>
      </c>
      <c r="I18" s="49" cm="1">
        <f t="array" aca="1" ref="I18" ca="1">_xlfn.IFS(Transactions[[#This Row],[Return Date]]&lt;=Transactions[[#This Row],[Due Date]],0,AND(Transactions[[#This Row],[Return Date]]="",TODAY()&lt;=Transactions[[#This Row],[Due Date]]),0,Transactions[[#This Row],[Return Date]]&gt;Transactions[[#This Row],[Due Date]],Transactions[[#This Row],[Return Date]]-Transactions[[#This Row],[Due Date]],AND(Transactions[[#This Row],[Return Date]]="",TODAY()&gt;Transactions[[#This Row],[Due Date]]),TODAY()-Transactions[[#This Row],[Due Date]])</f>
        <v>0</v>
      </c>
      <c r="J18" s="47">
        <f ca="1">Transactions[[#This Row],[Overdue Days]]</f>
        <v>0</v>
      </c>
    </row>
    <row r="19" spans="1:10">
      <c r="A19" s="2" t="s">
        <v>490</v>
      </c>
      <c r="B19" s="2" t="s">
        <v>97</v>
      </c>
      <c r="C19" s="2" t="str">
        <f>VLOOKUP(B19,Data!$A$2:$B$101,2,0)</f>
        <v>Amber Wright</v>
      </c>
      <c r="D19" s="2" t="s">
        <v>215</v>
      </c>
      <c r="E19" s="2" t="str">
        <f>VLOOKUP(D19,Data!$D$2:$E$121,2,0)</f>
        <v>Information Eat</v>
      </c>
      <c r="F19" s="3">
        <v>45579</v>
      </c>
      <c r="G19" s="42">
        <f>Transactions[[#This Row],[Borrow Date]]+21</f>
        <v>45600</v>
      </c>
      <c r="H19" s="3">
        <v>45596</v>
      </c>
      <c r="I19" s="49" cm="1">
        <f t="array" aca="1" ref="I19" ca="1">_xlfn.IFS(Transactions[[#This Row],[Return Date]]&lt;=Transactions[[#This Row],[Due Date]],0,AND(Transactions[[#This Row],[Return Date]]="",TODAY()&lt;=Transactions[[#This Row],[Due Date]]),0,Transactions[[#This Row],[Return Date]]&gt;Transactions[[#This Row],[Due Date]],Transactions[[#This Row],[Return Date]]-Transactions[[#This Row],[Due Date]],AND(Transactions[[#This Row],[Return Date]]="",TODAY()&gt;Transactions[[#This Row],[Due Date]]),TODAY()-Transactions[[#This Row],[Due Date]])</f>
        <v>0</v>
      </c>
      <c r="J19" s="47">
        <f ca="1">Transactions[[#This Row],[Overdue Days]]</f>
        <v>0</v>
      </c>
    </row>
    <row r="20" spans="1:10">
      <c r="A20" s="2" t="s">
        <v>628</v>
      </c>
      <c r="B20" s="2" t="s">
        <v>57</v>
      </c>
      <c r="C20" s="2" t="str">
        <f>VLOOKUP(B20,Data!$A$2:$B$101,2,0)</f>
        <v>Ethan Sutton</v>
      </c>
      <c r="D20" s="2" t="s">
        <v>216</v>
      </c>
      <c r="E20" s="2" t="str">
        <f>VLOOKUP(D20,Data!$D$2:$E$121,2,0)</f>
        <v>Term Heavy</v>
      </c>
      <c r="F20" s="3">
        <v>45601</v>
      </c>
      <c r="G20" s="42">
        <f>Transactions[[#This Row],[Borrow Date]]+21</f>
        <v>45622</v>
      </c>
      <c r="H20" s="3">
        <v>45627</v>
      </c>
      <c r="I20" s="49" cm="1">
        <f t="array" aca="1" ref="I20" ca="1">_xlfn.IFS(Transactions[[#This Row],[Return Date]]&lt;=Transactions[[#This Row],[Due Date]],0,AND(Transactions[[#This Row],[Return Date]]="",TODAY()&lt;=Transactions[[#This Row],[Due Date]]),0,Transactions[[#This Row],[Return Date]]&gt;Transactions[[#This Row],[Due Date]],Transactions[[#This Row],[Return Date]]-Transactions[[#This Row],[Due Date]],AND(Transactions[[#This Row],[Return Date]]="",TODAY()&gt;Transactions[[#This Row],[Due Date]]),TODAY()-Transactions[[#This Row],[Due Date]])</f>
        <v>5</v>
      </c>
      <c r="J20" s="47">
        <f ca="1">Transactions[[#This Row],[Overdue Days]]</f>
        <v>5</v>
      </c>
    </row>
    <row r="21" spans="1:10">
      <c r="A21" s="2" t="s">
        <v>608</v>
      </c>
      <c r="B21" s="2" t="s">
        <v>17</v>
      </c>
      <c r="C21" s="2" t="str">
        <f>VLOOKUP(B21,Data!$A$2:$B$101,2,0)</f>
        <v>Mark Hester</v>
      </c>
      <c r="D21" s="2" t="s">
        <v>217</v>
      </c>
      <c r="E21" s="2" t="str">
        <f>VLOOKUP(D21,Data!$D$2:$E$121,2,0)</f>
        <v>Pattern Travel Parent</v>
      </c>
      <c r="F21" s="3">
        <v>45458</v>
      </c>
      <c r="G21" s="42">
        <f>Transactions[[#This Row],[Borrow Date]]+21</f>
        <v>45479</v>
      </c>
      <c r="H21" s="3">
        <v>45473</v>
      </c>
      <c r="I21" s="49" cm="1">
        <f t="array" aca="1" ref="I21" ca="1">_xlfn.IFS(Transactions[[#This Row],[Return Date]]&lt;=Transactions[[#This Row],[Due Date]],0,AND(Transactions[[#This Row],[Return Date]]="",TODAY()&lt;=Transactions[[#This Row],[Due Date]]),0,Transactions[[#This Row],[Return Date]]&gt;Transactions[[#This Row],[Due Date]],Transactions[[#This Row],[Return Date]]-Transactions[[#This Row],[Due Date]],AND(Transactions[[#This Row],[Return Date]]="",TODAY()&gt;Transactions[[#This Row],[Due Date]]),TODAY()-Transactions[[#This Row],[Due Date]])</f>
        <v>0</v>
      </c>
      <c r="J21" s="47">
        <f ca="1">Transactions[[#This Row],[Overdue Days]]</f>
        <v>0</v>
      </c>
    </row>
    <row r="22" spans="1:10">
      <c r="A22" s="2" t="s">
        <v>487</v>
      </c>
      <c r="B22" s="2" t="s">
        <v>55</v>
      </c>
      <c r="C22" s="2" t="str">
        <f>VLOOKUP(B22,Data!$A$2:$B$101,2,0)</f>
        <v>Karen Scott</v>
      </c>
      <c r="D22" s="2" t="s">
        <v>218</v>
      </c>
      <c r="E22" s="2" t="str">
        <f>VLOOKUP(D22,Data!$D$2:$E$121,2,0)</f>
        <v>Fine Benefit Must</v>
      </c>
      <c r="F22" s="3">
        <v>45556</v>
      </c>
      <c r="G22" s="42">
        <f>Transactions[[#This Row],[Borrow Date]]+21</f>
        <v>45577</v>
      </c>
      <c r="H22" s="3">
        <v>45571</v>
      </c>
      <c r="I22" s="49" cm="1">
        <f t="array" aca="1" ref="I22" ca="1">_xlfn.IFS(Transactions[[#This Row],[Return Date]]&lt;=Transactions[[#This Row],[Due Date]],0,AND(Transactions[[#This Row],[Return Date]]="",TODAY()&lt;=Transactions[[#This Row],[Due Date]]),0,Transactions[[#This Row],[Return Date]]&gt;Transactions[[#This Row],[Due Date]],Transactions[[#This Row],[Return Date]]-Transactions[[#This Row],[Due Date]],AND(Transactions[[#This Row],[Return Date]]="",TODAY()&gt;Transactions[[#This Row],[Due Date]]),TODAY()-Transactions[[#This Row],[Due Date]])</f>
        <v>0</v>
      </c>
      <c r="J22" s="47">
        <f ca="1">Transactions[[#This Row],[Overdue Days]]</f>
        <v>0</v>
      </c>
    </row>
    <row r="23" spans="1:10">
      <c r="A23" s="2" t="s">
        <v>516</v>
      </c>
      <c r="B23" s="2" t="s">
        <v>40</v>
      </c>
      <c r="C23" s="2" t="str">
        <f>VLOOKUP(B23,Data!$A$2:$B$101,2,0)</f>
        <v>Yvonne Morgan</v>
      </c>
      <c r="D23" s="2" t="s">
        <v>218</v>
      </c>
      <c r="E23" s="2" t="str">
        <f>VLOOKUP(D23,Data!$D$2:$E$121,2,0)</f>
        <v>Fine Benefit Must</v>
      </c>
      <c r="F23" s="3">
        <v>45548</v>
      </c>
      <c r="G23" s="42">
        <f>Transactions[[#This Row],[Borrow Date]]+21</f>
        <v>45569</v>
      </c>
      <c r="H23" s="3">
        <v>45571</v>
      </c>
      <c r="I23" s="49" cm="1">
        <f t="array" aca="1" ref="I23" ca="1">_xlfn.IFS(Transactions[[#This Row],[Return Date]]&lt;=Transactions[[#This Row],[Due Date]],0,AND(Transactions[[#This Row],[Return Date]]="",TODAY()&lt;=Transactions[[#This Row],[Due Date]]),0,Transactions[[#This Row],[Return Date]]&gt;Transactions[[#This Row],[Due Date]],Transactions[[#This Row],[Return Date]]-Transactions[[#This Row],[Due Date]],AND(Transactions[[#This Row],[Return Date]]="",TODAY()&gt;Transactions[[#This Row],[Due Date]]),TODAY()-Transactions[[#This Row],[Due Date]])</f>
        <v>2</v>
      </c>
      <c r="J23" s="47">
        <f ca="1">Transactions[[#This Row],[Overdue Days]]</f>
        <v>2</v>
      </c>
    </row>
    <row r="24" spans="1:10">
      <c r="A24" s="2" t="s">
        <v>654</v>
      </c>
      <c r="B24" s="2" t="s">
        <v>86</v>
      </c>
      <c r="C24" s="2" t="str">
        <f>VLOOKUP(B24,Data!$A$2:$B$101,2,0)</f>
        <v>Christian Murphy</v>
      </c>
      <c r="D24" s="2" t="s">
        <v>218</v>
      </c>
      <c r="E24" s="2" t="str">
        <f>VLOOKUP(D24,Data!$D$2:$E$121,2,0)</f>
        <v>Fine Benefit Must</v>
      </c>
      <c r="F24" s="3">
        <v>45419</v>
      </c>
      <c r="G24" s="42">
        <f>Transactions[[#This Row],[Borrow Date]]+21</f>
        <v>45440</v>
      </c>
      <c r="H24" s="3">
        <v>45443</v>
      </c>
      <c r="I24" s="49" cm="1">
        <f t="array" aca="1" ref="I24" ca="1">_xlfn.IFS(Transactions[[#This Row],[Return Date]]&lt;=Transactions[[#This Row],[Due Date]],0,AND(Transactions[[#This Row],[Return Date]]="",TODAY()&lt;=Transactions[[#This Row],[Due Date]]),0,Transactions[[#This Row],[Return Date]]&gt;Transactions[[#This Row],[Due Date]],Transactions[[#This Row],[Return Date]]-Transactions[[#This Row],[Due Date]],AND(Transactions[[#This Row],[Return Date]]="",TODAY()&gt;Transactions[[#This Row],[Due Date]]),TODAY()-Transactions[[#This Row],[Due Date]])</f>
        <v>3</v>
      </c>
      <c r="J24" s="47">
        <f ca="1">Transactions[[#This Row],[Overdue Days]]</f>
        <v>3</v>
      </c>
    </row>
    <row r="25" spans="1:10">
      <c r="A25" s="2" t="s">
        <v>746</v>
      </c>
      <c r="B25" s="2" t="s">
        <v>81</v>
      </c>
      <c r="C25" s="2" t="str">
        <f>VLOOKUP(B25,Data!$A$2:$B$101,2,0)</f>
        <v>Latoya Tucker</v>
      </c>
      <c r="D25" s="2" t="s">
        <v>218</v>
      </c>
      <c r="E25" s="2" t="str">
        <f>VLOOKUP(D25,Data!$D$2:$E$121,2,0)</f>
        <v>Fine Benefit Must</v>
      </c>
      <c r="F25" s="3">
        <v>45436</v>
      </c>
      <c r="G25" s="42">
        <f>Transactions[[#This Row],[Borrow Date]]+21</f>
        <v>45457</v>
      </c>
      <c r="H25" s="3">
        <v>45462</v>
      </c>
      <c r="I25" s="49" cm="1">
        <f t="array" aca="1" ref="I25" ca="1">_xlfn.IFS(Transactions[[#This Row],[Return Date]]&lt;=Transactions[[#This Row],[Due Date]],0,AND(Transactions[[#This Row],[Return Date]]="",TODAY()&lt;=Transactions[[#This Row],[Due Date]]),0,Transactions[[#This Row],[Return Date]]&gt;Transactions[[#This Row],[Due Date]],Transactions[[#This Row],[Return Date]]-Transactions[[#This Row],[Due Date]],AND(Transactions[[#This Row],[Return Date]]="",TODAY()&gt;Transactions[[#This Row],[Due Date]]),TODAY()-Transactions[[#This Row],[Due Date]])</f>
        <v>5</v>
      </c>
      <c r="J25" s="47">
        <f ca="1">Transactions[[#This Row],[Overdue Days]]</f>
        <v>5</v>
      </c>
    </row>
    <row r="26" spans="1:10">
      <c r="A26" s="2" t="s">
        <v>554</v>
      </c>
      <c r="B26" s="2" t="s">
        <v>21</v>
      </c>
      <c r="C26" s="2" t="str">
        <f>VLOOKUP(B26,Data!$A$2:$B$101,2,0)</f>
        <v>Jesse Kennedy</v>
      </c>
      <c r="D26" s="2" t="s">
        <v>219</v>
      </c>
      <c r="E26" s="2" t="str">
        <f>VLOOKUP(D26,Data!$D$2:$E$121,2,0)</f>
        <v>Kitchen Inside</v>
      </c>
      <c r="F26" s="3">
        <v>45598</v>
      </c>
      <c r="G26" s="42">
        <f>Transactions[[#This Row],[Borrow Date]]+21</f>
        <v>45619</v>
      </c>
      <c r="H26" s="3">
        <v>45623</v>
      </c>
      <c r="I26" s="49" cm="1">
        <f t="array" aca="1" ref="I26" ca="1">_xlfn.IFS(Transactions[[#This Row],[Return Date]]&lt;=Transactions[[#This Row],[Due Date]],0,AND(Transactions[[#This Row],[Return Date]]="",TODAY()&lt;=Transactions[[#This Row],[Due Date]]),0,Transactions[[#This Row],[Return Date]]&gt;Transactions[[#This Row],[Due Date]],Transactions[[#This Row],[Return Date]]-Transactions[[#This Row],[Due Date]],AND(Transactions[[#This Row],[Return Date]]="",TODAY()&gt;Transactions[[#This Row],[Due Date]]),TODAY()-Transactions[[#This Row],[Due Date]])</f>
        <v>4</v>
      </c>
      <c r="J26" s="47">
        <f ca="1">Transactions[[#This Row],[Overdue Days]]</f>
        <v>4</v>
      </c>
    </row>
    <row r="27" spans="1:10">
      <c r="A27" s="2" t="s">
        <v>594</v>
      </c>
      <c r="B27" s="2" t="s">
        <v>10</v>
      </c>
      <c r="C27" s="2" t="str">
        <f>VLOOKUP(B27,Data!$A$2:$B$101,2,0)</f>
        <v>Tracy Abbott</v>
      </c>
      <c r="D27" s="2" t="s">
        <v>220</v>
      </c>
      <c r="E27" s="2" t="str">
        <f>VLOOKUP(D27,Data!$D$2:$E$121,2,0)</f>
        <v>Image</v>
      </c>
      <c r="F27" s="3">
        <v>45321</v>
      </c>
      <c r="G27" s="42">
        <f>Transactions[[#This Row],[Borrow Date]]+21</f>
        <v>45342</v>
      </c>
      <c r="H27" s="3">
        <v>45340</v>
      </c>
      <c r="I27" s="49" cm="1">
        <f t="array" aca="1" ref="I27" ca="1">_xlfn.IFS(Transactions[[#This Row],[Return Date]]&lt;=Transactions[[#This Row],[Due Date]],0,AND(Transactions[[#This Row],[Return Date]]="",TODAY()&lt;=Transactions[[#This Row],[Due Date]]),0,Transactions[[#This Row],[Return Date]]&gt;Transactions[[#This Row],[Due Date]],Transactions[[#This Row],[Return Date]]-Transactions[[#This Row],[Due Date]],AND(Transactions[[#This Row],[Return Date]]="",TODAY()&gt;Transactions[[#This Row],[Due Date]]),TODAY()-Transactions[[#This Row],[Due Date]])</f>
        <v>0</v>
      </c>
      <c r="J27" s="47">
        <f ca="1">Transactions[[#This Row],[Overdue Days]]</f>
        <v>0</v>
      </c>
    </row>
    <row r="28" spans="1:10">
      <c r="A28" s="2" t="s">
        <v>742</v>
      </c>
      <c r="B28" s="2" t="s">
        <v>15</v>
      </c>
      <c r="C28" s="2" t="str">
        <f>VLOOKUP(B28,Data!$A$2:$B$101,2,0)</f>
        <v>Joseph Barron</v>
      </c>
      <c r="D28" s="2" t="s">
        <v>220</v>
      </c>
      <c r="E28" s="2" t="str">
        <f>VLOOKUP(D28,Data!$D$2:$E$121,2,0)</f>
        <v>Image</v>
      </c>
      <c r="F28" s="3">
        <v>45372</v>
      </c>
      <c r="G28" s="42">
        <f>Transactions[[#This Row],[Borrow Date]]+21</f>
        <v>45393</v>
      </c>
      <c r="H28" s="3">
        <v>45393</v>
      </c>
      <c r="I28" s="49" cm="1">
        <f t="array" aca="1" ref="I28" ca="1">_xlfn.IFS(Transactions[[#This Row],[Return Date]]&lt;=Transactions[[#This Row],[Due Date]],0,AND(Transactions[[#This Row],[Return Date]]="",TODAY()&lt;=Transactions[[#This Row],[Due Date]]),0,Transactions[[#This Row],[Return Date]]&gt;Transactions[[#This Row],[Due Date]],Transactions[[#This Row],[Return Date]]-Transactions[[#This Row],[Due Date]],AND(Transactions[[#This Row],[Return Date]]="",TODAY()&gt;Transactions[[#This Row],[Due Date]]),TODAY()-Transactions[[#This Row],[Due Date]])</f>
        <v>0</v>
      </c>
      <c r="J28" s="47">
        <f ca="1">Transactions[[#This Row],[Overdue Days]]</f>
        <v>0</v>
      </c>
    </row>
    <row r="29" spans="1:10">
      <c r="A29" s="2" t="s">
        <v>551</v>
      </c>
      <c r="B29" s="2" t="s">
        <v>63</v>
      </c>
      <c r="C29" s="2" t="str">
        <f>VLOOKUP(B29,Data!$A$2:$B$101,2,0)</f>
        <v>Kenneth Mitchell Jr.</v>
      </c>
      <c r="D29" s="2" t="s">
        <v>221</v>
      </c>
      <c r="E29" s="2" t="str">
        <f>VLOOKUP(D29,Data!$D$2:$E$121,2,0)</f>
        <v>Myself Owner</v>
      </c>
      <c r="F29" s="3">
        <v>45495</v>
      </c>
      <c r="G29" s="42">
        <f>Transactions[[#This Row],[Borrow Date]]+21</f>
        <v>45516</v>
      </c>
      <c r="I29" s="49" cm="1">
        <f t="array" aca="1" ref="I29" ca="1">_xlfn.IFS(Transactions[[#This Row],[Return Date]]&lt;=Transactions[[#This Row],[Due Date]],0,AND(Transactions[[#This Row],[Return Date]]="",TODAY()&lt;=Transactions[[#This Row],[Due Date]]),0,Transactions[[#This Row],[Return Date]]&gt;Transactions[[#This Row],[Due Date]],Transactions[[#This Row],[Return Date]]-Transactions[[#This Row],[Due Date]],AND(Transactions[[#This Row],[Return Date]]="",TODAY()&gt;Transactions[[#This Row],[Due Date]]),TODAY()-Transactions[[#This Row],[Due Date]])</f>
        <v>0</v>
      </c>
      <c r="J29" s="47">
        <f ca="1">Transactions[[#This Row],[Overdue Days]]</f>
        <v>0</v>
      </c>
    </row>
    <row r="30" spans="1:10">
      <c r="A30" s="2" t="s">
        <v>564</v>
      </c>
      <c r="B30" s="2" t="s">
        <v>82</v>
      </c>
      <c r="C30" s="2" t="str">
        <f>VLOOKUP(B30,Data!$A$2:$B$101,2,0)</f>
        <v>Jeanette Cunningham</v>
      </c>
      <c r="D30" s="2" t="s">
        <v>221</v>
      </c>
      <c r="E30" s="2" t="str">
        <f>VLOOKUP(D30,Data!$D$2:$E$121,2,0)</f>
        <v>Myself Owner</v>
      </c>
      <c r="F30" s="3">
        <v>45657</v>
      </c>
      <c r="G30" s="42">
        <f>Transactions[[#This Row],[Borrow Date]]+21</f>
        <v>45678</v>
      </c>
      <c r="I30" s="49" cm="1">
        <f t="array" aca="1" ref="I30" ca="1">_xlfn.IFS(Transactions[[#This Row],[Return Date]]&lt;=Transactions[[#This Row],[Due Date]],0,AND(Transactions[[#This Row],[Return Date]]="",TODAY()&lt;=Transactions[[#This Row],[Due Date]]),0,Transactions[[#This Row],[Return Date]]&gt;Transactions[[#This Row],[Due Date]],Transactions[[#This Row],[Return Date]]-Transactions[[#This Row],[Due Date]],AND(Transactions[[#This Row],[Return Date]]="",TODAY()&gt;Transactions[[#This Row],[Due Date]]),TODAY()-Transactions[[#This Row],[Due Date]])</f>
        <v>0</v>
      </c>
      <c r="J30" s="47">
        <f ca="1">Transactions[[#This Row],[Overdue Days]]</f>
        <v>0</v>
      </c>
    </row>
    <row r="31" spans="1:10">
      <c r="A31" s="2" t="s">
        <v>604</v>
      </c>
      <c r="B31" s="2" t="s">
        <v>83</v>
      </c>
      <c r="C31" s="2" t="str">
        <f>VLOOKUP(B31,Data!$A$2:$B$101,2,0)</f>
        <v>Joshua Ward</v>
      </c>
      <c r="D31" s="2" t="s">
        <v>221</v>
      </c>
      <c r="E31" s="2" t="str">
        <f>VLOOKUP(D31,Data!$D$2:$E$121,2,0)</f>
        <v>Myself Owner</v>
      </c>
      <c r="F31" s="3">
        <v>45657</v>
      </c>
      <c r="G31" s="42">
        <f>Transactions[[#This Row],[Borrow Date]]+21</f>
        <v>45678</v>
      </c>
      <c r="I31" s="49" cm="1">
        <f t="array" aca="1" ref="I31" ca="1">_xlfn.IFS(Transactions[[#This Row],[Return Date]]&lt;=Transactions[[#This Row],[Due Date]],0,AND(Transactions[[#This Row],[Return Date]]="",TODAY()&lt;=Transactions[[#This Row],[Due Date]]),0,Transactions[[#This Row],[Return Date]]&gt;Transactions[[#This Row],[Due Date]],Transactions[[#This Row],[Return Date]]-Transactions[[#This Row],[Due Date]],AND(Transactions[[#This Row],[Return Date]]="",TODAY()&gt;Transactions[[#This Row],[Due Date]]),TODAY()-Transactions[[#This Row],[Due Date]])</f>
        <v>0</v>
      </c>
      <c r="J31" s="47">
        <f ca="1">Transactions[[#This Row],[Overdue Days]]</f>
        <v>0</v>
      </c>
    </row>
    <row r="32" spans="1:10">
      <c r="A32" s="2" t="s">
        <v>504</v>
      </c>
      <c r="B32" s="2" t="s">
        <v>76</v>
      </c>
      <c r="C32" s="2" t="str">
        <f>VLOOKUP(B32,Data!$A$2:$B$101,2,0)</f>
        <v>Jennifer Robinson</v>
      </c>
      <c r="D32" s="2" t="s">
        <v>222</v>
      </c>
      <c r="E32" s="2" t="str">
        <f>VLOOKUP(D32,Data!$D$2:$E$121,2,0)</f>
        <v>Car Without Now</v>
      </c>
      <c r="F32" s="3">
        <v>45352</v>
      </c>
      <c r="G32" s="42">
        <f>Transactions[[#This Row],[Borrow Date]]+21</f>
        <v>45373</v>
      </c>
      <c r="H32" s="3">
        <v>45368</v>
      </c>
      <c r="I32" s="49" cm="1">
        <f t="array" aca="1" ref="I32" ca="1">_xlfn.IFS(Transactions[[#This Row],[Return Date]]&lt;=Transactions[[#This Row],[Due Date]],0,AND(Transactions[[#This Row],[Return Date]]="",TODAY()&lt;=Transactions[[#This Row],[Due Date]]),0,Transactions[[#This Row],[Return Date]]&gt;Transactions[[#This Row],[Due Date]],Transactions[[#This Row],[Return Date]]-Transactions[[#This Row],[Due Date]],AND(Transactions[[#This Row],[Return Date]]="",TODAY()&gt;Transactions[[#This Row],[Due Date]]),TODAY()-Transactions[[#This Row],[Due Date]])</f>
        <v>0</v>
      </c>
      <c r="J32" s="47">
        <f ca="1">Transactions[[#This Row],[Overdue Days]]</f>
        <v>0</v>
      </c>
    </row>
    <row r="33" spans="1:10">
      <c r="A33" s="2" t="s">
        <v>710</v>
      </c>
      <c r="B33" s="2" t="s">
        <v>74</v>
      </c>
      <c r="C33" s="2" t="str">
        <f>VLOOKUP(B33,Data!$A$2:$B$101,2,0)</f>
        <v>Nancy Day</v>
      </c>
      <c r="D33" s="2" t="s">
        <v>222</v>
      </c>
      <c r="E33" s="2" t="str">
        <f>VLOOKUP(D33,Data!$D$2:$E$121,2,0)</f>
        <v>Car Without Now</v>
      </c>
      <c r="F33" s="3">
        <v>45540</v>
      </c>
      <c r="G33" s="42">
        <f>Transactions[[#This Row],[Borrow Date]]+21</f>
        <v>45561</v>
      </c>
      <c r="H33" s="3">
        <v>45555</v>
      </c>
      <c r="I33" s="49" cm="1">
        <f t="array" aca="1" ref="I33" ca="1">_xlfn.IFS(Transactions[[#This Row],[Return Date]]&lt;=Transactions[[#This Row],[Due Date]],0,AND(Transactions[[#This Row],[Return Date]]="",TODAY()&lt;=Transactions[[#This Row],[Due Date]]),0,Transactions[[#This Row],[Return Date]]&gt;Transactions[[#This Row],[Due Date]],Transactions[[#This Row],[Return Date]]-Transactions[[#This Row],[Due Date]],AND(Transactions[[#This Row],[Return Date]]="",TODAY()&gt;Transactions[[#This Row],[Due Date]]),TODAY()-Transactions[[#This Row],[Due Date]])</f>
        <v>0</v>
      </c>
      <c r="J33" s="47">
        <f ca="1">Transactions[[#This Row],[Overdue Days]]</f>
        <v>0</v>
      </c>
    </row>
    <row r="34" spans="1:10">
      <c r="A34" s="2" t="s">
        <v>483</v>
      </c>
      <c r="B34" s="2" t="s">
        <v>90</v>
      </c>
      <c r="C34" s="2" t="str">
        <f>VLOOKUP(B34,Data!$A$2:$B$101,2,0)</f>
        <v>Edward Price</v>
      </c>
      <c r="D34" s="2" t="s">
        <v>223</v>
      </c>
      <c r="E34" s="2" t="str">
        <f>VLOOKUP(D34,Data!$D$2:$E$121,2,0)</f>
        <v>Simply Mother</v>
      </c>
      <c r="F34" s="3">
        <v>45551</v>
      </c>
      <c r="G34" s="42">
        <f>Transactions[[#This Row],[Borrow Date]]+21</f>
        <v>45572</v>
      </c>
      <c r="H34" s="3">
        <v>45576</v>
      </c>
      <c r="I34" s="49" cm="1">
        <f t="array" aca="1" ref="I34" ca="1">_xlfn.IFS(Transactions[[#This Row],[Return Date]]&lt;=Transactions[[#This Row],[Due Date]],0,AND(Transactions[[#This Row],[Return Date]]="",TODAY()&lt;=Transactions[[#This Row],[Due Date]]),0,Transactions[[#This Row],[Return Date]]&gt;Transactions[[#This Row],[Due Date]],Transactions[[#This Row],[Return Date]]-Transactions[[#This Row],[Due Date]],AND(Transactions[[#This Row],[Return Date]]="",TODAY()&gt;Transactions[[#This Row],[Due Date]]),TODAY()-Transactions[[#This Row],[Due Date]])</f>
        <v>4</v>
      </c>
      <c r="J34" s="47">
        <f ca="1">Transactions[[#This Row],[Overdue Days]]</f>
        <v>4</v>
      </c>
    </row>
    <row r="35" spans="1:10">
      <c r="A35" s="2" t="s">
        <v>658</v>
      </c>
      <c r="B35" s="2" t="s">
        <v>92</v>
      </c>
      <c r="C35" s="2" t="str">
        <f>VLOOKUP(B35,Data!$A$2:$B$101,2,0)</f>
        <v>Tracy Peters</v>
      </c>
      <c r="D35" s="2" t="s">
        <v>223</v>
      </c>
      <c r="E35" s="2" t="str">
        <f>VLOOKUP(D35,Data!$D$2:$E$121,2,0)</f>
        <v>Simply Mother</v>
      </c>
      <c r="F35" s="3">
        <v>45400</v>
      </c>
      <c r="G35" s="42">
        <f>Transactions[[#This Row],[Borrow Date]]+21</f>
        <v>45421</v>
      </c>
      <c r="H35" s="3">
        <v>45418</v>
      </c>
      <c r="I35" s="49" cm="1">
        <f t="array" aca="1" ref="I35" ca="1">_xlfn.IFS(Transactions[[#This Row],[Return Date]]&lt;=Transactions[[#This Row],[Due Date]],0,AND(Transactions[[#This Row],[Return Date]]="",TODAY()&lt;=Transactions[[#This Row],[Due Date]]),0,Transactions[[#This Row],[Return Date]]&gt;Transactions[[#This Row],[Due Date]],Transactions[[#This Row],[Return Date]]-Transactions[[#This Row],[Due Date]],AND(Transactions[[#This Row],[Return Date]]="",TODAY()&gt;Transactions[[#This Row],[Due Date]]),TODAY()-Transactions[[#This Row],[Due Date]])</f>
        <v>0</v>
      </c>
      <c r="J35" s="47">
        <f ca="1">Transactions[[#This Row],[Overdue Days]]</f>
        <v>0</v>
      </c>
    </row>
    <row r="36" spans="1:10">
      <c r="A36" s="2" t="s">
        <v>667</v>
      </c>
      <c r="B36" s="2" t="s">
        <v>18</v>
      </c>
      <c r="C36" s="2" t="str">
        <f>VLOOKUP(B36,Data!$A$2:$B$101,2,0)</f>
        <v>Katelyn Flores</v>
      </c>
      <c r="D36" s="2" t="s">
        <v>224</v>
      </c>
      <c r="E36" s="2" t="str">
        <f>VLOOKUP(D36,Data!$D$2:$E$121,2,0)</f>
        <v>Dark Such Hour Argue</v>
      </c>
      <c r="F36" s="3">
        <v>45549</v>
      </c>
      <c r="G36" s="42">
        <f>Transactions[[#This Row],[Borrow Date]]+21</f>
        <v>45570</v>
      </c>
      <c r="H36" s="3">
        <v>45567</v>
      </c>
      <c r="I36" s="49" cm="1">
        <f t="array" aca="1" ref="I36" ca="1">_xlfn.IFS(Transactions[[#This Row],[Return Date]]&lt;=Transactions[[#This Row],[Due Date]],0,AND(Transactions[[#This Row],[Return Date]]="",TODAY()&lt;=Transactions[[#This Row],[Due Date]]),0,Transactions[[#This Row],[Return Date]]&gt;Transactions[[#This Row],[Due Date]],Transactions[[#This Row],[Return Date]]-Transactions[[#This Row],[Due Date]],AND(Transactions[[#This Row],[Return Date]]="",TODAY()&gt;Transactions[[#This Row],[Due Date]]),TODAY()-Transactions[[#This Row],[Due Date]])</f>
        <v>0</v>
      </c>
      <c r="J36" s="47">
        <f ca="1">Transactions[[#This Row],[Overdue Days]]</f>
        <v>0</v>
      </c>
    </row>
    <row r="37" spans="1:10">
      <c r="A37" s="2" t="s">
        <v>671</v>
      </c>
      <c r="B37" s="2" t="s">
        <v>18</v>
      </c>
      <c r="C37" s="2" t="str">
        <f>VLOOKUP(B37,Data!$A$2:$B$101,2,0)</f>
        <v>Katelyn Flores</v>
      </c>
      <c r="D37" s="2" t="s">
        <v>224</v>
      </c>
      <c r="E37" s="2" t="str">
        <f>VLOOKUP(D37,Data!$D$2:$E$121,2,0)</f>
        <v>Dark Such Hour Argue</v>
      </c>
      <c r="F37" s="3">
        <v>45599</v>
      </c>
      <c r="G37" s="42">
        <f>Transactions[[#This Row],[Borrow Date]]+21</f>
        <v>45620</v>
      </c>
      <c r="H37" s="3">
        <v>45620</v>
      </c>
      <c r="I37" s="49" cm="1">
        <f t="array" aca="1" ref="I37" ca="1">_xlfn.IFS(Transactions[[#This Row],[Return Date]]&lt;=Transactions[[#This Row],[Due Date]],0,AND(Transactions[[#This Row],[Return Date]]="",TODAY()&lt;=Transactions[[#This Row],[Due Date]]),0,Transactions[[#This Row],[Return Date]]&gt;Transactions[[#This Row],[Due Date]],Transactions[[#This Row],[Return Date]]-Transactions[[#This Row],[Due Date]],AND(Transactions[[#This Row],[Return Date]]="",TODAY()&gt;Transactions[[#This Row],[Due Date]]),TODAY()-Transactions[[#This Row],[Due Date]])</f>
        <v>0</v>
      </c>
      <c r="J37" s="47">
        <f ca="1">Transactions[[#This Row],[Overdue Days]]</f>
        <v>0</v>
      </c>
    </row>
    <row r="38" spans="1:10">
      <c r="A38" s="2" t="s">
        <v>468</v>
      </c>
      <c r="B38" s="2" t="s">
        <v>5</v>
      </c>
      <c r="C38" s="2" t="str">
        <f>VLOOKUP(B38,Data!$A$2:$B$101,2,0)</f>
        <v>Tina Willis</v>
      </c>
      <c r="D38" s="2" t="s">
        <v>225</v>
      </c>
      <c r="E38" s="2" t="str">
        <f>VLOOKUP(D38,Data!$D$2:$E$121,2,0)</f>
        <v>Firm Write Population</v>
      </c>
      <c r="F38" s="3">
        <v>45319</v>
      </c>
      <c r="G38" s="42">
        <f>Transactions[[#This Row],[Borrow Date]]+21</f>
        <v>45340</v>
      </c>
      <c r="H38" s="3">
        <v>45340</v>
      </c>
      <c r="I38" s="49" cm="1">
        <f t="array" aca="1" ref="I38" ca="1">_xlfn.IFS(Transactions[[#This Row],[Return Date]]&lt;=Transactions[[#This Row],[Due Date]],0,AND(Transactions[[#This Row],[Return Date]]="",TODAY()&lt;=Transactions[[#This Row],[Due Date]]),0,Transactions[[#This Row],[Return Date]]&gt;Transactions[[#This Row],[Due Date]],Transactions[[#This Row],[Return Date]]-Transactions[[#This Row],[Due Date]],AND(Transactions[[#This Row],[Return Date]]="",TODAY()&gt;Transactions[[#This Row],[Due Date]]),TODAY()-Transactions[[#This Row],[Due Date]])</f>
        <v>0</v>
      </c>
      <c r="J38" s="47">
        <f ca="1">Transactions[[#This Row],[Overdue Days]]</f>
        <v>0</v>
      </c>
    </row>
    <row r="39" spans="1:10">
      <c r="A39" s="2" t="s">
        <v>491</v>
      </c>
      <c r="B39" s="2" t="s">
        <v>59</v>
      </c>
      <c r="C39" s="2" t="str">
        <f>VLOOKUP(B39,Data!$A$2:$B$101,2,0)</f>
        <v>Amy Shaw</v>
      </c>
      <c r="D39" s="2" t="s">
        <v>225</v>
      </c>
      <c r="E39" s="2" t="str">
        <f>VLOOKUP(D39,Data!$D$2:$E$121,2,0)</f>
        <v>Firm Write Population</v>
      </c>
      <c r="F39" s="3">
        <v>45653</v>
      </c>
      <c r="G39" s="42">
        <f>Transactions[[#This Row],[Borrow Date]]+21</f>
        <v>45674</v>
      </c>
      <c r="H39" s="3" t="s">
        <v>748</v>
      </c>
      <c r="I39" s="49" t="e" cm="1">
        <f t="array" aca="1" ref="I39" ca="1">_xlfn.IFS(Transactions[[#This Row],[Return Date]]&lt;=Transactions[[#This Row],[Due Date]],0,AND(Transactions[[#This Row],[Return Date]]="",TODAY()&lt;=Transactions[[#This Row],[Due Date]]),0,Transactions[[#This Row],[Return Date]]&gt;Transactions[[#This Row],[Due Date]],Transactions[[#This Row],[Return Date]]-Transactions[[#This Row],[Due Date]],AND(Transactions[[#This Row],[Return Date]]="",TODAY()&gt;Transactions[[#This Row],[Due Date]]),TODAY()-Transactions[[#This Row],[Due Date]])</f>
        <v>#VALUE!</v>
      </c>
      <c r="J39" s="47" t="e">
        <f ca="1">Transactions[[#This Row],[Overdue Days]]</f>
        <v>#VALUE!</v>
      </c>
    </row>
    <row r="40" spans="1:10">
      <c r="A40" s="2" t="s">
        <v>633</v>
      </c>
      <c r="B40" s="2" t="s">
        <v>33</v>
      </c>
      <c r="C40" s="2" t="str">
        <f>VLOOKUP(B40,Data!$A$2:$B$101,2,0)</f>
        <v>Jason Oconnor</v>
      </c>
      <c r="D40" s="2" t="s">
        <v>225</v>
      </c>
      <c r="E40" s="2" t="str">
        <f>VLOOKUP(D40,Data!$D$2:$E$121,2,0)</f>
        <v>Firm Write Population</v>
      </c>
      <c r="F40" s="3">
        <v>45523</v>
      </c>
      <c r="G40" s="42">
        <f>Transactions[[#This Row],[Borrow Date]]+21</f>
        <v>45544</v>
      </c>
      <c r="H40" s="3">
        <v>45548</v>
      </c>
      <c r="I40" s="49" cm="1">
        <f t="array" aca="1" ref="I40" ca="1">_xlfn.IFS(Transactions[[#This Row],[Return Date]]&lt;=Transactions[[#This Row],[Due Date]],0,AND(Transactions[[#This Row],[Return Date]]="",TODAY()&lt;=Transactions[[#This Row],[Due Date]]),0,Transactions[[#This Row],[Return Date]]&gt;Transactions[[#This Row],[Due Date]],Transactions[[#This Row],[Return Date]]-Transactions[[#This Row],[Due Date]],AND(Transactions[[#This Row],[Return Date]]="",TODAY()&gt;Transactions[[#This Row],[Due Date]]),TODAY()-Transactions[[#This Row],[Due Date]])</f>
        <v>4</v>
      </c>
      <c r="J40" s="47">
        <f ca="1">Transactions[[#This Row],[Overdue Days]]</f>
        <v>4</v>
      </c>
    </row>
    <row r="41" spans="1:10">
      <c r="A41" s="2" t="s">
        <v>664</v>
      </c>
      <c r="B41" s="2" t="s">
        <v>28</v>
      </c>
      <c r="C41" s="2" t="str">
        <f>VLOOKUP(B41,Data!$A$2:$B$101,2,0)</f>
        <v>Nathaniel Bates</v>
      </c>
      <c r="D41" s="2" t="s">
        <v>225</v>
      </c>
      <c r="E41" s="2" t="str">
        <f>VLOOKUP(D41,Data!$D$2:$E$121,2,0)</f>
        <v>Firm Write Population</v>
      </c>
      <c r="F41" s="3">
        <v>45445</v>
      </c>
      <c r="G41" s="42">
        <f>Transactions[[#This Row],[Borrow Date]]+21</f>
        <v>45466</v>
      </c>
      <c r="H41" s="3">
        <v>45464</v>
      </c>
      <c r="I41" s="49" cm="1">
        <f t="array" aca="1" ref="I41" ca="1">_xlfn.IFS(Transactions[[#This Row],[Return Date]]&lt;=Transactions[[#This Row],[Due Date]],0,AND(Transactions[[#This Row],[Return Date]]="",TODAY()&lt;=Transactions[[#This Row],[Due Date]]),0,Transactions[[#This Row],[Return Date]]&gt;Transactions[[#This Row],[Due Date]],Transactions[[#This Row],[Return Date]]-Transactions[[#This Row],[Due Date]],AND(Transactions[[#This Row],[Return Date]]="",TODAY()&gt;Transactions[[#This Row],[Due Date]]),TODAY()-Transactions[[#This Row],[Due Date]])</f>
        <v>0</v>
      </c>
      <c r="J41" s="47">
        <f ca="1">Transactions[[#This Row],[Overdue Days]]</f>
        <v>0</v>
      </c>
    </row>
    <row r="42" spans="1:10">
      <c r="A42" s="2" t="s">
        <v>686</v>
      </c>
      <c r="B42" s="2" t="s">
        <v>31</v>
      </c>
      <c r="C42" s="2" t="str">
        <f>VLOOKUP(B42,Data!$A$2:$B$101,2,0)</f>
        <v>John Wright</v>
      </c>
      <c r="D42" s="2" t="s">
        <v>225</v>
      </c>
      <c r="E42" s="2" t="str">
        <f>VLOOKUP(D42,Data!$D$2:$E$121,2,0)</f>
        <v>Firm Write Population</v>
      </c>
      <c r="F42" s="3">
        <v>45474</v>
      </c>
      <c r="G42" s="42">
        <f>Transactions[[#This Row],[Borrow Date]]+21</f>
        <v>45495</v>
      </c>
      <c r="H42" s="3">
        <v>45491</v>
      </c>
      <c r="I42" s="49" cm="1">
        <f t="array" aca="1" ref="I42" ca="1">_xlfn.IFS(Transactions[[#This Row],[Return Date]]&lt;=Transactions[[#This Row],[Due Date]],0,AND(Transactions[[#This Row],[Return Date]]="",TODAY()&lt;=Transactions[[#This Row],[Due Date]]),0,Transactions[[#This Row],[Return Date]]&gt;Transactions[[#This Row],[Due Date]],Transactions[[#This Row],[Return Date]]-Transactions[[#This Row],[Due Date]],AND(Transactions[[#This Row],[Return Date]]="",TODAY()&gt;Transactions[[#This Row],[Due Date]]),TODAY()-Transactions[[#This Row],[Due Date]])</f>
        <v>0</v>
      </c>
      <c r="J42" s="47">
        <f ca="1">Transactions[[#This Row],[Overdue Days]]</f>
        <v>0</v>
      </c>
    </row>
    <row r="43" spans="1:10">
      <c r="A43" s="2" t="s">
        <v>673</v>
      </c>
      <c r="B43" s="2" t="s">
        <v>53</v>
      </c>
      <c r="C43" s="2" t="str">
        <f>VLOOKUP(B43,Data!$A$2:$B$101,2,0)</f>
        <v>Zachary Harvey</v>
      </c>
      <c r="D43" s="2" t="s">
        <v>226</v>
      </c>
      <c r="E43" s="2" t="str">
        <f>VLOOKUP(D43,Data!$D$2:$E$121,2,0)</f>
        <v>Again Field Make</v>
      </c>
      <c r="F43" s="3">
        <v>45564</v>
      </c>
      <c r="G43" s="42">
        <f>Transactions[[#This Row],[Borrow Date]]+21</f>
        <v>45585</v>
      </c>
      <c r="H43" s="3">
        <v>45583</v>
      </c>
      <c r="I43" s="49" cm="1">
        <f t="array" aca="1" ref="I43" ca="1">_xlfn.IFS(Transactions[[#This Row],[Return Date]]&lt;=Transactions[[#This Row],[Due Date]],0,AND(Transactions[[#This Row],[Return Date]]="",TODAY()&lt;=Transactions[[#This Row],[Due Date]]),0,Transactions[[#This Row],[Return Date]]&gt;Transactions[[#This Row],[Due Date]],Transactions[[#This Row],[Return Date]]-Transactions[[#This Row],[Due Date]],AND(Transactions[[#This Row],[Return Date]]="",TODAY()&gt;Transactions[[#This Row],[Due Date]]),TODAY()-Transactions[[#This Row],[Due Date]])</f>
        <v>0</v>
      </c>
      <c r="J43" s="47">
        <f ca="1">Transactions[[#This Row],[Overdue Days]]</f>
        <v>0</v>
      </c>
    </row>
    <row r="44" spans="1:10">
      <c r="A44" s="2" t="s">
        <v>541</v>
      </c>
      <c r="B44" s="2" t="s">
        <v>7</v>
      </c>
      <c r="C44" s="2" t="str">
        <f>VLOOKUP(B44,Data!$A$2:$B$101,2,0)</f>
        <v>William Wolfe</v>
      </c>
      <c r="D44" s="2" t="s">
        <v>228</v>
      </c>
      <c r="E44" s="2" t="str">
        <f>VLOOKUP(D44,Data!$D$2:$E$121,2,0)</f>
        <v>System Government Charge</v>
      </c>
      <c r="F44" s="3">
        <v>45653</v>
      </c>
      <c r="G44" s="42">
        <f>Transactions[[#This Row],[Borrow Date]]+21</f>
        <v>45674</v>
      </c>
      <c r="H44" s="3" t="s">
        <v>748</v>
      </c>
      <c r="I44" s="49" t="e" cm="1">
        <f t="array" aca="1" ref="I44" ca="1">_xlfn.IFS(Transactions[[#This Row],[Return Date]]&lt;=Transactions[[#This Row],[Due Date]],0,AND(Transactions[[#This Row],[Return Date]]="",TODAY()&lt;=Transactions[[#This Row],[Due Date]]),0,Transactions[[#This Row],[Return Date]]&gt;Transactions[[#This Row],[Due Date]],Transactions[[#This Row],[Return Date]]-Transactions[[#This Row],[Due Date]],AND(Transactions[[#This Row],[Return Date]]="",TODAY()&gt;Transactions[[#This Row],[Due Date]]),TODAY()-Transactions[[#This Row],[Due Date]])</f>
        <v>#VALUE!</v>
      </c>
      <c r="J44" s="47" t="e">
        <f ca="1">Transactions[[#This Row],[Overdue Days]]</f>
        <v>#VALUE!</v>
      </c>
    </row>
    <row r="45" spans="1:10">
      <c r="A45" s="2" t="s">
        <v>511</v>
      </c>
      <c r="B45" s="2" t="s">
        <v>15</v>
      </c>
      <c r="C45" s="2" t="str">
        <f>VLOOKUP(B45,Data!$A$2:$B$101,2,0)</f>
        <v>Joseph Barron</v>
      </c>
      <c r="D45" s="2" t="s">
        <v>229</v>
      </c>
      <c r="E45" s="2" t="str">
        <f>VLOOKUP(D45,Data!$D$2:$E$121,2,0)</f>
        <v>Guy In Enough</v>
      </c>
      <c r="F45" s="3">
        <v>45532</v>
      </c>
      <c r="G45" s="42">
        <f>Transactions[[#This Row],[Borrow Date]]+21</f>
        <v>45553</v>
      </c>
      <c r="H45" s="3">
        <v>45558</v>
      </c>
      <c r="I45" s="49" cm="1">
        <f t="array" aca="1" ref="I45" ca="1">_xlfn.IFS(Transactions[[#This Row],[Return Date]]&lt;=Transactions[[#This Row],[Due Date]],0,AND(Transactions[[#This Row],[Return Date]]="",TODAY()&lt;=Transactions[[#This Row],[Due Date]]),0,Transactions[[#This Row],[Return Date]]&gt;Transactions[[#This Row],[Due Date]],Transactions[[#This Row],[Return Date]]-Transactions[[#This Row],[Due Date]],AND(Transactions[[#This Row],[Return Date]]="",TODAY()&gt;Transactions[[#This Row],[Due Date]]),TODAY()-Transactions[[#This Row],[Due Date]])</f>
        <v>5</v>
      </c>
      <c r="J45" s="47">
        <f ca="1">Transactions[[#This Row],[Overdue Days]]</f>
        <v>5</v>
      </c>
    </row>
    <row r="46" spans="1:10">
      <c r="A46" s="2" t="s">
        <v>626</v>
      </c>
      <c r="B46" s="2" t="s">
        <v>31</v>
      </c>
      <c r="C46" s="2" t="str">
        <f>VLOOKUP(B46,Data!$A$2:$B$101,2,0)</f>
        <v>John Wright</v>
      </c>
      <c r="D46" s="2" t="s">
        <v>229</v>
      </c>
      <c r="E46" s="2" t="str">
        <f>VLOOKUP(D46,Data!$D$2:$E$121,2,0)</f>
        <v>Guy In Enough</v>
      </c>
      <c r="F46" s="3">
        <v>45360</v>
      </c>
      <c r="G46" s="42">
        <f>Transactions[[#This Row],[Borrow Date]]+21</f>
        <v>45381</v>
      </c>
      <c r="H46" s="3">
        <v>45385</v>
      </c>
      <c r="I46" s="49" cm="1">
        <f t="array" aca="1" ref="I46" ca="1">_xlfn.IFS(Transactions[[#This Row],[Return Date]]&lt;=Transactions[[#This Row],[Due Date]],0,AND(Transactions[[#This Row],[Return Date]]="",TODAY()&lt;=Transactions[[#This Row],[Due Date]]),0,Transactions[[#This Row],[Return Date]]&gt;Transactions[[#This Row],[Due Date]],Transactions[[#This Row],[Return Date]]-Transactions[[#This Row],[Due Date]],AND(Transactions[[#This Row],[Return Date]]="",TODAY()&gt;Transactions[[#This Row],[Due Date]]),TODAY()-Transactions[[#This Row],[Due Date]])</f>
        <v>4</v>
      </c>
      <c r="J46" s="47">
        <f ca="1">Transactions[[#This Row],[Overdue Days]]</f>
        <v>4</v>
      </c>
    </row>
    <row r="47" spans="1:10">
      <c r="A47" s="2" t="s">
        <v>485</v>
      </c>
      <c r="B47" s="2" t="s">
        <v>5</v>
      </c>
      <c r="C47" s="2" t="str">
        <f>VLOOKUP(B47,Data!$A$2:$B$101,2,0)</f>
        <v>Tina Willis</v>
      </c>
      <c r="D47" s="2" t="s">
        <v>230</v>
      </c>
      <c r="E47" s="2" t="str">
        <f>VLOOKUP(D47,Data!$D$2:$E$121,2,0)</f>
        <v>Agree Election</v>
      </c>
      <c r="F47" s="3">
        <v>45600</v>
      </c>
      <c r="G47" s="42">
        <f>Transactions[[#This Row],[Borrow Date]]+21</f>
        <v>45621</v>
      </c>
      <c r="H47" s="3">
        <v>45623</v>
      </c>
      <c r="I47" s="49" cm="1">
        <f t="array" aca="1" ref="I47" ca="1">_xlfn.IFS(Transactions[[#This Row],[Return Date]]&lt;=Transactions[[#This Row],[Due Date]],0,AND(Transactions[[#This Row],[Return Date]]="",TODAY()&lt;=Transactions[[#This Row],[Due Date]]),0,Transactions[[#This Row],[Return Date]]&gt;Transactions[[#This Row],[Due Date]],Transactions[[#This Row],[Return Date]]-Transactions[[#This Row],[Due Date]],AND(Transactions[[#This Row],[Return Date]]="",TODAY()&gt;Transactions[[#This Row],[Due Date]]),TODAY()-Transactions[[#This Row],[Due Date]])</f>
        <v>2</v>
      </c>
      <c r="J47" s="47">
        <f ca="1">Transactions[[#This Row],[Overdue Days]]</f>
        <v>2</v>
      </c>
    </row>
    <row r="48" spans="1:10">
      <c r="A48" s="2" t="s">
        <v>514</v>
      </c>
      <c r="B48" s="2" t="s">
        <v>90</v>
      </c>
      <c r="C48" s="2" t="str">
        <f>VLOOKUP(B48,Data!$A$2:$B$101,2,0)</f>
        <v>Edward Price</v>
      </c>
      <c r="D48" s="2" t="s">
        <v>230</v>
      </c>
      <c r="E48" s="2" t="str">
        <f>VLOOKUP(D48,Data!$D$2:$E$121,2,0)</f>
        <v>Agree Election</v>
      </c>
      <c r="F48" s="3">
        <v>45574</v>
      </c>
      <c r="G48" s="42">
        <f>Transactions[[#This Row],[Borrow Date]]+21</f>
        <v>45595</v>
      </c>
      <c r="H48" s="3">
        <v>45590</v>
      </c>
      <c r="I48" s="49" cm="1">
        <f t="array" aca="1" ref="I48" ca="1">_xlfn.IFS(Transactions[[#This Row],[Return Date]]&lt;=Transactions[[#This Row],[Due Date]],0,AND(Transactions[[#This Row],[Return Date]]="",TODAY()&lt;=Transactions[[#This Row],[Due Date]]),0,Transactions[[#This Row],[Return Date]]&gt;Transactions[[#This Row],[Due Date]],Transactions[[#This Row],[Return Date]]-Transactions[[#This Row],[Due Date]],AND(Transactions[[#This Row],[Return Date]]="",TODAY()&gt;Transactions[[#This Row],[Due Date]]),TODAY()-Transactions[[#This Row],[Due Date]])</f>
        <v>0</v>
      </c>
      <c r="J48" s="47">
        <f ca="1">Transactions[[#This Row],[Overdue Days]]</f>
        <v>0</v>
      </c>
    </row>
    <row r="49" spans="1:10">
      <c r="A49" s="2" t="s">
        <v>529</v>
      </c>
      <c r="B49" s="2" t="s">
        <v>18</v>
      </c>
      <c r="C49" s="2" t="str">
        <f>VLOOKUP(B49,Data!$A$2:$B$101,2,0)</f>
        <v>Katelyn Flores</v>
      </c>
      <c r="D49" s="2" t="s">
        <v>231</v>
      </c>
      <c r="E49" s="2" t="str">
        <f>VLOOKUP(D49,Data!$D$2:$E$121,2,0)</f>
        <v>Answer Receive</v>
      </c>
      <c r="F49" s="3">
        <v>45475</v>
      </c>
      <c r="G49" s="42">
        <f>Transactions[[#This Row],[Borrow Date]]+21</f>
        <v>45496</v>
      </c>
      <c r="H49" s="3">
        <v>45492</v>
      </c>
      <c r="I49" s="49" cm="1">
        <f t="array" aca="1" ref="I49" ca="1">_xlfn.IFS(Transactions[[#This Row],[Return Date]]&lt;=Transactions[[#This Row],[Due Date]],0,AND(Transactions[[#This Row],[Return Date]]="",TODAY()&lt;=Transactions[[#This Row],[Due Date]]),0,Transactions[[#This Row],[Return Date]]&gt;Transactions[[#This Row],[Due Date]],Transactions[[#This Row],[Return Date]]-Transactions[[#This Row],[Due Date]],AND(Transactions[[#This Row],[Return Date]]="",TODAY()&gt;Transactions[[#This Row],[Due Date]]),TODAY()-Transactions[[#This Row],[Due Date]])</f>
        <v>0</v>
      </c>
      <c r="J49" s="47">
        <f ca="1">Transactions[[#This Row],[Overdue Days]]</f>
        <v>0</v>
      </c>
    </row>
    <row r="50" spans="1:10">
      <c r="A50" s="2" t="s">
        <v>599</v>
      </c>
      <c r="B50" s="2" t="s">
        <v>4</v>
      </c>
      <c r="C50" s="2" t="str">
        <f>VLOOKUP(B50,Data!$A$2:$B$101,2,0)</f>
        <v>Joshua Moran</v>
      </c>
      <c r="D50" s="2" t="s">
        <v>231</v>
      </c>
      <c r="E50" s="2" t="str">
        <f>VLOOKUP(D50,Data!$D$2:$E$121,2,0)</f>
        <v>Answer Receive</v>
      </c>
      <c r="F50" s="3">
        <v>45345</v>
      </c>
      <c r="G50" s="42">
        <f>Transactions[[#This Row],[Borrow Date]]+21</f>
        <v>45366</v>
      </c>
      <c r="H50" s="3">
        <v>45370</v>
      </c>
      <c r="I50" s="49" cm="1">
        <f t="array" aca="1" ref="I50" ca="1">_xlfn.IFS(Transactions[[#This Row],[Return Date]]&lt;=Transactions[[#This Row],[Due Date]],0,AND(Transactions[[#This Row],[Return Date]]="",TODAY()&lt;=Transactions[[#This Row],[Due Date]]),0,Transactions[[#This Row],[Return Date]]&gt;Transactions[[#This Row],[Due Date]],Transactions[[#This Row],[Return Date]]-Transactions[[#This Row],[Due Date]],AND(Transactions[[#This Row],[Return Date]]="",TODAY()&gt;Transactions[[#This Row],[Due Date]]),TODAY()-Transactions[[#This Row],[Due Date]])</f>
        <v>4</v>
      </c>
      <c r="J50" s="47">
        <f ca="1">Transactions[[#This Row],[Overdue Days]]</f>
        <v>4</v>
      </c>
    </row>
    <row r="51" spans="1:10">
      <c r="A51" s="2" t="s">
        <v>723</v>
      </c>
      <c r="B51" s="2" t="s">
        <v>99</v>
      </c>
      <c r="C51" s="2" t="str">
        <f>VLOOKUP(B51,Data!$A$2:$B$101,2,0)</f>
        <v>Lisa White</v>
      </c>
      <c r="D51" s="2" t="s">
        <v>231</v>
      </c>
      <c r="E51" s="2" t="str">
        <f>VLOOKUP(D51,Data!$D$2:$E$121,2,0)</f>
        <v>Answer Receive</v>
      </c>
      <c r="F51" s="3">
        <v>45531</v>
      </c>
      <c r="G51" s="42">
        <f>Transactions[[#This Row],[Borrow Date]]+21</f>
        <v>45552</v>
      </c>
      <c r="H51" s="3">
        <v>45546</v>
      </c>
      <c r="I51" s="49" cm="1">
        <f t="array" aca="1" ref="I51" ca="1">_xlfn.IFS(Transactions[[#This Row],[Return Date]]&lt;=Transactions[[#This Row],[Due Date]],0,AND(Transactions[[#This Row],[Return Date]]="",TODAY()&lt;=Transactions[[#This Row],[Due Date]]),0,Transactions[[#This Row],[Return Date]]&gt;Transactions[[#This Row],[Due Date]],Transactions[[#This Row],[Return Date]]-Transactions[[#This Row],[Due Date]],AND(Transactions[[#This Row],[Return Date]]="",TODAY()&gt;Transactions[[#This Row],[Due Date]]),TODAY()-Transactions[[#This Row],[Due Date]])</f>
        <v>0</v>
      </c>
      <c r="J51" s="47">
        <f ca="1">Transactions[[#This Row],[Overdue Days]]</f>
        <v>0</v>
      </c>
    </row>
    <row r="52" spans="1:10">
      <c r="A52" s="2" t="s">
        <v>502</v>
      </c>
      <c r="B52" s="2" t="s">
        <v>77</v>
      </c>
      <c r="C52" s="2" t="str">
        <f>VLOOKUP(B52,Data!$A$2:$B$101,2,0)</f>
        <v>Jack Duncan</v>
      </c>
      <c r="D52" s="2" t="s">
        <v>232</v>
      </c>
      <c r="E52" s="2" t="str">
        <f>VLOOKUP(D52,Data!$D$2:$E$121,2,0)</f>
        <v>Unit Way</v>
      </c>
      <c r="F52" s="3">
        <v>45461</v>
      </c>
      <c r="G52" s="42">
        <f>Transactions[[#This Row],[Borrow Date]]+21</f>
        <v>45482</v>
      </c>
      <c r="H52" s="3">
        <v>45482</v>
      </c>
      <c r="I52" s="49" cm="1">
        <f t="array" aca="1" ref="I52" ca="1">_xlfn.IFS(Transactions[[#This Row],[Return Date]]&lt;=Transactions[[#This Row],[Due Date]],0,AND(Transactions[[#This Row],[Return Date]]="",TODAY()&lt;=Transactions[[#This Row],[Due Date]]),0,Transactions[[#This Row],[Return Date]]&gt;Transactions[[#This Row],[Due Date]],Transactions[[#This Row],[Return Date]]-Transactions[[#This Row],[Due Date]],AND(Transactions[[#This Row],[Return Date]]="",TODAY()&gt;Transactions[[#This Row],[Due Date]]),TODAY()-Transactions[[#This Row],[Due Date]])</f>
        <v>0</v>
      </c>
      <c r="J52" s="47">
        <f ca="1">Transactions[[#This Row],[Overdue Days]]</f>
        <v>0</v>
      </c>
    </row>
    <row r="53" spans="1:10">
      <c r="A53" s="2" t="s">
        <v>573</v>
      </c>
      <c r="B53" s="2" t="s">
        <v>37</v>
      </c>
      <c r="C53" s="2" t="str">
        <f>VLOOKUP(B53,Data!$A$2:$B$101,2,0)</f>
        <v>Donna Craig</v>
      </c>
      <c r="D53" s="2" t="s">
        <v>232</v>
      </c>
      <c r="E53" s="2" t="str">
        <f>VLOOKUP(D53,Data!$D$2:$E$121,2,0)</f>
        <v>Unit Way</v>
      </c>
      <c r="F53" s="3">
        <v>45479</v>
      </c>
      <c r="G53" s="42">
        <f>Transactions[[#This Row],[Borrow Date]]+21</f>
        <v>45500</v>
      </c>
      <c r="H53" s="3">
        <v>45498</v>
      </c>
      <c r="I53" s="49" cm="1">
        <f t="array" aca="1" ref="I53" ca="1">_xlfn.IFS(Transactions[[#This Row],[Return Date]]&lt;=Transactions[[#This Row],[Due Date]],0,AND(Transactions[[#This Row],[Return Date]]="",TODAY()&lt;=Transactions[[#This Row],[Due Date]]),0,Transactions[[#This Row],[Return Date]]&gt;Transactions[[#This Row],[Due Date]],Transactions[[#This Row],[Return Date]]-Transactions[[#This Row],[Due Date]],AND(Transactions[[#This Row],[Return Date]]="",TODAY()&gt;Transactions[[#This Row],[Due Date]]),TODAY()-Transactions[[#This Row],[Due Date]])</f>
        <v>0</v>
      </c>
      <c r="J53" s="47">
        <f ca="1">Transactions[[#This Row],[Overdue Days]]</f>
        <v>0</v>
      </c>
    </row>
    <row r="54" spans="1:10">
      <c r="A54" s="2" t="s">
        <v>480</v>
      </c>
      <c r="B54" s="2" t="s">
        <v>74</v>
      </c>
      <c r="C54" s="2" t="str">
        <f>VLOOKUP(B54,Data!$A$2:$B$101,2,0)</f>
        <v>Nancy Day</v>
      </c>
      <c r="D54" s="2" t="s">
        <v>233</v>
      </c>
      <c r="E54" s="2" t="str">
        <f>VLOOKUP(D54,Data!$D$2:$E$121,2,0)</f>
        <v>Us Should Firm Performance</v>
      </c>
      <c r="F54" s="3">
        <v>45449</v>
      </c>
      <c r="G54" s="42">
        <f>Transactions[[#This Row],[Borrow Date]]+21</f>
        <v>45470</v>
      </c>
      <c r="H54" s="3">
        <v>45469</v>
      </c>
      <c r="I54" s="49" cm="1">
        <f t="array" aca="1" ref="I54" ca="1">_xlfn.IFS(Transactions[[#This Row],[Return Date]]&lt;=Transactions[[#This Row],[Due Date]],0,AND(Transactions[[#This Row],[Return Date]]="",TODAY()&lt;=Transactions[[#This Row],[Due Date]]),0,Transactions[[#This Row],[Return Date]]&gt;Transactions[[#This Row],[Due Date]],Transactions[[#This Row],[Return Date]]-Transactions[[#This Row],[Due Date]],AND(Transactions[[#This Row],[Return Date]]="",TODAY()&gt;Transactions[[#This Row],[Due Date]]),TODAY()-Transactions[[#This Row],[Due Date]])</f>
        <v>0</v>
      </c>
      <c r="J54" s="47">
        <f ca="1">Transactions[[#This Row],[Overdue Days]]</f>
        <v>0</v>
      </c>
    </row>
    <row r="55" spans="1:10">
      <c r="A55" s="2" t="s">
        <v>568</v>
      </c>
      <c r="B55" s="2" t="s">
        <v>70</v>
      </c>
      <c r="C55" s="2" t="str">
        <f>VLOOKUP(B55,Data!$A$2:$B$101,2,0)</f>
        <v>Kimberly Cooper</v>
      </c>
      <c r="D55" s="2" t="s">
        <v>234</v>
      </c>
      <c r="E55" s="2" t="str">
        <f>VLOOKUP(D55,Data!$D$2:$E$121,2,0)</f>
        <v>Man Center</v>
      </c>
      <c r="F55" s="3">
        <v>45305</v>
      </c>
      <c r="G55" s="42">
        <f>Transactions[[#This Row],[Borrow Date]]+21</f>
        <v>45326</v>
      </c>
      <c r="H55" s="3">
        <v>45330</v>
      </c>
      <c r="I55" s="49" cm="1">
        <f t="array" aca="1" ref="I55" ca="1">_xlfn.IFS(Transactions[[#This Row],[Return Date]]&lt;=Transactions[[#This Row],[Due Date]],0,AND(Transactions[[#This Row],[Return Date]]="",TODAY()&lt;=Transactions[[#This Row],[Due Date]]),0,Transactions[[#This Row],[Return Date]]&gt;Transactions[[#This Row],[Due Date]],Transactions[[#This Row],[Return Date]]-Transactions[[#This Row],[Due Date]],AND(Transactions[[#This Row],[Return Date]]="",TODAY()&gt;Transactions[[#This Row],[Due Date]]),TODAY()-Transactions[[#This Row],[Due Date]])</f>
        <v>4</v>
      </c>
      <c r="J55" s="47">
        <f ca="1">Transactions[[#This Row],[Overdue Days]]</f>
        <v>4</v>
      </c>
    </row>
    <row r="56" spans="1:10">
      <c r="A56" s="2" t="s">
        <v>645</v>
      </c>
      <c r="B56" s="2" t="s">
        <v>28</v>
      </c>
      <c r="C56" s="2" t="str">
        <f>VLOOKUP(B56,Data!$A$2:$B$101,2,0)</f>
        <v>Nathaniel Bates</v>
      </c>
      <c r="D56" s="2" t="s">
        <v>234</v>
      </c>
      <c r="E56" s="2" t="str">
        <f>VLOOKUP(D56,Data!$D$2:$E$121,2,0)</f>
        <v>Man Center</v>
      </c>
      <c r="F56" s="3">
        <v>45444</v>
      </c>
      <c r="G56" s="42">
        <f>Transactions[[#This Row],[Borrow Date]]+21</f>
        <v>45465</v>
      </c>
      <c r="H56" s="3">
        <v>45460</v>
      </c>
      <c r="I56" s="49" cm="1">
        <f t="array" aca="1" ref="I56" ca="1">_xlfn.IFS(Transactions[[#This Row],[Return Date]]&lt;=Transactions[[#This Row],[Due Date]],0,AND(Transactions[[#This Row],[Return Date]]="",TODAY()&lt;=Transactions[[#This Row],[Due Date]]),0,Transactions[[#This Row],[Return Date]]&gt;Transactions[[#This Row],[Due Date]],Transactions[[#This Row],[Return Date]]-Transactions[[#This Row],[Due Date]],AND(Transactions[[#This Row],[Return Date]]="",TODAY()&gt;Transactions[[#This Row],[Due Date]]),TODAY()-Transactions[[#This Row],[Due Date]])</f>
        <v>0</v>
      </c>
      <c r="J56" s="47">
        <f ca="1">Transactions[[#This Row],[Overdue Days]]</f>
        <v>0</v>
      </c>
    </row>
    <row r="57" spans="1:10">
      <c r="A57" s="2" t="s">
        <v>711</v>
      </c>
      <c r="B57" s="2" t="s">
        <v>18</v>
      </c>
      <c r="C57" s="2" t="str">
        <f>VLOOKUP(B57,Data!$A$2:$B$101,2,0)</f>
        <v>Katelyn Flores</v>
      </c>
      <c r="D57" s="2" t="s">
        <v>234</v>
      </c>
      <c r="E57" s="2" t="str">
        <f>VLOOKUP(D57,Data!$D$2:$E$121,2,0)</f>
        <v>Man Center</v>
      </c>
      <c r="F57" s="3">
        <v>45450</v>
      </c>
      <c r="G57" s="42">
        <f>Transactions[[#This Row],[Borrow Date]]+21</f>
        <v>45471</v>
      </c>
      <c r="H57" s="3">
        <v>45474</v>
      </c>
      <c r="I57" s="49" cm="1">
        <f t="array" aca="1" ref="I57" ca="1">_xlfn.IFS(Transactions[[#This Row],[Return Date]]&lt;=Transactions[[#This Row],[Due Date]],0,AND(Transactions[[#This Row],[Return Date]]="",TODAY()&lt;=Transactions[[#This Row],[Due Date]]),0,Transactions[[#This Row],[Return Date]]&gt;Transactions[[#This Row],[Due Date]],Transactions[[#This Row],[Return Date]]-Transactions[[#This Row],[Due Date]],AND(Transactions[[#This Row],[Return Date]]="",TODAY()&gt;Transactions[[#This Row],[Due Date]]),TODAY()-Transactions[[#This Row],[Due Date]])</f>
        <v>3</v>
      </c>
      <c r="J57" s="47">
        <f ca="1">Transactions[[#This Row],[Overdue Days]]</f>
        <v>3</v>
      </c>
    </row>
    <row r="58" spans="1:10">
      <c r="A58" s="2" t="s">
        <v>456</v>
      </c>
      <c r="B58" s="2" t="s">
        <v>56</v>
      </c>
      <c r="C58" s="2" t="str">
        <f>VLOOKUP(B58,Data!$A$2:$B$101,2,0)</f>
        <v>Clayton Smith</v>
      </c>
      <c r="D58" s="2" t="s">
        <v>235</v>
      </c>
      <c r="E58" s="2" t="str">
        <f>VLOOKUP(D58,Data!$D$2:$E$121,2,0)</f>
        <v>Energy Just</v>
      </c>
      <c r="F58" s="3">
        <v>45406</v>
      </c>
      <c r="G58" s="42">
        <f>Transactions[[#This Row],[Borrow Date]]+21</f>
        <v>45427</v>
      </c>
      <c r="H58" s="3">
        <v>45432</v>
      </c>
      <c r="I58" s="49" cm="1">
        <f t="array" aca="1" ref="I58" ca="1">_xlfn.IFS(Transactions[[#This Row],[Return Date]]&lt;=Transactions[[#This Row],[Due Date]],0,AND(Transactions[[#This Row],[Return Date]]="",TODAY()&lt;=Transactions[[#This Row],[Due Date]]),0,Transactions[[#This Row],[Return Date]]&gt;Transactions[[#This Row],[Due Date]],Transactions[[#This Row],[Return Date]]-Transactions[[#This Row],[Due Date]],AND(Transactions[[#This Row],[Return Date]]="",TODAY()&gt;Transactions[[#This Row],[Due Date]]),TODAY()-Transactions[[#This Row],[Due Date]])</f>
        <v>5</v>
      </c>
      <c r="J58" s="47">
        <f ca="1">Transactions[[#This Row],[Overdue Days]]</f>
        <v>5</v>
      </c>
    </row>
    <row r="59" spans="1:10">
      <c r="A59" s="2" t="s">
        <v>737</v>
      </c>
      <c r="B59" s="2" t="s">
        <v>47</v>
      </c>
      <c r="C59" s="2" t="str">
        <f>VLOOKUP(B59,Data!$A$2:$B$101,2,0)</f>
        <v>Taylor Gray</v>
      </c>
      <c r="D59" s="2" t="s">
        <v>235</v>
      </c>
      <c r="E59" s="2" t="str">
        <f>VLOOKUP(D59,Data!$D$2:$E$121,2,0)</f>
        <v>Energy Just</v>
      </c>
      <c r="F59" s="3">
        <v>45460</v>
      </c>
      <c r="G59" s="42">
        <f>Transactions[[#This Row],[Borrow Date]]+21</f>
        <v>45481</v>
      </c>
      <c r="H59" s="3">
        <v>45482</v>
      </c>
      <c r="I59" s="49" cm="1">
        <f t="array" aca="1" ref="I59" ca="1">_xlfn.IFS(Transactions[[#This Row],[Return Date]]&lt;=Transactions[[#This Row],[Due Date]],0,AND(Transactions[[#This Row],[Return Date]]="",TODAY()&lt;=Transactions[[#This Row],[Due Date]]),0,Transactions[[#This Row],[Return Date]]&gt;Transactions[[#This Row],[Due Date]],Transactions[[#This Row],[Return Date]]-Transactions[[#This Row],[Due Date]],AND(Transactions[[#This Row],[Return Date]]="",TODAY()&gt;Transactions[[#This Row],[Due Date]]),TODAY()-Transactions[[#This Row],[Due Date]])</f>
        <v>1</v>
      </c>
      <c r="J59" s="47">
        <f ca="1">Transactions[[#This Row],[Overdue Days]]</f>
        <v>1</v>
      </c>
    </row>
    <row r="60" spans="1:10">
      <c r="A60" s="2" t="s">
        <v>651</v>
      </c>
      <c r="B60" s="2" t="s">
        <v>8</v>
      </c>
      <c r="C60" s="2" t="str">
        <f>VLOOKUP(B60,Data!$A$2:$B$101,2,0)</f>
        <v>Nicholas Wyatt</v>
      </c>
      <c r="D60" s="2" t="s">
        <v>236</v>
      </c>
      <c r="E60" s="2" t="str">
        <f>VLOOKUP(D60,Data!$D$2:$E$121,2,0)</f>
        <v>Nation</v>
      </c>
      <c r="F60" s="3">
        <v>45296</v>
      </c>
      <c r="G60" s="42">
        <f>Transactions[[#This Row],[Borrow Date]]+21</f>
        <v>45317</v>
      </c>
      <c r="H60" s="3">
        <v>45320</v>
      </c>
      <c r="I60" s="49" cm="1">
        <f t="array" aca="1" ref="I60" ca="1">_xlfn.IFS(Transactions[[#This Row],[Return Date]]&lt;=Transactions[[#This Row],[Due Date]],0,AND(Transactions[[#This Row],[Return Date]]="",TODAY()&lt;=Transactions[[#This Row],[Due Date]]),0,Transactions[[#This Row],[Return Date]]&gt;Transactions[[#This Row],[Due Date]],Transactions[[#This Row],[Return Date]]-Transactions[[#This Row],[Due Date]],AND(Transactions[[#This Row],[Return Date]]="",TODAY()&gt;Transactions[[#This Row],[Due Date]]),TODAY()-Transactions[[#This Row],[Due Date]])</f>
        <v>3</v>
      </c>
      <c r="J60" s="47">
        <f ca="1">Transactions[[#This Row],[Overdue Days]]</f>
        <v>3</v>
      </c>
    </row>
    <row r="61" spans="1:10">
      <c r="A61" s="2" t="s">
        <v>560</v>
      </c>
      <c r="B61" s="2" t="s">
        <v>69</v>
      </c>
      <c r="C61" s="2" t="str">
        <f>VLOOKUP(B61,Data!$A$2:$B$101,2,0)</f>
        <v>Maria Ramsey</v>
      </c>
      <c r="D61" s="2" t="s">
        <v>237</v>
      </c>
      <c r="E61" s="2" t="str">
        <f>VLOOKUP(D61,Data!$D$2:$E$121,2,0)</f>
        <v>Mission Politics Seven</v>
      </c>
      <c r="F61" s="3">
        <v>45444</v>
      </c>
      <c r="G61" s="42">
        <f>Transactions[[#This Row],[Borrow Date]]+21</f>
        <v>45465</v>
      </c>
      <c r="H61" s="3">
        <v>45470</v>
      </c>
      <c r="I61" s="49" cm="1">
        <f t="array" aca="1" ref="I61" ca="1">_xlfn.IFS(Transactions[[#This Row],[Return Date]]&lt;=Transactions[[#This Row],[Due Date]],0,AND(Transactions[[#This Row],[Return Date]]="",TODAY()&lt;=Transactions[[#This Row],[Due Date]]),0,Transactions[[#This Row],[Return Date]]&gt;Transactions[[#This Row],[Due Date]],Transactions[[#This Row],[Return Date]]-Transactions[[#This Row],[Due Date]],AND(Transactions[[#This Row],[Return Date]]="",TODAY()&gt;Transactions[[#This Row],[Due Date]]),TODAY()-Transactions[[#This Row],[Due Date]])</f>
        <v>5</v>
      </c>
      <c r="J61" s="47">
        <f ca="1">Transactions[[#This Row],[Overdue Days]]</f>
        <v>5</v>
      </c>
    </row>
    <row r="62" spans="1:10">
      <c r="A62" s="2" t="s">
        <v>600</v>
      </c>
      <c r="B62" s="2" t="s">
        <v>95</v>
      </c>
      <c r="C62" s="2" t="str">
        <f>VLOOKUP(B62,Data!$A$2:$B$101,2,0)</f>
        <v>Belinda English</v>
      </c>
      <c r="D62" s="2" t="s">
        <v>237</v>
      </c>
      <c r="E62" s="2" t="str">
        <f>VLOOKUP(D62,Data!$D$2:$E$121,2,0)</f>
        <v>Mission Politics Seven</v>
      </c>
      <c r="F62" s="3">
        <v>45298</v>
      </c>
      <c r="G62" s="42">
        <f>Transactions[[#This Row],[Borrow Date]]+21</f>
        <v>45319</v>
      </c>
      <c r="H62" s="3">
        <v>45321</v>
      </c>
      <c r="I62" s="49" cm="1">
        <f t="array" aca="1" ref="I62" ca="1">_xlfn.IFS(Transactions[[#This Row],[Return Date]]&lt;=Transactions[[#This Row],[Due Date]],0,AND(Transactions[[#This Row],[Return Date]]="",TODAY()&lt;=Transactions[[#This Row],[Due Date]]),0,Transactions[[#This Row],[Return Date]]&gt;Transactions[[#This Row],[Due Date]],Transactions[[#This Row],[Return Date]]-Transactions[[#This Row],[Due Date]],AND(Transactions[[#This Row],[Return Date]]="",TODAY()&gt;Transactions[[#This Row],[Due Date]]),TODAY()-Transactions[[#This Row],[Due Date]])</f>
        <v>2</v>
      </c>
      <c r="J62" s="47">
        <f ca="1">Transactions[[#This Row],[Overdue Days]]</f>
        <v>2</v>
      </c>
    </row>
    <row r="63" spans="1:10">
      <c r="A63" s="2" t="s">
        <v>476</v>
      </c>
      <c r="B63" s="2" t="s">
        <v>97</v>
      </c>
      <c r="C63" s="2" t="str">
        <f>VLOOKUP(B63,Data!$A$2:$B$101,2,0)</f>
        <v>Amber Wright</v>
      </c>
      <c r="D63" s="2" t="s">
        <v>238</v>
      </c>
      <c r="E63" s="2" t="str">
        <f>VLOOKUP(D63,Data!$D$2:$E$121,2,0)</f>
        <v>Large Drop Maybe</v>
      </c>
      <c r="F63" s="3">
        <v>45546</v>
      </c>
      <c r="G63" s="42">
        <f>Transactions[[#This Row],[Borrow Date]]+21</f>
        <v>45567</v>
      </c>
      <c r="H63" s="3">
        <v>45566</v>
      </c>
      <c r="I63" s="49" cm="1">
        <f t="array" aca="1" ref="I63" ca="1">_xlfn.IFS(Transactions[[#This Row],[Return Date]]&lt;=Transactions[[#This Row],[Due Date]],0,AND(Transactions[[#This Row],[Return Date]]="",TODAY()&lt;=Transactions[[#This Row],[Due Date]]),0,Transactions[[#This Row],[Return Date]]&gt;Transactions[[#This Row],[Due Date]],Transactions[[#This Row],[Return Date]]-Transactions[[#This Row],[Due Date]],AND(Transactions[[#This Row],[Return Date]]="",TODAY()&gt;Transactions[[#This Row],[Due Date]]),TODAY()-Transactions[[#This Row],[Due Date]])</f>
        <v>0</v>
      </c>
      <c r="J63" s="47">
        <f ca="1">Transactions[[#This Row],[Overdue Days]]</f>
        <v>0</v>
      </c>
    </row>
    <row r="64" spans="1:10">
      <c r="A64" s="2" t="s">
        <v>701</v>
      </c>
      <c r="B64" s="2" t="s">
        <v>90</v>
      </c>
      <c r="C64" s="2" t="str">
        <f>VLOOKUP(B64,Data!$A$2:$B$101,2,0)</f>
        <v>Edward Price</v>
      </c>
      <c r="D64" s="2" t="s">
        <v>238</v>
      </c>
      <c r="E64" s="2" t="str">
        <f>VLOOKUP(D64,Data!$D$2:$E$121,2,0)</f>
        <v>Large Drop Maybe</v>
      </c>
      <c r="F64" s="3">
        <v>45307</v>
      </c>
      <c r="G64" s="42">
        <f>Transactions[[#This Row],[Borrow Date]]+21</f>
        <v>45328</v>
      </c>
      <c r="H64" s="3">
        <v>45329</v>
      </c>
      <c r="I64" s="49" cm="1">
        <f t="array" aca="1" ref="I64" ca="1">_xlfn.IFS(Transactions[[#This Row],[Return Date]]&lt;=Transactions[[#This Row],[Due Date]],0,AND(Transactions[[#This Row],[Return Date]]="",TODAY()&lt;=Transactions[[#This Row],[Due Date]]),0,Transactions[[#This Row],[Return Date]]&gt;Transactions[[#This Row],[Due Date]],Transactions[[#This Row],[Return Date]]-Transactions[[#This Row],[Due Date]],AND(Transactions[[#This Row],[Return Date]]="",TODAY()&gt;Transactions[[#This Row],[Due Date]]),TODAY()-Transactions[[#This Row],[Due Date]])</f>
        <v>1</v>
      </c>
      <c r="J64" s="47">
        <f ca="1">Transactions[[#This Row],[Overdue Days]]</f>
        <v>1</v>
      </c>
    </row>
    <row r="65" spans="1:10">
      <c r="A65" s="2" t="s">
        <v>467</v>
      </c>
      <c r="B65" s="2" t="s">
        <v>65</v>
      </c>
      <c r="C65" s="2" t="str">
        <f>VLOOKUP(B65,Data!$A$2:$B$101,2,0)</f>
        <v>Maria Villarreal</v>
      </c>
      <c r="D65" s="2" t="s">
        <v>239</v>
      </c>
      <c r="E65" s="2" t="str">
        <f>VLOOKUP(D65,Data!$D$2:$E$121,2,0)</f>
        <v>Impact Center Show</v>
      </c>
      <c r="F65" s="3">
        <v>45457</v>
      </c>
      <c r="G65" s="42">
        <f>Transactions[[#This Row],[Borrow Date]]+21</f>
        <v>45478</v>
      </c>
      <c r="H65" s="3">
        <v>45473</v>
      </c>
      <c r="I65" s="49" cm="1">
        <f t="array" aca="1" ref="I65" ca="1">_xlfn.IFS(Transactions[[#This Row],[Return Date]]&lt;=Transactions[[#This Row],[Due Date]],0,AND(Transactions[[#This Row],[Return Date]]="",TODAY()&lt;=Transactions[[#This Row],[Due Date]]),0,Transactions[[#This Row],[Return Date]]&gt;Transactions[[#This Row],[Due Date]],Transactions[[#This Row],[Return Date]]-Transactions[[#This Row],[Due Date]],AND(Transactions[[#This Row],[Return Date]]="",TODAY()&gt;Transactions[[#This Row],[Due Date]]),TODAY()-Transactions[[#This Row],[Due Date]])</f>
        <v>0</v>
      </c>
      <c r="J65" s="47">
        <f ca="1">Transactions[[#This Row],[Overdue Days]]</f>
        <v>0</v>
      </c>
    </row>
    <row r="66" spans="1:10">
      <c r="A66" s="2" t="s">
        <v>559</v>
      </c>
      <c r="B66" s="2" t="s">
        <v>40</v>
      </c>
      <c r="C66" s="2" t="str">
        <f>VLOOKUP(B66,Data!$A$2:$B$101,2,0)</f>
        <v>Yvonne Morgan</v>
      </c>
      <c r="D66" s="2" t="s">
        <v>239</v>
      </c>
      <c r="E66" s="2" t="str">
        <f>VLOOKUP(D66,Data!$D$2:$E$121,2,0)</f>
        <v>Impact Center Show</v>
      </c>
      <c r="F66" s="3">
        <v>45353</v>
      </c>
      <c r="G66" s="42">
        <f>Transactions[[#This Row],[Borrow Date]]+21</f>
        <v>45374</v>
      </c>
      <c r="H66" s="3">
        <v>45370</v>
      </c>
      <c r="I66" s="49" cm="1">
        <f t="array" aca="1" ref="I66" ca="1">_xlfn.IFS(Transactions[[#This Row],[Return Date]]&lt;=Transactions[[#This Row],[Due Date]],0,AND(Transactions[[#This Row],[Return Date]]="",TODAY()&lt;=Transactions[[#This Row],[Due Date]]),0,Transactions[[#This Row],[Return Date]]&gt;Transactions[[#This Row],[Due Date]],Transactions[[#This Row],[Return Date]]-Transactions[[#This Row],[Due Date]],AND(Transactions[[#This Row],[Return Date]]="",TODAY()&gt;Transactions[[#This Row],[Due Date]]),TODAY()-Transactions[[#This Row],[Due Date]])</f>
        <v>0</v>
      </c>
      <c r="J66" s="47">
        <f ca="1">Transactions[[#This Row],[Overdue Days]]</f>
        <v>0</v>
      </c>
    </row>
    <row r="67" spans="1:10">
      <c r="A67" s="2" t="s">
        <v>612</v>
      </c>
      <c r="B67" s="2" t="s">
        <v>71</v>
      </c>
      <c r="C67" s="2" t="str">
        <f>VLOOKUP(B67,Data!$A$2:$B$101,2,0)</f>
        <v>Daniel King DDS</v>
      </c>
      <c r="D67" s="2" t="s">
        <v>239</v>
      </c>
      <c r="E67" s="2" t="str">
        <f>VLOOKUP(D67,Data!$D$2:$E$121,2,0)</f>
        <v>Impact Center Show</v>
      </c>
      <c r="F67" s="3">
        <v>45337</v>
      </c>
      <c r="G67" s="42">
        <f>Transactions[[#This Row],[Borrow Date]]+21</f>
        <v>45358</v>
      </c>
      <c r="H67" s="3">
        <v>45358</v>
      </c>
      <c r="I67" s="49" cm="1">
        <f t="array" aca="1" ref="I67" ca="1">_xlfn.IFS(Transactions[[#This Row],[Return Date]]&lt;=Transactions[[#This Row],[Due Date]],0,AND(Transactions[[#This Row],[Return Date]]="",TODAY()&lt;=Transactions[[#This Row],[Due Date]]),0,Transactions[[#This Row],[Return Date]]&gt;Transactions[[#This Row],[Due Date]],Transactions[[#This Row],[Return Date]]-Transactions[[#This Row],[Due Date]],AND(Transactions[[#This Row],[Return Date]]="",TODAY()&gt;Transactions[[#This Row],[Due Date]]),TODAY()-Transactions[[#This Row],[Due Date]])</f>
        <v>0</v>
      </c>
      <c r="J67" s="47">
        <f ca="1">Transactions[[#This Row],[Overdue Days]]</f>
        <v>0</v>
      </c>
    </row>
    <row r="68" spans="1:10">
      <c r="A68" s="2" t="s">
        <v>534</v>
      </c>
      <c r="B68" s="2" t="s">
        <v>61</v>
      </c>
      <c r="C68" s="2" t="str">
        <f>VLOOKUP(B68,Data!$A$2:$B$101,2,0)</f>
        <v>Scott Howell</v>
      </c>
      <c r="D68" s="2" t="s">
        <v>240</v>
      </c>
      <c r="E68" s="2" t="str">
        <f>VLOOKUP(D68,Data!$D$2:$E$121,2,0)</f>
        <v>Account Article</v>
      </c>
      <c r="F68" s="3">
        <v>45347</v>
      </c>
      <c r="G68" s="42">
        <f>Transactions[[#This Row],[Borrow Date]]+21</f>
        <v>45368</v>
      </c>
      <c r="H68" s="3">
        <v>45366</v>
      </c>
      <c r="I68" s="49" cm="1">
        <f t="array" aca="1" ref="I68" ca="1">_xlfn.IFS(Transactions[[#This Row],[Return Date]]&lt;=Transactions[[#This Row],[Due Date]],0,AND(Transactions[[#This Row],[Return Date]]="",TODAY()&lt;=Transactions[[#This Row],[Due Date]]),0,Transactions[[#This Row],[Return Date]]&gt;Transactions[[#This Row],[Due Date]],Transactions[[#This Row],[Return Date]]-Transactions[[#This Row],[Due Date]],AND(Transactions[[#This Row],[Return Date]]="",TODAY()&gt;Transactions[[#This Row],[Due Date]]),TODAY()-Transactions[[#This Row],[Due Date]])</f>
        <v>0</v>
      </c>
      <c r="J68" s="47">
        <f ca="1">Transactions[[#This Row],[Overdue Days]]</f>
        <v>0</v>
      </c>
    </row>
    <row r="69" spans="1:10">
      <c r="A69" s="2" t="s">
        <v>678</v>
      </c>
      <c r="B69" s="2" t="s">
        <v>50</v>
      </c>
      <c r="C69" s="2" t="str">
        <f>VLOOKUP(B69,Data!$A$2:$B$101,2,0)</f>
        <v>Susan Moreno</v>
      </c>
      <c r="D69" s="2" t="s">
        <v>240</v>
      </c>
      <c r="E69" s="2" t="str">
        <f>VLOOKUP(D69,Data!$D$2:$E$121,2,0)</f>
        <v>Account Article</v>
      </c>
      <c r="F69" s="3">
        <v>45322</v>
      </c>
      <c r="G69" s="42">
        <f>Transactions[[#This Row],[Borrow Date]]+21</f>
        <v>45343</v>
      </c>
      <c r="H69" s="3">
        <v>45348</v>
      </c>
      <c r="I69" s="49" cm="1">
        <f t="array" aca="1" ref="I69" ca="1">_xlfn.IFS(Transactions[[#This Row],[Return Date]]&lt;=Transactions[[#This Row],[Due Date]],0,AND(Transactions[[#This Row],[Return Date]]="",TODAY()&lt;=Transactions[[#This Row],[Due Date]]),0,Transactions[[#This Row],[Return Date]]&gt;Transactions[[#This Row],[Due Date]],Transactions[[#This Row],[Return Date]]-Transactions[[#This Row],[Due Date]],AND(Transactions[[#This Row],[Return Date]]="",TODAY()&gt;Transactions[[#This Row],[Due Date]]),TODAY()-Transactions[[#This Row],[Due Date]])</f>
        <v>5</v>
      </c>
      <c r="J69" s="47">
        <f ca="1">Transactions[[#This Row],[Overdue Days]]</f>
        <v>5</v>
      </c>
    </row>
    <row r="70" spans="1:10">
      <c r="A70" s="2" t="s">
        <v>606</v>
      </c>
      <c r="B70" s="2" t="s">
        <v>78</v>
      </c>
      <c r="C70" s="2" t="str">
        <f>VLOOKUP(B70,Data!$A$2:$B$101,2,0)</f>
        <v>Thomas Flores</v>
      </c>
      <c r="D70" s="2" t="s">
        <v>241</v>
      </c>
      <c r="E70" s="2" t="str">
        <f>VLOOKUP(D70,Data!$D$2:$E$121,2,0)</f>
        <v>Report Anything Adult Capital</v>
      </c>
      <c r="F70" s="3">
        <v>45445</v>
      </c>
      <c r="G70" s="42">
        <f>Transactions[[#This Row],[Borrow Date]]+21</f>
        <v>45466</v>
      </c>
      <c r="H70" s="3">
        <v>45469</v>
      </c>
      <c r="I70" s="49" cm="1">
        <f t="array" aca="1" ref="I70" ca="1">_xlfn.IFS(Transactions[[#This Row],[Return Date]]&lt;=Transactions[[#This Row],[Due Date]],0,AND(Transactions[[#This Row],[Return Date]]="",TODAY()&lt;=Transactions[[#This Row],[Due Date]]),0,Transactions[[#This Row],[Return Date]]&gt;Transactions[[#This Row],[Due Date]],Transactions[[#This Row],[Return Date]]-Transactions[[#This Row],[Due Date]],AND(Transactions[[#This Row],[Return Date]]="",TODAY()&gt;Transactions[[#This Row],[Due Date]]),TODAY()-Transactions[[#This Row],[Due Date]])</f>
        <v>3</v>
      </c>
      <c r="J70" s="47">
        <f ca="1">Transactions[[#This Row],[Overdue Days]]</f>
        <v>3</v>
      </c>
    </row>
    <row r="71" spans="1:10">
      <c r="A71" s="2" t="s">
        <v>644</v>
      </c>
      <c r="B71" s="2" t="s">
        <v>33</v>
      </c>
      <c r="C71" s="2" t="str">
        <f>VLOOKUP(B71,Data!$A$2:$B$101,2,0)</f>
        <v>Jason Oconnor</v>
      </c>
      <c r="D71" s="2" t="s">
        <v>241</v>
      </c>
      <c r="E71" s="2" t="str">
        <f>VLOOKUP(D71,Data!$D$2:$E$121,2,0)</f>
        <v>Report Anything Adult Capital</v>
      </c>
      <c r="F71" s="3">
        <v>45450</v>
      </c>
      <c r="G71" s="42">
        <f>Transactions[[#This Row],[Borrow Date]]+21</f>
        <v>45471</v>
      </c>
      <c r="H71" s="3">
        <v>45474</v>
      </c>
      <c r="I71" s="49" cm="1">
        <f t="array" aca="1" ref="I71" ca="1">_xlfn.IFS(Transactions[[#This Row],[Return Date]]&lt;=Transactions[[#This Row],[Due Date]],0,AND(Transactions[[#This Row],[Return Date]]="",TODAY()&lt;=Transactions[[#This Row],[Due Date]]),0,Transactions[[#This Row],[Return Date]]&gt;Transactions[[#This Row],[Due Date]],Transactions[[#This Row],[Return Date]]-Transactions[[#This Row],[Due Date]],AND(Transactions[[#This Row],[Return Date]]="",TODAY()&gt;Transactions[[#This Row],[Due Date]]),TODAY()-Transactions[[#This Row],[Due Date]])</f>
        <v>3</v>
      </c>
      <c r="J71" s="47">
        <f ca="1">Transactions[[#This Row],[Overdue Days]]</f>
        <v>3</v>
      </c>
    </row>
    <row r="72" spans="1:10">
      <c r="A72" s="2" t="s">
        <v>519</v>
      </c>
      <c r="B72" s="2" t="s">
        <v>39</v>
      </c>
      <c r="C72" s="2" t="str">
        <f>VLOOKUP(B72,Data!$A$2:$B$101,2,0)</f>
        <v>Hailey Brown</v>
      </c>
      <c r="D72" s="2" t="s">
        <v>242</v>
      </c>
      <c r="E72" s="2" t="str">
        <f>VLOOKUP(D72,Data!$D$2:$E$121,2,0)</f>
        <v>Force Culture</v>
      </c>
      <c r="F72" s="3">
        <v>45653</v>
      </c>
      <c r="G72" s="42">
        <f>Transactions[[#This Row],[Borrow Date]]+21</f>
        <v>45674</v>
      </c>
      <c r="H72" s="3" t="s">
        <v>748</v>
      </c>
      <c r="I72" s="49" t="e" cm="1">
        <f t="array" aca="1" ref="I72" ca="1">_xlfn.IFS(Transactions[[#This Row],[Return Date]]&lt;=Transactions[[#This Row],[Due Date]],0,AND(Transactions[[#This Row],[Return Date]]="",TODAY()&lt;=Transactions[[#This Row],[Due Date]]),0,Transactions[[#This Row],[Return Date]]&gt;Transactions[[#This Row],[Due Date]],Transactions[[#This Row],[Return Date]]-Transactions[[#This Row],[Due Date]],AND(Transactions[[#This Row],[Return Date]]="",TODAY()&gt;Transactions[[#This Row],[Due Date]]),TODAY()-Transactions[[#This Row],[Due Date]])</f>
        <v>#VALUE!</v>
      </c>
      <c r="J72" s="47" t="e">
        <f ca="1">Transactions[[#This Row],[Overdue Days]]</f>
        <v>#VALUE!</v>
      </c>
    </row>
    <row r="73" spans="1:10">
      <c r="A73" s="2" t="s">
        <v>629</v>
      </c>
      <c r="B73" s="2" t="s">
        <v>79</v>
      </c>
      <c r="C73" s="2" t="str">
        <f>VLOOKUP(B73,Data!$A$2:$B$101,2,0)</f>
        <v>Christopher Fleming</v>
      </c>
      <c r="D73" s="2" t="s">
        <v>242</v>
      </c>
      <c r="E73" s="2" t="str">
        <f>VLOOKUP(D73,Data!$D$2:$E$121,2,0)</f>
        <v>Force Culture</v>
      </c>
      <c r="F73" s="3">
        <v>45652</v>
      </c>
      <c r="G73" s="42">
        <f>Transactions[[#This Row],[Borrow Date]]+21</f>
        <v>45673</v>
      </c>
      <c r="H73" s="3" t="s">
        <v>748</v>
      </c>
      <c r="I73" s="49" t="e" cm="1">
        <f t="array" aca="1" ref="I73" ca="1">_xlfn.IFS(Transactions[[#This Row],[Return Date]]&lt;=Transactions[[#This Row],[Due Date]],0,AND(Transactions[[#This Row],[Return Date]]="",TODAY()&lt;=Transactions[[#This Row],[Due Date]]),0,Transactions[[#This Row],[Return Date]]&gt;Transactions[[#This Row],[Due Date]],Transactions[[#This Row],[Return Date]]-Transactions[[#This Row],[Due Date]],AND(Transactions[[#This Row],[Return Date]]="",TODAY()&gt;Transactions[[#This Row],[Due Date]]),TODAY()-Transactions[[#This Row],[Due Date]])</f>
        <v>#VALUE!</v>
      </c>
      <c r="J73" s="47" t="e">
        <f ca="1">Transactions[[#This Row],[Overdue Days]]</f>
        <v>#VALUE!</v>
      </c>
    </row>
    <row r="74" spans="1:10">
      <c r="A74" s="2" t="s">
        <v>707</v>
      </c>
      <c r="B74" s="2" t="s">
        <v>94</v>
      </c>
      <c r="C74" s="2" t="str">
        <f>VLOOKUP(B74,Data!$A$2:$B$101,2,0)</f>
        <v>Jeremy Phillips</v>
      </c>
      <c r="D74" s="2" t="s">
        <v>242</v>
      </c>
      <c r="E74" s="2" t="str">
        <f>VLOOKUP(D74,Data!$D$2:$E$121,2,0)</f>
        <v>Force Culture</v>
      </c>
      <c r="F74" s="3">
        <v>45651</v>
      </c>
      <c r="G74" s="42">
        <f>Transactions[[#This Row],[Borrow Date]]+21</f>
        <v>45672</v>
      </c>
      <c r="H74" s="3" t="s">
        <v>748</v>
      </c>
      <c r="I74" s="49" t="e" cm="1">
        <f t="array" aca="1" ref="I74" ca="1">_xlfn.IFS(Transactions[[#This Row],[Return Date]]&lt;=Transactions[[#This Row],[Due Date]],0,AND(Transactions[[#This Row],[Return Date]]="",TODAY()&lt;=Transactions[[#This Row],[Due Date]]),0,Transactions[[#This Row],[Return Date]]&gt;Transactions[[#This Row],[Due Date]],Transactions[[#This Row],[Return Date]]-Transactions[[#This Row],[Due Date]],AND(Transactions[[#This Row],[Return Date]]="",TODAY()&gt;Transactions[[#This Row],[Due Date]]),TODAY()-Transactions[[#This Row],[Due Date]])</f>
        <v>#VALUE!</v>
      </c>
      <c r="J74" s="47" t="e">
        <f ca="1">Transactions[[#This Row],[Overdue Days]]</f>
        <v>#VALUE!</v>
      </c>
    </row>
    <row r="75" spans="1:10">
      <c r="A75" s="2" t="s">
        <v>679</v>
      </c>
      <c r="B75" s="2" t="s">
        <v>50</v>
      </c>
      <c r="C75" s="2" t="str">
        <f>VLOOKUP(B75,Data!$A$2:$B$101,2,0)</f>
        <v>Susan Moreno</v>
      </c>
      <c r="D75" s="2" t="s">
        <v>243</v>
      </c>
      <c r="E75" s="2" t="str">
        <f>VLOOKUP(D75,Data!$D$2:$E$121,2,0)</f>
        <v>Cup</v>
      </c>
      <c r="F75" s="3">
        <v>45551</v>
      </c>
      <c r="G75" s="42">
        <f>Transactions[[#This Row],[Borrow Date]]+21</f>
        <v>45572</v>
      </c>
      <c r="H75" s="3">
        <v>45577</v>
      </c>
      <c r="I75" s="49" cm="1">
        <f t="array" aca="1" ref="I75" ca="1">_xlfn.IFS(Transactions[[#This Row],[Return Date]]&lt;=Transactions[[#This Row],[Due Date]],0,AND(Transactions[[#This Row],[Return Date]]="",TODAY()&lt;=Transactions[[#This Row],[Due Date]]),0,Transactions[[#This Row],[Return Date]]&gt;Transactions[[#This Row],[Due Date]],Transactions[[#This Row],[Return Date]]-Transactions[[#This Row],[Due Date]],AND(Transactions[[#This Row],[Return Date]]="",TODAY()&gt;Transactions[[#This Row],[Due Date]]),TODAY()-Transactions[[#This Row],[Due Date]])</f>
        <v>5</v>
      </c>
      <c r="J75" s="47">
        <f ca="1">Transactions[[#This Row],[Overdue Days]]</f>
        <v>5</v>
      </c>
    </row>
    <row r="76" spans="1:10">
      <c r="A76" s="2" t="s">
        <v>537</v>
      </c>
      <c r="B76" s="2" t="s">
        <v>70</v>
      </c>
      <c r="C76" s="2" t="str">
        <f>VLOOKUP(B76,Data!$A$2:$B$101,2,0)</f>
        <v>Kimberly Cooper</v>
      </c>
      <c r="D76" s="2" t="s">
        <v>244</v>
      </c>
      <c r="E76" s="2" t="str">
        <f>VLOOKUP(D76,Data!$D$2:$E$121,2,0)</f>
        <v>After History May</v>
      </c>
      <c r="F76" s="3">
        <v>45376</v>
      </c>
      <c r="G76" s="42">
        <f>Transactions[[#This Row],[Borrow Date]]+21</f>
        <v>45397</v>
      </c>
      <c r="H76" s="3">
        <v>45393</v>
      </c>
      <c r="I76" s="49" cm="1">
        <f t="array" aca="1" ref="I76" ca="1">_xlfn.IFS(Transactions[[#This Row],[Return Date]]&lt;=Transactions[[#This Row],[Due Date]],0,AND(Transactions[[#This Row],[Return Date]]="",TODAY()&lt;=Transactions[[#This Row],[Due Date]]),0,Transactions[[#This Row],[Return Date]]&gt;Transactions[[#This Row],[Due Date]],Transactions[[#This Row],[Return Date]]-Transactions[[#This Row],[Due Date]],AND(Transactions[[#This Row],[Return Date]]="",TODAY()&gt;Transactions[[#This Row],[Due Date]]),TODAY()-Transactions[[#This Row],[Due Date]])</f>
        <v>0</v>
      </c>
      <c r="J76" s="47">
        <f ca="1">Transactions[[#This Row],[Overdue Days]]</f>
        <v>0</v>
      </c>
    </row>
    <row r="77" spans="1:10">
      <c r="A77" s="2" t="s">
        <v>657</v>
      </c>
      <c r="B77" s="2" t="s">
        <v>68</v>
      </c>
      <c r="C77" s="2" t="str">
        <f>VLOOKUP(B77,Data!$A$2:$B$101,2,0)</f>
        <v>Russell Sutton</v>
      </c>
      <c r="D77" s="2" t="s">
        <v>244</v>
      </c>
      <c r="E77" s="2" t="str">
        <f>VLOOKUP(D77,Data!$D$2:$E$121,2,0)</f>
        <v>After History May</v>
      </c>
      <c r="F77" s="3">
        <v>45534</v>
      </c>
      <c r="G77" s="42">
        <f>Transactions[[#This Row],[Borrow Date]]+21</f>
        <v>45555</v>
      </c>
      <c r="H77" s="3">
        <v>45553</v>
      </c>
      <c r="I77" s="49" cm="1">
        <f t="array" aca="1" ref="I77" ca="1">_xlfn.IFS(Transactions[[#This Row],[Return Date]]&lt;=Transactions[[#This Row],[Due Date]],0,AND(Transactions[[#This Row],[Return Date]]="",TODAY()&lt;=Transactions[[#This Row],[Due Date]]),0,Transactions[[#This Row],[Return Date]]&gt;Transactions[[#This Row],[Due Date]],Transactions[[#This Row],[Return Date]]-Transactions[[#This Row],[Due Date]],AND(Transactions[[#This Row],[Return Date]]="",TODAY()&gt;Transactions[[#This Row],[Due Date]]),TODAY()-Transactions[[#This Row],[Due Date]])</f>
        <v>0</v>
      </c>
      <c r="J77" s="47">
        <f ca="1">Transactions[[#This Row],[Overdue Days]]</f>
        <v>0</v>
      </c>
    </row>
    <row r="78" spans="1:10">
      <c r="A78" s="2" t="s">
        <v>687</v>
      </c>
      <c r="B78" s="2" t="s">
        <v>38</v>
      </c>
      <c r="C78" s="2" t="str">
        <f>VLOOKUP(B78,Data!$A$2:$B$101,2,0)</f>
        <v>Tommy Miller</v>
      </c>
      <c r="D78" s="2" t="s">
        <v>244</v>
      </c>
      <c r="E78" s="2" t="str">
        <f>VLOOKUP(D78,Data!$D$2:$E$121,2,0)</f>
        <v>After History May</v>
      </c>
      <c r="F78" s="3">
        <v>45386</v>
      </c>
      <c r="G78" s="42">
        <f>Transactions[[#This Row],[Borrow Date]]+21</f>
        <v>45407</v>
      </c>
      <c r="H78" s="3">
        <v>45406</v>
      </c>
      <c r="I78" s="49" cm="1">
        <f t="array" aca="1" ref="I78" ca="1">_xlfn.IFS(Transactions[[#This Row],[Return Date]]&lt;=Transactions[[#This Row],[Due Date]],0,AND(Transactions[[#This Row],[Return Date]]="",TODAY()&lt;=Transactions[[#This Row],[Due Date]]),0,Transactions[[#This Row],[Return Date]]&gt;Transactions[[#This Row],[Due Date]],Transactions[[#This Row],[Return Date]]-Transactions[[#This Row],[Due Date]],AND(Transactions[[#This Row],[Return Date]]="",TODAY()&gt;Transactions[[#This Row],[Due Date]]),TODAY()-Transactions[[#This Row],[Due Date]])</f>
        <v>0</v>
      </c>
      <c r="J78" s="47">
        <f ca="1">Transactions[[#This Row],[Overdue Days]]</f>
        <v>0</v>
      </c>
    </row>
    <row r="79" spans="1:10">
      <c r="A79" s="2" t="s">
        <v>526</v>
      </c>
      <c r="B79" s="2" t="s">
        <v>63</v>
      </c>
      <c r="C79" s="2" t="str">
        <f>VLOOKUP(B79,Data!$A$2:$B$101,2,0)</f>
        <v>Kenneth Mitchell Jr.</v>
      </c>
      <c r="D79" s="2" t="s">
        <v>245</v>
      </c>
      <c r="E79" s="2" t="str">
        <f>VLOOKUP(D79,Data!$D$2:$E$121,2,0)</f>
        <v>Necessary Bill</v>
      </c>
      <c r="F79" s="3">
        <v>45351</v>
      </c>
      <c r="G79" s="42">
        <f>Transactions[[#This Row],[Borrow Date]]+21</f>
        <v>45372</v>
      </c>
      <c r="H79" s="3">
        <v>45372</v>
      </c>
      <c r="I79" s="49" cm="1">
        <f t="array" aca="1" ref="I79" ca="1">_xlfn.IFS(Transactions[[#This Row],[Return Date]]&lt;=Transactions[[#This Row],[Due Date]],0,AND(Transactions[[#This Row],[Return Date]]="",TODAY()&lt;=Transactions[[#This Row],[Due Date]]),0,Transactions[[#This Row],[Return Date]]&gt;Transactions[[#This Row],[Due Date]],Transactions[[#This Row],[Return Date]]-Transactions[[#This Row],[Due Date]],AND(Transactions[[#This Row],[Return Date]]="",TODAY()&gt;Transactions[[#This Row],[Due Date]]),TODAY()-Transactions[[#This Row],[Due Date]])</f>
        <v>0</v>
      </c>
      <c r="J79" s="47">
        <f ca="1">Transactions[[#This Row],[Overdue Days]]</f>
        <v>0</v>
      </c>
    </row>
    <row r="80" spans="1:10">
      <c r="A80" s="2" t="s">
        <v>542</v>
      </c>
      <c r="B80" s="2" t="s">
        <v>58</v>
      </c>
      <c r="C80" s="2" t="str">
        <f>VLOOKUP(B80,Data!$A$2:$B$101,2,0)</f>
        <v>Shari Scott</v>
      </c>
      <c r="D80" s="2" t="s">
        <v>245</v>
      </c>
      <c r="E80" s="2" t="str">
        <f>VLOOKUP(D80,Data!$D$2:$E$121,2,0)</f>
        <v>Necessary Bill</v>
      </c>
      <c r="F80" s="3">
        <v>45332</v>
      </c>
      <c r="G80" s="42">
        <f>Transactions[[#This Row],[Borrow Date]]+21</f>
        <v>45353</v>
      </c>
      <c r="H80" s="3">
        <v>45354</v>
      </c>
      <c r="I80" s="49" cm="1">
        <f t="array" aca="1" ref="I80" ca="1">_xlfn.IFS(Transactions[[#This Row],[Return Date]]&lt;=Transactions[[#This Row],[Due Date]],0,AND(Transactions[[#This Row],[Return Date]]="",TODAY()&lt;=Transactions[[#This Row],[Due Date]]),0,Transactions[[#This Row],[Return Date]]&gt;Transactions[[#This Row],[Due Date]],Transactions[[#This Row],[Return Date]]-Transactions[[#This Row],[Due Date]],AND(Transactions[[#This Row],[Return Date]]="",TODAY()&gt;Transactions[[#This Row],[Due Date]]),TODAY()-Transactions[[#This Row],[Due Date]])</f>
        <v>1</v>
      </c>
      <c r="J80" s="47">
        <f ca="1">Transactions[[#This Row],[Overdue Days]]</f>
        <v>1</v>
      </c>
    </row>
    <row r="81" spans="1:10">
      <c r="A81" s="2" t="s">
        <v>558</v>
      </c>
      <c r="B81" s="2" t="s">
        <v>7</v>
      </c>
      <c r="C81" s="2" t="str">
        <f>VLOOKUP(B81,Data!$A$2:$B$101,2,0)</f>
        <v>William Wolfe</v>
      </c>
      <c r="D81" s="2" t="s">
        <v>245</v>
      </c>
      <c r="E81" s="2" t="str">
        <f>VLOOKUP(D81,Data!$D$2:$E$121,2,0)</f>
        <v>Necessary Bill</v>
      </c>
      <c r="F81" s="3">
        <v>45557</v>
      </c>
      <c r="G81" s="42">
        <f>Transactions[[#This Row],[Borrow Date]]+21</f>
        <v>45578</v>
      </c>
      <c r="H81" s="3">
        <v>45579</v>
      </c>
      <c r="I81" s="49" cm="1">
        <f t="array" aca="1" ref="I81" ca="1">_xlfn.IFS(Transactions[[#This Row],[Return Date]]&lt;=Transactions[[#This Row],[Due Date]],0,AND(Transactions[[#This Row],[Return Date]]="",TODAY()&lt;=Transactions[[#This Row],[Due Date]]),0,Transactions[[#This Row],[Return Date]]&gt;Transactions[[#This Row],[Due Date]],Transactions[[#This Row],[Return Date]]-Transactions[[#This Row],[Due Date]],AND(Transactions[[#This Row],[Return Date]]="",TODAY()&gt;Transactions[[#This Row],[Due Date]]),TODAY()-Transactions[[#This Row],[Due Date]])</f>
        <v>1</v>
      </c>
      <c r="J81" s="47">
        <f ca="1">Transactions[[#This Row],[Overdue Days]]</f>
        <v>1</v>
      </c>
    </row>
    <row r="82" spans="1:10">
      <c r="A82" s="2" t="s">
        <v>682</v>
      </c>
      <c r="B82" s="2" t="s">
        <v>94</v>
      </c>
      <c r="C82" s="2" t="str">
        <f>VLOOKUP(B82,Data!$A$2:$B$101,2,0)</f>
        <v>Jeremy Phillips</v>
      </c>
      <c r="D82" s="2" t="s">
        <v>245</v>
      </c>
      <c r="E82" s="2" t="str">
        <f>VLOOKUP(D82,Data!$D$2:$E$121,2,0)</f>
        <v>Necessary Bill</v>
      </c>
      <c r="F82" s="3">
        <v>45546</v>
      </c>
      <c r="G82" s="42">
        <f>Transactions[[#This Row],[Borrow Date]]+21</f>
        <v>45567</v>
      </c>
      <c r="H82" s="3">
        <v>45562</v>
      </c>
      <c r="I82" s="49" cm="1">
        <f t="array" aca="1" ref="I82" ca="1">_xlfn.IFS(Transactions[[#This Row],[Return Date]]&lt;=Transactions[[#This Row],[Due Date]],0,AND(Transactions[[#This Row],[Return Date]]="",TODAY()&lt;=Transactions[[#This Row],[Due Date]]),0,Transactions[[#This Row],[Return Date]]&gt;Transactions[[#This Row],[Due Date]],Transactions[[#This Row],[Return Date]]-Transactions[[#This Row],[Due Date]],AND(Transactions[[#This Row],[Return Date]]="",TODAY()&gt;Transactions[[#This Row],[Due Date]]),TODAY()-Transactions[[#This Row],[Due Date]])</f>
        <v>0</v>
      </c>
      <c r="J82" s="47">
        <f ca="1">Transactions[[#This Row],[Overdue Days]]</f>
        <v>0</v>
      </c>
    </row>
    <row r="83" spans="1:10">
      <c r="A83" s="2" t="s">
        <v>716</v>
      </c>
      <c r="B83" s="2" t="s">
        <v>77</v>
      </c>
      <c r="C83" s="2" t="str">
        <f>VLOOKUP(B83,Data!$A$2:$B$101,2,0)</f>
        <v>Jack Duncan</v>
      </c>
      <c r="D83" s="2" t="s">
        <v>245</v>
      </c>
      <c r="E83" s="2" t="str">
        <f>VLOOKUP(D83,Data!$D$2:$E$121,2,0)</f>
        <v>Necessary Bill</v>
      </c>
      <c r="F83" s="3">
        <v>45427</v>
      </c>
      <c r="G83" s="42">
        <f>Transactions[[#This Row],[Borrow Date]]+21</f>
        <v>45448</v>
      </c>
      <c r="H83" s="3">
        <v>45452</v>
      </c>
      <c r="I83" s="49" cm="1">
        <f t="array" aca="1" ref="I83" ca="1">_xlfn.IFS(Transactions[[#This Row],[Return Date]]&lt;=Transactions[[#This Row],[Due Date]],0,AND(Transactions[[#This Row],[Return Date]]="",TODAY()&lt;=Transactions[[#This Row],[Due Date]]),0,Transactions[[#This Row],[Return Date]]&gt;Transactions[[#This Row],[Due Date]],Transactions[[#This Row],[Return Date]]-Transactions[[#This Row],[Due Date]],AND(Transactions[[#This Row],[Return Date]]="",TODAY()&gt;Transactions[[#This Row],[Due Date]]),TODAY()-Transactions[[#This Row],[Due Date]])</f>
        <v>4</v>
      </c>
      <c r="J83" s="47">
        <f ca="1">Transactions[[#This Row],[Overdue Days]]</f>
        <v>4</v>
      </c>
    </row>
    <row r="84" spans="1:10">
      <c r="A84" s="2" t="s">
        <v>462</v>
      </c>
      <c r="B84" s="2" t="s">
        <v>67</v>
      </c>
      <c r="C84" s="2" t="str">
        <f>VLOOKUP(B84,Data!$A$2:$B$101,2,0)</f>
        <v>Karen Bauer</v>
      </c>
      <c r="D84" s="2" t="s">
        <v>246</v>
      </c>
      <c r="E84" s="2" t="str">
        <f>VLOOKUP(D84,Data!$D$2:$E$121,2,0)</f>
        <v>Close Recent Nor</v>
      </c>
      <c r="F84" s="3">
        <v>45509</v>
      </c>
      <c r="G84" s="42">
        <f>Transactions[[#This Row],[Borrow Date]]+21</f>
        <v>45530</v>
      </c>
      <c r="H84" s="3">
        <v>45531</v>
      </c>
      <c r="I84" s="49" cm="1">
        <f t="array" aca="1" ref="I84" ca="1">_xlfn.IFS(Transactions[[#This Row],[Return Date]]&lt;=Transactions[[#This Row],[Due Date]],0,AND(Transactions[[#This Row],[Return Date]]="",TODAY()&lt;=Transactions[[#This Row],[Due Date]]),0,Transactions[[#This Row],[Return Date]]&gt;Transactions[[#This Row],[Due Date]],Transactions[[#This Row],[Return Date]]-Transactions[[#This Row],[Due Date]],AND(Transactions[[#This Row],[Return Date]]="",TODAY()&gt;Transactions[[#This Row],[Due Date]]),TODAY()-Transactions[[#This Row],[Due Date]])</f>
        <v>1</v>
      </c>
      <c r="J84" s="47">
        <f ca="1">Transactions[[#This Row],[Overdue Days]]</f>
        <v>1</v>
      </c>
    </row>
    <row r="85" spans="1:10">
      <c r="A85" s="2" t="s">
        <v>640</v>
      </c>
      <c r="B85" s="2" t="s">
        <v>75</v>
      </c>
      <c r="C85" s="2" t="str">
        <f>VLOOKUP(B85,Data!$A$2:$B$101,2,0)</f>
        <v>Shane Garcia</v>
      </c>
      <c r="D85" s="2" t="s">
        <v>246</v>
      </c>
      <c r="E85" s="2" t="str">
        <f>VLOOKUP(D85,Data!$D$2:$E$121,2,0)</f>
        <v>Close Recent Nor</v>
      </c>
      <c r="F85" s="3">
        <v>45298</v>
      </c>
      <c r="G85" s="42">
        <f>Transactions[[#This Row],[Borrow Date]]+21</f>
        <v>45319</v>
      </c>
      <c r="H85" s="3">
        <v>45317</v>
      </c>
      <c r="I85" s="49" cm="1">
        <f t="array" aca="1" ref="I85" ca="1">_xlfn.IFS(Transactions[[#This Row],[Return Date]]&lt;=Transactions[[#This Row],[Due Date]],0,AND(Transactions[[#This Row],[Return Date]]="",TODAY()&lt;=Transactions[[#This Row],[Due Date]]),0,Transactions[[#This Row],[Return Date]]&gt;Transactions[[#This Row],[Due Date]],Transactions[[#This Row],[Return Date]]-Transactions[[#This Row],[Due Date]],AND(Transactions[[#This Row],[Return Date]]="",TODAY()&gt;Transactions[[#This Row],[Due Date]]),TODAY()-Transactions[[#This Row],[Due Date]])</f>
        <v>0</v>
      </c>
      <c r="J85" s="47">
        <f ca="1">Transactions[[#This Row],[Overdue Days]]</f>
        <v>0</v>
      </c>
    </row>
    <row r="86" spans="1:10">
      <c r="A86" s="2" t="s">
        <v>675</v>
      </c>
      <c r="B86" s="2" t="s">
        <v>43</v>
      </c>
      <c r="C86" s="2" t="str">
        <f>VLOOKUP(B86,Data!$A$2:$B$101,2,0)</f>
        <v>Dustin Hall DDS</v>
      </c>
      <c r="D86" s="2" t="s">
        <v>246</v>
      </c>
      <c r="E86" s="2" t="str">
        <f>VLOOKUP(D86,Data!$D$2:$E$121,2,0)</f>
        <v>Close Recent Nor</v>
      </c>
      <c r="F86" s="3">
        <v>45479</v>
      </c>
      <c r="G86" s="42">
        <f>Transactions[[#This Row],[Borrow Date]]+21</f>
        <v>45500</v>
      </c>
      <c r="H86" s="3">
        <v>45496</v>
      </c>
      <c r="I86" s="49" cm="1">
        <f t="array" aca="1" ref="I86" ca="1">_xlfn.IFS(Transactions[[#This Row],[Return Date]]&lt;=Transactions[[#This Row],[Due Date]],0,AND(Transactions[[#This Row],[Return Date]]="",TODAY()&lt;=Transactions[[#This Row],[Due Date]]),0,Transactions[[#This Row],[Return Date]]&gt;Transactions[[#This Row],[Due Date]],Transactions[[#This Row],[Return Date]]-Transactions[[#This Row],[Due Date]],AND(Transactions[[#This Row],[Return Date]]="",TODAY()&gt;Transactions[[#This Row],[Due Date]]),TODAY()-Transactions[[#This Row],[Due Date]])</f>
        <v>0</v>
      </c>
      <c r="J86" s="47">
        <f ca="1">Transactions[[#This Row],[Overdue Days]]</f>
        <v>0</v>
      </c>
    </row>
    <row r="87" spans="1:10">
      <c r="A87" s="2" t="s">
        <v>650</v>
      </c>
      <c r="B87" s="2" t="s">
        <v>60</v>
      </c>
      <c r="C87" s="2" t="str">
        <f>VLOOKUP(B87,Data!$A$2:$B$101,2,0)</f>
        <v>Dillon Payne</v>
      </c>
      <c r="D87" s="2" t="s">
        <v>247</v>
      </c>
      <c r="E87" s="2" t="str">
        <f>VLOOKUP(D87,Data!$D$2:$E$121,2,0)</f>
        <v>Service Treat Past Read</v>
      </c>
      <c r="F87" s="3">
        <v>45508</v>
      </c>
      <c r="G87" s="42">
        <f>Transactions[[#This Row],[Borrow Date]]+21</f>
        <v>45529</v>
      </c>
      <c r="H87" s="3">
        <v>45534</v>
      </c>
      <c r="I87" s="49" cm="1">
        <f t="array" aca="1" ref="I87" ca="1">_xlfn.IFS(Transactions[[#This Row],[Return Date]]&lt;=Transactions[[#This Row],[Due Date]],0,AND(Transactions[[#This Row],[Return Date]]="",TODAY()&lt;=Transactions[[#This Row],[Due Date]]),0,Transactions[[#This Row],[Return Date]]&gt;Transactions[[#This Row],[Due Date]],Transactions[[#This Row],[Return Date]]-Transactions[[#This Row],[Due Date]],AND(Transactions[[#This Row],[Return Date]]="",TODAY()&gt;Transactions[[#This Row],[Due Date]]),TODAY()-Transactions[[#This Row],[Due Date]])</f>
        <v>5</v>
      </c>
      <c r="J87" s="47">
        <f ca="1">Transactions[[#This Row],[Overdue Days]]</f>
        <v>5</v>
      </c>
    </row>
    <row r="88" spans="1:10">
      <c r="A88" s="2" t="s">
        <v>728</v>
      </c>
      <c r="B88" s="2" t="s">
        <v>11</v>
      </c>
      <c r="C88" s="2" t="str">
        <f>VLOOKUP(B88,Data!$A$2:$B$101,2,0)</f>
        <v>Erin Chandler</v>
      </c>
      <c r="D88" s="2" t="s">
        <v>248</v>
      </c>
      <c r="E88" s="2" t="str">
        <f>VLOOKUP(D88,Data!$D$2:$E$121,2,0)</f>
        <v>Area Close Yeah</v>
      </c>
      <c r="F88" s="3">
        <v>45297</v>
      </c>
      <c r="G88" s="42">
        <f>Transactions[[#This Row],[Borrow Date]]+21</f>
        <v>45318</v>
      </c>
      <c r="H88" s="3">
        <v>45312</v>
      </c>
      <c r="I88" s="49" cm="1">
        <f t="array" aca="1" ref="I88" ca="1">_xlfn.IFS(Transactions[[#This Row],[Return Date]]&lt;=Transactions[[#This Row],[Due Date]],0,AND(Transactions[[#This Row],[Return Date]]="",TODAY()&lt;=Transactions[[#This Row],[Due Date]]),0,Transactions[[#This Row],[Return Date]]&gt;Transactions[[#This Row],[Due Date]],Transactions[[#This Row],[Return Date]]-Transactions[[#This Row],[Due Date]],AND(Transactions[[#This Row],[Return Date]]="",TODAY()&gt;Transactions[[#This Row],[Due Date]]),TODAY()-Transactions[[#This Row],[Due Date]])</f>
        <v>0</v>
      </c>
      <c r="J88" s="47">
        <f ca="1">Transactions[[#This Row],[Overdue Days]]</f>
        <v>0</v>
      </c>
    </row>
    <row r="89" spans="1:10">
      <c r="A89" s="2" t="s">
        <v>540</v>
      </c>
      <c r="B89" s="2" t="s">
        <v>76</v>
      </c>
      <c r="C89" s="2" t="str">
        <f>VLOOKUP(B89,Data!$A$2:$B$101,2,0)</f>
        <v>Jennifer Robinson</v>
      </c>
      <c r="D89" s="2" t="s">
        <v>249</v>
      </c>
      <c r="E89" s="2" t="str">
        <f>VLOOKUP(D89,Data!$D$2:$E$121,2,0)</f>
        <v>Idea According</v>
      </c>
      <c r="F89" s="3">
        <v>45518</v>
      </c>
      <c r="G89" s="42">
        <f>Transactions[[#This Row],[Borrow Date]]+21</f>
        <v>45539</v>
      </c>
      <c r="H89" s="3">
        <v>45538</v>
      </c>
      <c r="I89" s="49" cm="1">
        <f t="array" aca="1" ref="I89" ca="1">_xlfn.IFS(Transactions[[#This Row],[Return Date]]&lt;=Transactions[[#This Row],[Due Date]],0,AND(Transactions[[#This Row],[Return Date]]="",TODAY()&lt;=Transactions[[#This Row],[Due Date]]),0,Transactions[[#This Row],[Return Date]]&gt;Transactions[[#This Row],[Due Date]],Transactions[[#This Row],[Return Date]]-Transactions[[#This Row],[Due Date]],AND(Transactions[[#This Row],[Return Date]]="",TODAY()&gt;Transactions[[#This Row],[Due Date]]),TODAY()-Transactions[[#This Row],[Due Date]])</f>
        <v>0</v>
      </c>
      <c r="J89" s="47">
        <f ca="1">Transactions[[#This Row],[Overdue Days]]</f>
        <v>0</v>
      </c>
    </row>
    <row r="90" spans="1:10">
      <c r="A90" s="2" t="s">
        <v>589</v>
      </c>
      <c r="B90" s="2" t="s">
        <v>22</v>
      </c>
      <c r="C90" s="2" t="str">
        <f>VLOOKUP(B90,Data!$A$2:$B$101,2,0)</f>
        <v>David Lopez</v>
      </c>
      <c r="D90" s="2" t="s">
        <v>249</v>
      </c>
      <c r="E90" s="2" t="str">
        <f>VLOOKUP(D90,Data!$D$2:$E$121,2,0)</f>
        <v>Idea According</v>
      </c>
      <c r="F90" s="3">
        <v>45426</v>
      </c>
      <c r="G90" s="42">
        <f>Transactions[[#This Row],[Borrow Date]]+21</f>
        <v>45447</v>
      </c>
      <c r="H90" s="3">
        <v>45447</v>
      </c>
      <c r="I90" s="49" cm="1">
        <f t="array" aca="1" ref="I90" ca="1">_xlfn.IFS(Transactions[[#This Row],[Return Date]]&lt;=Transactions[[#This Row],[Due Date]],0,AND(Transactions[[#This Row],[Return Date]]="",TODAY()&lt;=Transactions[[#This Row],[Due Date]]),0,Transactions[[#This Row],[Return Date]]&gt;Transactions[[#This Row],[Due Date]],Transactions[[#This Row],[Return Date]]-Transactions[[#This Row],[Due Date]],AND(Transactions[[#This Row],[Return Date]]="",TODAY()&gt;Transactions[[#This Row],[Due Date]]),TODAY()-Transactions[[#This Row],[Due Date]])</f>
        <v>0</v>
      </c>
      <c r="J90" s="47">
        <f ca="1">Transactions[[#This Row],[Overdue Days]]</f>
        <v>0</v>
      </c>
    </row>
    <row r="91" spans="1:10">
      <c r="A91" s="2" t="s">
        <v>727</v>
      </c>
      <c r="B91" s="2" t="s">
        <v>47</v>
      </c>
      <c r="C91" s="2" t="str">
        <f>VLOOKUP(B91,Data!$A$2:$B$101,2,0)</f>
        <v>Taylor Gray</v>
      </c>
      <c r="D91" s="2" t="s">
        <v>249</v>
      </c>
      <c r="E91" s="2" t="str">
        <f>VLOOKUP(D91,Data!$D$2:$E$121,2,0)</f>
        <v>Idea According</v>
      </c>
      <c r="F91" s="3">
        <v>45364</v>
      </c>
      <c r="G91" s="42">
        <f>Transactions[[#This Row],[Borrow Date]]+21</f>
        <v>45385</v>
      </c>
      <c r="H91" s="3">
        <v>45384</v>
      </c>
      <c r="I91" s="49" cm="1">
        <f t="array" aca="1" ref="I91" ca="1">_xlfn.IFS(Transactions[[#This Row],[Return Date]]&lt;=Transactions[[#This Row],[Due Date]],0,AND(Transactions[[#This Row],[Return Date]]="",TODAY()&lt;=Transactions[[#This Row],[Due Date]]),0,Transactions[[#This Row],[Return Date]]&gt;Transactions[[#This Row],[Due Date]],Transactions[[#This Row],[Return Date]]-Transactions[[#This Row],[Due Date]],AND(Transactions[[#This Row],[Return Date]]="",TODAY()&gt;Transactions[[#This Row],[Due Date]]),TODAY()-Transactions[[#This Row],[Due Date]])</f>
        <v>0</v>
      </c>
      <c r="J91" s="47">
        <f ca="1">Transactions[[#This Row],[Overdue Days]]</f>
        <v>0</v>
      </c>
    </row>
    <row r="92" spans="1:10">
      <c r="A92" s="2" t="s">
        <v>734</v>
      </c>
      <c r="B92" s="2" t="s">
        <v>100</v>
      </c>
      <c r="C92" s="2" t="str">
        <f>VLOOKUP(B92,Data!$A$2:$B$101,2,0)</f>
        <v>Scott Bradley</v>
      </c>
      <c r="D92" s="2" t="s">
        <v>249</v>
      </c>
      <c r="E92" s="2" t="str">
        <f>VLOOKUP(D92,Data!$D$2:$E$121,2,0)</f>
        <v>Idea According</v>
      </c>
      <c r="F92" s="3">
        <v>45485</v>
      </c>
      <c r="G92" s="42">
        <f>Transactions[[#This Row],[Borrow Date]]+21</f>
        <v>45506</v>
      </c>
      <c r="H92" s="3">
        <v>45508</v>
      </c>
      <c r="I92" s="49" cm="1">
        <f t="array" aca="1" ref="I92" ca="1">_xlfn.IFS(Transactions[[#This Row],[Return Date]]&lt;=Transactions[[#This Row],[Due Date]],0,AND(Transactions[[#This Row],[Return Date]]="",TODAY()&lt;=Transactions[[#This Row],[Due Date]]),0,Transactions[[#This Row],[Return Date]]&gt;Transactions[[#This Row],[Due Date]],Transactions[[#This Row],[Return Date]]-Transactions[[#This Row],[Due Date]],AND(Transactions[[#This Row],[Return Date]]="",TODAY()&gt;Transactions[[#This Row],[Due Date]]),TODAY()-Transactions[[#This Row],[Due Date]])</f>
        <v>2</v>
      </c>
      <c r="J92" s="47">
        <f ca="1">Transactions[[#This Row],[Overdue Days]]</f>
        <v>2</v>
      </c>
    </row>
    <row r="93" spans="1:10">
      <c r="A93" s="2" t="s">
        <v>609</v>
      </c>
      <c r="B93" s="2" t="s">
        <v>38</v>
      </c>
      <c r="C93" s="2" t="str">
        <f>VLOOKUP(B93,Data!$A$2:$B$101,2,0)</f>
        <v>Tommy Miller</v>
      </c>
      <c r="D93" s="2" t="s">
        <v>250</v>
      </c>
      <c r="E93" s="2" t="str">
        <f>VLOOKUP(D93,Data!$D$2:$E$121,2,0)</f>
        <v>Tv Specific Enter</v>
      </c>
      <c r="F93" s="3">
        <v>45652</v>
      </c>
      <c r="G93" s="42">
        <f>Transactions[[#This Row],[Borrow Date]]+21</f>
        <v>45673</v>
      </c>
      <c r="H93" s="3" t="s">
        <v>748</v>
      </c>
      <c r="I93" s="49" t="e" cm="1">
        <f t="array" aca="1" ref="I93" ca="1">_xlfn.IFS(Transactions[[#This Row],[Return Date]]&lt;=Transactions[[#This Row],[Due Date]],0,AND(Transactions[[#This Row],[Return Date]]="",TODAY()&lt;=Transactions[[#This Row],[Due Date]]),0,Transactions[[#This Row],[Return Date]]&gt;Transactions[[#This Row],[Due Date]],Transactions[[#This Row],[Return Date]]-Transactions[[#This Row],[Due Date]],AND(Transactions[[#This Row],[Return Date]]="",TODAY()&gt;Transactions[[#This Row],[Due Date]]),TODAY()-Transactions[[#This Row],[Due Date]])</f>
        <v>#VALUE!</v>
      </c>
      <c r="J93" s="47" t="e">
        <f ca="1">Transactions[[#This Row],[Overdue Days]]</f>
        <v>#VALUE!</v>
      </c>
    </row>
    <row r="94" spans="1:10">
      <c r="A94" s="2" t="s">
        <v>656</v>
      </c>
      <c r="B94" s="2" t="s">
        <v>44</v>
      </c>
      <c r="C94" s="2" t="str">
        <f>VLOOKUP(B94,Data!$A$2:$B$101,2,0)</f>
        <v>Ryan Clayton</v>
      </c>
      <c r="D94" s="2" t="s">
        <v>250</v>
      </c>
      <c r="E94" s="2" t="str">
        <f>VLOOKUP(D94,Data!$D$2:$E$121,2,0)</f>
        <v>Tv Specific Enter</v>
      </c>
      <c r="F94" s="3">
        <v>45621</v>
      </c>
      <c r="G94" s="42">
        <f>Transactions[[#This Row],[Borrow Date]]+21</f>
        <v>45642</v>
      </c>
      <c r="H94" s="3">
        <v>45640</v>
      </c>
      <c r="I94" s="49" cm="1">
        <f t="array" aca="1" ref="I94" ca="1">_xlfn.IFS(Transactions[[#This Row],[Return Date]]&lt;=Transactions[[#This Row],[Due Date]],0,AND(Transactions[[#This Row],[Return Date]]="",TODAY()&lt;=Transactions[[#This Row],[Due Date]]),0,Transactions[[#This Row],[Return Date]]&gt;Transactions[[#This Row],[Due Date]],Transactions[[#This Row],[Return Date]]-Transactions[[#This Row],[Due Date]],AND(Transactions[[#This Row],[Return Date]]="",TODAY()&gt;Transactions[[#This Row],[Due Date]]),TODAY()-Transactions[[#This Row],[Due Date]])</f>
        <v>0</v>
      </c>
      <c r="J94" s="47">
        <f ca="1">Transactions[[#This Row],[Overdue Days]]</f>
        <v>0</v>
      </c>
    </row>
    <row r="95" spans="1:10">
      <c r="A95" s="2" t="s">
        <v>481</v>
      </c>
      <c r="B95" s="2" t="s">
        <v>96</v>
      </c>
      <c r="C95" s="2" t="str">
        <f>VLOOKUP(B95,Data!$A$2:$B$101,2,0)</f>
        <v>Darlene Perry</v>
      </c>
      <c r="D95" s="2" t="s">
        <v>251</v>
      </c>
      <c r="E95" s="2" t="str">
        <f>VLOOKUP(D95,Data!$D$2:$E$121,2,0)</f>
        <v>Shoulder Movie Report</v>
      </c>
      <c r="F95" s="3">
        <v>45514</v>
      </c>
      <c r="G95" s="42">
        <f>Transactions[[#This Row],[Borrow Date]]+21</f>
        <v>45535</v>
      </c>
      <c r="H95" s="3">
        <v>45532</v>
      </c>
      <c r="I95" s="49" cm="1">
        <f t="array" aca="1" ref="I95" ca="1">_xlfn.IFS(Transactions[[#This Row],[Return Date]]&lt;=Transactions[[#This Row],[Due Date]],0,AND(Transactions[[#This Row],[Return Date]]="",TODAY()&lt;=Transactions[[#This Row],[Due Date]]),0,Transactions[[#This Row],[Return Date]]&gt;Transactions[[#This Row],[Due Date]],Transactions[[#This Row],[Return Date]]-Transactions[[#This Row],[Due Date]],AND(Transactions[[#This Row],[Return Date]]="",TODAY()&gt;Transactions[[#This Row],[Due Date]]),TODAY()-Transactions[[#This Row],[Due Date]])</f>
        <v>0</v>
      </c>
      <c r="J95" s="47">
        <f ca="1">Transactions[[#This Row],[Overdue Days]]</f>
        <v>0</v>
      </c>
    </row>
    <row r="96" spans="1:10">
      <c r="A96" s="2" t="s">
        <v>489</v>
      </c>
      <c r="B96" s="2" t="s">
        <v>17</v>
      </c>
      <c r="C96" s="2" t="str">
        <f>VLOOKUP(B96,Data!$A$2:$B$101,2,0)</f>
        <v>Mark Hester</v>
      </c>
      <c r="D96" s="2" t="s">
        <v>251</v>
      </c>
      <c r="E96" s="2" t="str">
        <f>VLOOKUP(D96,Data!$D$2:$E$121,2,0)</f>
        <v>Shoulder Movie Report</v>
      </c>
      <c r="F96" s="3">
        <v>45409</v>
      </c>
      <c r="G96" s="42">
        <f>Transactions[[#This Row],[Borrow Date]]+21</f>
        <v>45430</v>
      </c>
      <c r="H96" s="3">
        <v>45431</v>
      </c>
      <c r="I96" s="49" cm="1">
        <f t="array" aca="1" ref="I96" ca="1">_xlfn.IFS(Transactions[[#This Row],[Return Date]]&lt;=Transactions[[#This Row],[Due Date]],0,AND(Transactions[[#This Row],[Return Date]]="",TODAY()&lt;=Transactions[[#This Row],[Due Date]]),0,Transactions[[#This Row],[Return Date]]&gt;Transactions[[#This Row],[Due Date]],Transactions[[#This Row],[Return Date]]-Transactions[[#This Row],[Due Date]],AND(Transactions[[#This Row],[Return Date]]="",TODAY()&gt;Transactions[[#This Row],[Due Date]]),TODAY()-Transactions[[#This Row],[Due Date]])</f>
        <v>1</v>
      </c>
      <c r="J96" s="47">
        <f ca="1">Transactions[[#This Row],[Overdue Days]]</f>
        <v>1</v>
      </c>
    </row>
    <row r="97" spans="1:10">
      <c r="A97" s="2" t="s">
        <v>521</v>
      </c>
      <c r="B97" s="2" t="s">
        <v>20</v>
      </c>
      <c r="C97" s="2" t="str">
        <f>VLOOKUP(B97,Data!$A$2:$B$101,2,0)</f>
        <v>Mike Roberts</v>
      </c>
      <c r="D97" s="2" t="s">
        <v>251</v>
      </c>
      <c r="E97" s="2" t="str">
        <f>VLOOKUP(D97,Data!$D$2:$E$121,2,0)</f>
        <v>Shoulder Movie Report</v>
      </c>
      <c r="F97" s="3">
        <v>45620</v>
      </c>
      <c r="G97" s="42">
        <f>Transactions[[#This Row],[Borrow Date]]+21</f>
        <v>45641</v>
      </c>
      <c r="H97" s="3">
        <v>45646</v>
      </c>
      <c r="I97" s="49" cm="1">
        <f t="array" aca="1" ref="I97" ca="1">_xlfn.IFS(Transactions[[#This Row],[Return Date]]&lt;=Transactions[[#This Row],[Due Date]],0,AND(Transactions[[#This Row],[Return Date]]="",TODAY()&lt;=Transactions[[#This Row],[Due Date]]),0,Transactions[[#This Row],[Return Date]]&gt;Transactions[[#This Row],[Due Date]],Transactions[[#This Row],[Return Date]]-Transactions[[#This Row],[Due Date]],AND(Transactions[[#This Row],[Return Date]]="",TODAY()&gt;Transactions[[#This Row],[Due Date]]),TODAY()-Transactions[[#This Row],[Due Date]])</f>
        <v>5</v>
      </c>
      <c r="J97" s="47">
        <f ca="1">Transactions[[#This Row],[Overdue Days]]</f>
        <v>5</v>
      </c>
    </row>
    <row r="98" spans="1:10">
      <c r="A98" s="2" t="s">
        <v>624</v>
      </c>
      <c r="B98" s="2" t="s">
        <v>80</v>
      </c>
      <c r="C98" s="2" t="str">
        <f>VLOOKUP(B98,Data!$A$2:$B$101,2,0)</f>
        <v>Gabriella Gonzales</v>
      </c>
      <c r="D98" s="2" t="s">
        <v>251</v>
      </c>
      <c r="E98" s="2" t="str">
        <f>VLOOKUP(D98,Data!$D$2:$E$121,2,0)</f>
        <v>Shoulder Movie Report</v>
      </c>
      <c r="F98" s="3">
        <v>45384</v>
      </c>
      <c r="G98" s="42">
        <f>Transactions[[#This Row],[Borrow Date]]+21</f>
        <v>45405</v>
      </c>
      <c r="H98" s="3">
        <v>45400</v>
      </c>
      <c r="I98" s="49" cm="1">
        <f t="array" aca="1" ref="I98" ca="1">_xlfn.IFS(Transactions[[#This Row],[Return Date]]&lt;=Transactions[[#This Row],[Due Date]],0,AND(Transactions[[#This Row],[Return Date]]="",TODAY()&lt;=Transactions[[#This Row],[Due Date]]),0,Transactions[[#This Row],[Return Date]]&gt;Transactions[[#This Row],[Due Date]],Transactions[[#This Row],[Return Date]]-Transactions[[#This Row],[Due Date]],AND(Transactions[[#This Row],[Return Date]]="",TODAY()&gt;Transactions[[#This Row],[Due Date]]),TODAY()-Transactions[[#This Row],[Due Date]])</f>
        <v>0</v>
      </c>
      <c r="J98" s="47">
        <f ca="1">Transactions[[#This Row],[Overdue Days]]</f>
        <v>0</v>
      </c>
    </row>
    <row r="99" spans="1:10">
      <c r="A99" s="2" t="s">
        <v>648</v>
      </c>
      <c r="B99" s="2" t="s">
        <v>65</v>
      </c>
      <c r="C99" s="2" t="str">
        <f>VLOOKUP(B99,Data!$A$2:$B$101,2,0)</f>
        <v>Maria Villarreal</v>
      </c>
      <c r="D99" s="2" t="s">
        <v>251</v>
      </c>
      <c r="E99" s="2" t="str">
        <f>VLOOKUP(D99,Data!$D$2:$E$121,2,0)</f>
        <v>Shoulder Movie Report</v>
      </c>
      <c r="F99" s="3">
        <v>45303</v>
      </c>
      <c r="G99" s="42">
        <f>Transactions[[#This Row],[Borrow Date]]+21</f>
        <v>45324</v>
      </c>
      <c r="H99" s="3">
        <v>45322</v>
      </c>
      <c r="I99" s="49" cm="1">
        <f t="array" aca="1" ref="I99" ca="1">_xlfn.IFS(Transactions[[#This Row],[Return Date]]&lt;=Transactions[[#This Row],[Due Date]],0,AND(Transactions[[#This Row],[Return Date]]="",TODAY()&lt;=Transactions[[#This Row],[Due Date]]),0,Transactions[[#This Row],[Return Date]]&gt;Transactions[[#This Row],[Due Date]],Transactions[[#This Row],[Return Date]]-Transactions[[#This Row],[Due Date]],AND(Transactions[[#This Row],[Return Date]]="",TODAY()&gt;Transactions[[#This Row],[Due Date]]),TODAY()-Transactions[[#This Row],[Due Date]])</f>
        <v>0</v>
      </c>
      <c r="J99" s="47">
        <f ca="1">Transactions[[#This Row],[Overdue Days]]</f>
        <v>0</v>
      </c>
    </row>
    <row r="100" spans="1:10">
      <c r="A100" s="2" t="s">
        <v>479</v>
      </c>
      <c r="B100" s="2" t="s">
        <v>84</v>
      </c>
      <c r="C100" s="2" t="str">
        <f>VLOOKUP(B100,Data!$A$2:$B$101,2,0)</f>
        <v>Laura Rogers</v>
      </c>
      <c r="D100" s="2" t="s">
        <v>252</v>
      </c>
      <c r="E100" s="2" t="str">
        <f>VLOOKUP(D100,Data!$D$2:$E$121,2,0)</f>
        <v>Name Common Keep</v>
      </c>
      <c r="F100" s="3">
        <v>45545</v>
      </c>
      <c r="G100" s="42">
        <f>Transactions[[#This Row],[Borrow Date]]+21</f>
        <v>45566</v>
      </c>
      <c r="H100" s="3">
        <v>45571</v>
      </c>
      <c r="I100" s="49" cm="1">
        <f t="array" aca="1" ref="I100" ca="1">_xlfn.IFS(Transactions[[#This Row],[Return Date]]&lt;=Transactions[[#This Row],[Due Date]],0,AND(Transactions[[#This Row],[Return Date]]="",TODAY()&lt;=Transactions[[#This Row],[Due Date]]),0,Transactions[[#This Row],[Return Date]]&gt;Transactions[[#This Row],[Due Date]],Transactions[[#This Row],[Return Date]]-Transactions[[#This Row],[Due Date]],AND(Transactions[[#This Row],[Return Date]]="",TODAY()&gt;Transactions[[#This Row],[Due Date]]),TODAY()-Transactions[[#This Row],[Due Date]])</f>
        <v>5</v>
      </c>
      <c r="J100" s="47">
        <f ca="1">Transactions[[#This Row],[Overdue Days]]</f>
        <v>5</v>
      </c>
    </row>
    <row r="101" spans="1:10">
      <c r="A101" s="2" t="s">
        <v>547</v>
      </c>
      <c r="B101" s="2" t="s">
        <v>29</v>
      </c>
      <c r="C101" s="2" t="str">
        <f>VLOOKUP(B101,Data!$A$2:$B$101,2,0)</f>
        <v>Amy Willis</v>
      </c>
      <c r="D101" s="2" t="s">
        <v>252</v>
      </c>
      <c r="E101" s="2" t="str">
        <f>VLOOKUP(D101,Data!$D$2:$E$121,2,0)</f>
        <v>Name Common Keep</v>
      </c>
      <c r="F101" s="3">
        <v>45361</v>
      </c>
      <c r="G101" s="42">
        <f>Transactions[[#This Row],[Borrow Date]]+21</f>
        <v>45382</v>
      </c>
      <c r="H101" s="3">
        <v>45382</v>
      </c>
      <c r="I101" s="49" cm="1">
        <f t="array" aca="1" ref="I101" ca="1">_xlfn.IFS(Transactions[[#This Row],[Return Date]]&lt;=Transactions[[#This Row],[Due Date]],0,AND(Transactions[[#This Row],[Return Date]]="",TODAY()&lt;=Transactions[[#This Row],[Due Date]]),0,Transactions[[#This Row],[Return Date]]&gt;Transactions[[#This Row],[Due Date]],Transactions[[#This Row],[Return Date]]-Transactions[[#This Row],[Due Date]],AND(Transactions[[#This Row],[Return Date]]="",TODAY()&gt;Transactions[[#This Row],[Due Date]]),TODAY()-Transactions[[#This Row],[Due Date]])</f>
        <v>0</v>
      </c>
      <c r="J101" s="47">
        <f ca="1">Transactions[[#This Row],[Overdue Days]]</f>
        <v>0</v>
      </c>
    </row>
    <row r="102" spans="1:10">
      <c r="A102" s="2" t="s">
        <v>577</v>
      </c>
      <c r="B102" s="2" t="s">
        <v>77</v>
      </c>
      <c r="C102" s="2" t="str">
        <f>VLOOKUP(B102,Data!$A$2:$B$101,2,0)</f>
        <v>Jack Duncan</v>
      </c>
      <c r="D102" s="2" t="s">
        <v>252</v>
      </c>
      <c r="E102" s="2" t="str">
        <f>VLOOKUP(D102,Data!$D$2:$E$121,2,0)</f>
        <v>Name Common Keep</v>
      </c>
      <c r="F102" s="3">
        <v>45576</v>
      </c>
      <c r="G102" s="42">
        <f>Transactions[[#This Row],[Borrow Date]]+21</f>
        <v>45597</v>
      </c>
      <c r="H102" s="3">
        <v>45596</v>
      </c>
      <c r="I102" s="49" cm="1">
        <f t="array" aca="1" ref="I102" ca="1">_xlfn.IFS(Transactions[[#This Row],[Return Date]]&lt;=Transactions[[#This Row],[Due Date]],0,AND(Transactions[[#This Row],[Return Date]]="",TODAY()&lt;=Transactions[[#This Row],[Due Date]]),0,Transactions[[#This Row],[Return Date]]&gt;Transactions[[#This Row],[Due Date]],Transactions[[#This Row],[Return Date]]-Transactions[[#This Row],[Due Date]],AND(Transactions[[#This Row],[Return Date]]="",TODAY()&gt;Transactions[[#This Row],[Due Date]]),TODAY()-Transactions[[#This Row],[Due Date]])</f>
        <v>0</v>
      </c>
      <c r="J102" s="47">
        <f ca="1">Transactions[[#This Row],[Overdue Days]]</f>
        <v>0</v>
      </c>
    </row>
    <row r="103" spans="1:10">
      <c r="A103" s="2" t="s">
        <v>618</v>
      </c>
      <c r="B103" s="2" t="s">
        <v>59</v>
      </c>
      <c r="C103" s="2" t="str">
        <f>VLOOKUP(B103,Data!$A$2:$B$101,2,0)</f>
        <v>Amy Shaw</v>
      </c>
      <c r="D103" s="2" t="s">
        <v>253</v>
      </c>
      <c r="E103" s="2" t="str">
        <f>VLOOKUP(D103,Data!$D$2:$E$121,2,0)</f>
        <v>Save</v>
      </c>
      <c r="F103" s="3">
        <v>45327</v>
      </c>
      <c r="G103" s="42">
        <f>Transactions[[#This Row],[Borrow Date]]+21</f>
        <v>45348</v>
      </c>
      <c r="H103" s="3">
        <v>45346</v>
      </c>
      <c r="I103" s="49" cm="1">
        <f t="array" aca="1" ref="I103" ca="1">_xlfn.IFS(Transactions[[#This Row],[Return Date]]&lt;=Transactions[[#This Row],[Due Date]],0,AND(Transactions[[#This Row],[Return Date]]="",TODAY()&lt;=Transactions[[#This Row],[Due Date]]),0,Transactions[[#This Row],[Return Date]]&gt;Transactions[[#This Row],[Due Date]],Transactions[[#This Row],[Return Date]]-Transactions[[#This Row],[Due Date]],AND(Transactions[[#This Row],[Return Date]]="",TODAY()&gt;Transactions[[#This Row],[Due Date]]),TODAY()-Transactions[[#This Row],[Due Date]])</f>
        <v>0</v>
      </c>
      <c r="J103" s="47">
        <f ca="1">Transactions[[#This Row],[Overdue Days]]</f>
        <v>0</v>
      </c>
    </row>
    <row r="104" spans="1:10">
      <c r="A104" s="2" t="s">
        <v>619</v>
      </c>
      <c r="B104" s="2" t="s">
        <v>55</v>
      </c>
      <c r="C104" s="2" t="str">
        <f>VLOOKUP(B104,Data!$A$2:$B$101,2,0)</f>
        <v>Karen Scott</v>
      </c>
      <c r="D104" s="2" t="s">
        <v>253</v>
      </c>
      <c r="E104" s="2" t="str">
        <f>VLOOKUP(D104,Data!$D$2:$E$121,2,0)</f>
        <v>Save</v>
      </c>
      <c r="F104" s="3">
        <v>45512</v>
      </c>
      <c r="G104" s="42">
        <f>Transactions[[#This Row],[Borrow Date]]+21</f>
        <v>45533</v>
      </c>
      <c r="H104" s="3">
        <v>45530</v>
      </c>
      <c r="I104" s="49" cm="1">
        <f t="array" aca="1" ref="I104" ca="1">_xlfn.IFS(Transactions[[#This Row],[Return Date]]&lt;=Transactions[[#This Row],[Due Date]],0,AND(Transactions[[#This Row],[Return Date]]="",TODAY()&lt;=Transactions[[#This Row],[Due Date]]),0,Transactions[[#This Row],[Return Date]]&gt;Transactions[[#This Row],[Due Date]],Transactions[[#This Row],[Return Date]]-Transactions[[#This Row],[Due Date]],AND(Transactions[[#This Row],[Return Date]]="",TODAY()&gt;Transactions[[#This Row],[Due Date]]),TODAY()-Transactions[[#This Row],[Due Date]])</f>
        <v>0</v>
      </c>
      <c r="J104" s="47">
        <f ca="1">Transactions[[#This Row],[Overdue Days]]</f>
        <v>0</v>
      </c>
    </row>
    <row r="105" spans="1:10">
      <c r="A105" s="2" t="s">
        <v>523</v>
      </c>
      <c r="B105" s="2" t="s">
        <v>23</v>
      </c>
      <c r="C105" s="2" t="str">
        <f>VLOOKUP(B105,Data!$A$2:$B$101,2,0)</f>
        <v>Ashley Henry</v>
      </c>
      <c r="D105" s="2" t="s">
        <v>254</v>
      </c>
      <c r="E105" s="2" t="str">
        <f>VLOOKUP(D105,Data!$D$2:$E$121,2,0)</f>
        <v>Account</v>
      </c>
      <c r="F105" s="3">
        <v>45324</v>
      </c>
      <c r="G105" s="42">
        <f>Transactions[[#This Row],[Borrow Date]]+21</f>
        <v>45345</v>
      </c>
      <c r="H105" s="3">
        <v>45340</v>
      </c>
      <c r="I105" s="49" cm="1">
        <f t="array" aca="1" ref="I105" ca="1">_xlfn.IFS(Transactions[[#This Row],[Return Date]]&lt;=Transactions[[#This Row],[Due Date]],0,AND(Transactions[[#This Row],[Return Date]]="",TODAY()&lt;=Transactions[[#This Row],[Due Date]]),0,Transactions[[#This Row],[Return Date]]&gt;Transactions[[#This Row],[Due Date]],Transactions[[#This Row],[Return Date]]-Transactions[[#This Row],[Due Date]],AND(Transactions[[#This Row],[Return Date]]="",TODAY()&gt;Transactions[[#This Row],[Due Date]]),TODAY()-Transactions[[#This Row],[Due Date]])</f>
        <v>0</v>
      </c>
      <c r="J105" s="47">
        <f ca="1">Transactions[[#This Row],[Overdue Days]]</f>
        <v>0</v>
      </c>
    </row>
    <row r="106" spans="1:10">
      <c r="A106" s="2" t="s">
        <v>464</v>
      </c>
      <c r="B106" s="2" t="s">
        <v>77</v>
      </c>
      <c r="C106" s="2" t="str">
        <f>VLOOKUP(B106,Data!$A$2:$B$101,2,0)</f>
        <v>Jack Duncan</v>
      </c>
      <c r="D106" s="2" t="s">
        <v>255</v>
      </c>
      <c r="E106" s="2" t="str">
        <f>VLOOKUP(D106,Data!$D$2:$E$121,2,0)</f>
        <v>Me Issue Free</v>
      </c>
      <c r="F106" s="3">
        <v>45616</v>
      </c>
      <c r="G106" s="42">
        <f>Transactions[[#This Row],[Borrow Date]]+21</f>
        <v>45637</v>
      </c>
      <c r="H106" s="3">
        <v>45632</v>
      </c>
      <c r="I106" s="49" cm="1">
        <f t="array" aca="1" ref="I106" ca="1">_xlfn.IFS(Transactions[[#This Row],[Return Date]]&lt;=Transactions[[#This Row],[Due Date]],0,AND(Transactions[[#This Row],[Return Date]]="",TODAY()&lt;=Transactions[[#This Row],[Due Date]]),0,Transactions[[#This Row],[Return Date]]&gt;Transactions[[#This Row],[Due Date]],Transactions[[#This Row],[Return Date]]-Transactions[[#This Row],[Due Date]],AND(Transactions[[#This Row],[Return Date]]="",TODAY()&gt;Transactions[[#This Row],[Due Date]]),TODAY()-Transactions[[#This Row],[Due Date]])</f>
        <v>0</v>
      </c>
      <c r="J106" s="47">
        <f ca="1">Transactions[[#This Row],[Overdue Days]]</f>
        <v>0</v>
      </c>
    </row>
    <row r="107" spans="1:10">
      <c r="A107" s="2" t="s">
        <v>622</v>
      </c>
      <c r="B107" s="2" t="s">
        <v>35</v>
      </c>
      <c r="C107" s="2" t="str">
        <f>VLOOKUP(B107,Data!$A$2:$B$101,2,0)</f>
        <v>Brian Peters</v>
      </c>
      <c r="D107" s="2" t="s">
        <v>255</v>
      </c>
      <c r="E107" s="2" t="str">
        <f>VLOOKUP(D107,Data!$D$2:$E$121,2,0)</f>
        <v>Me Issue Free</v>
      </c>
      <c r="F107" s="3">
        <v>45343</v>
      </c>
      <c r="G107" s="42">
        <f>Transactions[[#This Row],[Borrow Date]]+21</f>
        <v>45364</v>
      </c>
      <c r="H107" s="3">
        <v>45358</v>
      </c>
      <c r="I107" s="49" cm="1">
        <f t="array" aca="1" ref="I107" ca="1">_xlfn.IFS(Transactions[[#This Row],[Return Date]]&lt;=Transactions[[#This Row],[Due Date]],0,AND(Transactions[[#This Row],[Return Date]]="",TODAY()&lt;=Transactions[[#This Row],[Due Date]]),0,Transactions[[#This Row],[Return Date]]&gt;Transactions[[#This Row],[Due Date]],Transactions[[#This Row],[Return Date]]-Transactions[[#This Row],[Due Date]],AND(Transactions[[#This Row],[Return Date]]="",TODAY()&gt;Transactions[[#This Row],[Due Date]]),TODAY()-Transactions[[#This Row],[Due Date]])</f>
        <v>0</v>
      </c>
      <c r="J107" s="47">
        <f ca="1">Transactions[[#This Row],[Overdue Days]]</f>
        <v>0</v>
      </c>
    </row>
    <row r="108" spans="1:10">
      <c r="A108" s="2" t="s">
        <v>691</v>
      </c>
      <c r="B108" s="2" t="s">
        <v>62</v>
      </c>
      <c r="C108" s="2" t="str">
        <f>VLOOKUP(B108,Data!$A$2:$B$101,2,0)</f>
        <v>Chelsea Brown</v>
      </c>
      <c r="D108" s="2" t="s">
        <v>256</v>
      </c>
      <c r="E108" s="2" t="str">
        <f>VLOOKUP(D108,Data!$D$2:$E$121,2,0)</f>
        <v>Toward</v>
      </c>
      <c r="F108" s="3">
        <v>45505</v>
      </c>
      <c r="G108" s="42">
        <f>Transactions[[#This Row],[Borrow Date]]+21</f>
        <v>45526</v>
      </c>
      <c r="H108" s="3">
        <v>45531</v>
      </c>
      <c r="I108" s="49" cm="1">
        <f t="array" aca="1" ref="I108" ca="1">_xlfn.IFS(Transactions[[#This Row],[Return Date]]&lt;=Transactions[[#This Row],[Due Date]],0,AND(Transactions[[#This Row],[Return Date]]="",TODAY()&lt;=Transactions[[#This Row],[Due Date]]),0,Transactions[[#This Row],[Return Date]]&gt;Transactions[[#This Row],[Due Date]],Transactions[[#This Row],[Return Date]]-Transactions[[#This Row],[Due Date]],AND(Transactions[[#This Row],[Return Date]]="",TODAY()&gt;Transactions[[#This Row],[Due Date]]),TODAY()-Transactions[[#This Row],[Due Date]])</f>
        <v>5</v>
      </c>
      <c r="J108" s="47">
        <f ca="1">Transactions[[#This Row],[Overdue Days]]</f>
        <v>5</v>
      </c>
    </row>
    <row r="109" spans="1:10">
      <c r="A109" s="2" t="s">
        <v>641</v>
      </c>
      <c r="B109" s="2" t="s">
        <v>63</v>
      </c>
      <c r="C109" s="2" t="str">
        <f>VLOOKUP(B109,Data!$A$2:$B$101,2,0)</f>
        <v>Kenneth Mitchell Jr.</v>
      </c>
      <c r="D109" s="2" t="s">
        <v>257</v>
      </c>
      <c r="E109" s="2" t="str">
        <f>VLOOKUP(D109,Data!$D$2:$E$121,2,0)</f>
        <v>Represent Camera</v>
      </c>
      <c r="F109" s="3">
        <v>45492</v>
      </c>
      <c r="G109" s="42">
        <f>Transactions[[#This Row],[Borrow Date]]+21</f>
        <v>45513</v>
      </c>
      <c r="H109" s="3">
        <v>45511</v>
      </c>
      <c r="I109" s="49" cm="1">
        <f t="array" aca="1" ref="I109" ca="1">_xlfn.IFS(Transactions[[#This Row],[Return Date]]&lt;=Transactions[[#This Row],[Due Date]],0,AND(Transactions[[#This Row],[Return Date]]="",TODAY()&lt;=Transactions[[#This Row],[Due Date]]),0,Transactions[[#This Row],[Return Date]]&gt;Transactions[[#This Row],[Due Date]],Transactions[[#This Row],[Return Date]]-Transactions[[#This Row],[Due Date]],AND(Transactions[[#This Row],[Return Date]]="",TODAY()&gt;Transactions[[#This Row],[Due Date]]),TODAY()-Transactions[[#This Row],[Due Date]])</f>
        <v>0</v>
      </c>
      <c r="J109" s="47">
        <f ca="1">Transactions[[#This Row],[Overdue Days]]</f>
        <v>0</v>
      </c>
    </row>
    <row r="110" spans="1:10">
      <c r="A110" s="2" t="s">
        <v>708</v>
      </c>
      <c r="B110" s="2" t="s">
        <v>100</v>
      </c>
      <c r="C110" s="2" t="str">
        <f>VLOOKUP(B110,Data!$A$2:$B$101,2,0)</f>
        <v>Scott Bradley</v>
      </c>
      <c r="D110" s="2" t="s">
        <v>257</v>
      </c>
      <c r="E110" s="2" t="str">
        <f>VLOOKUP(D110,Data!$D$2:$E$121,2,0)</f>
        <v>Represent Camera</v>
      </c>
      <c r="F110" s="3">
        <v>45509</v>
      </c>
      <c r="G110" s="42">
        <f>Transactions[[#This Row],[Borrow Date]]+21</f>
        <v>45530</v>
      </c>
      <c r="H110" s="3">
        <v>45530</v>
      </c>
      <c r="I110" s="49" cm="1">
        <f t="array" aca="1" ref="I110" ca="1">_xlfn.IFS(Transactions[[#This Row],[Return Date]]&lt;=Transactions[[#This Row],[Due Date]],0,AND(Transactions[[#This Row],[Return Date]]="",TODAY()&lt;=Transactions[[#This Row],[Due Date]]),0,Transactions[[#This Row],[Return Date]]&gt;Transactions[[#This Row],[Due Date]],Transactions[[#This Row],[Return Date]]-Transactions[[#This Row],[Due Date]],AND(Transactions[[#This Row],[Return Date]]="",TODAY()&gt;Transactions[[#This Row],[Due Date]]),TODAY()-Transactions[[#This Row],[Due Date]])</f>
        <v>0</v>
      </c>
      <c r="J110" s="47">
        <f ca="1">Transactions[[#This Row],[Overdue Days]]</f>
        <v>0</v>
      </c>
    </row>
    <row r="111" spans="1:10">
      <c r="A111" s="2" t="s">
        <v>739</v>
      </c>
      <c r="B111" s="2" t="s">
        <v>58</v>
      </c>
      <c r="C111" s="2" t="str">
        <f>VLOOKUP(B111,Data!$A$2:$B$101,2,0)</f>
        <v>Shari Scott</v>
      </c>
      <c r="D111" s="2" t="s">
        <v>257</v>
      </c>
      <c r="E111" s="2" t="str">
        <f>VLOOKUP(D111,Data!$D$2:$E$121,2,0)</f>
        <v>Represent Camera</v>
      </c>
      <c r="F111" s="3">
        <v>45317</v>
      </c>
      <c r="G111" s="42">
        <f>Transactions[[#This Row],[Borrow Date]]+21</f>
        <v>45338</v>
      </c>
      <c r="H111" s="3">
        <v>45340</v>
      </c>
      <c r="I111" s="49" cm="1">
        <f t="array" aca="1" ref="I111" ca="1">_xlfn.IFS(Transactions[[#This Row],[Return Date]]&lt;=Transactions[[#This Row],[Due Date]],0,AND(Transactions[[#This Row],[Return Date]]="",TODAY()&lt;=Transactions[[#This Row],[Due Date]]),0,Transactions[[#This Row],[Return Date]]&gt;Transactions[[#This Row],[Due Date]],Transactions[[#This Row],[Return Date]]-Transactions[[#This Row],[Due Date]],AND(Transactions[[#This Row],[Return Date]]="",TODAY()&gt;Transactions[[#This Row],[Due Date]]),TODAY()-Transactions[[#This Row],[Due Date]])</f>
        <v>2</v>
      </c>
      <c r="J111" s="47">
        <f ca="1">Transactions[[#This Row],[Overdue Days]]</f>
        <v>2</v>
      </c>
    </row>
    <row r="112" spans="1:10">
      <c r="A112" s="2" t="s">
        <v>507</v>
      </c>
      <c r="B112" s="2" t="s">
        <v>46</v>
      </c>
      <c r="C112" s="2" t="str">
        <f>VLOOKUP(B112,Data!$A$2:$B$101,2,0)</f>
        <v>Nichole Davis</v>
      </c>
      <c r="D112" s="2" t="s">
        <v>258</v>
      </c>
      <c r="E112" s="2" t="str">
        <f>VLOOKUP(D112,Data!$D$2:$E$121,2,0)</f>
        <v>Almost Protect</v>
      </c>
      <c r="F112" s="3">
        <v>45375</v>
      </c>
      <c r="G112" s="42">
        <f>Transactions[[#This Row],[Borrow Date]]+21</f>
        <v>45396</v>
      </c>
      <c r="H112" s="3">
        <v>45395</v>
      </c>
      <c r="I112" s="49" cm="1">
        <f t="array" aca="1" ref="I112" ca="1">_xlfn.IFS(Transactions[[#This Row],[Return Date]]&lt;=Transactions[[#This Row],[Due Date]],0,AND(Transactions[[#This Row],[Return Date]]="",TODAY()&lt;=Transactions[[#This Row],[Due Date]]),0,Transactions[[#This Row],[Return Date]]&gt;Transactions[[#This Row],[Due Date]],Transactions[[#This Row],[Return Date]]-Transactions[[#This Row],[Due Date]],AND(Transactions[[#This Row],[Return Date]]="",TODAY()&gt;Transactions[[#This Row],[Due Date]]),TODAY()-Transactions[[#This Row],[Due Date]])</f>
        <v>0</v>
      </c>
      <c r="J112" s="47">
        <f ca="1">Transactions[[#This Row],[Overdue Days]]</f>
        <v>0</v>
      </c>
    </row>
    <row r="113" spans="1:10">
      <c r="A113" s="2" t="s">
        <v>615</v>
      </c>
      <c r="B113" s="2" t="s">
        <v>63</v>
      </c>
      <c r="C113" s="2" t="str">
        <f>VLOOKUP(B113,Data!$A$2:$B$101,2,0)</f>
        <v>Kenneth Mitchell Jr.</v>
      </c>
      <c r="D113" s="2" t="s">
        <v>258</v>
      </c>
      <c r="E113" s="2" t="str">
        <f>VLOOKUP(D113,Data!$D$2:$E$121,2,0)</f>
        <v>Almost Protect</v>
      </c>
      <c r="F113" s="3">
        <v>45506</v>
      </c>
      <c r="G113" s="42">
        <f>Transactions[[#This Row],[Borrow Date]]+21</f>
        <v>45527</v>
      </c>
      <c r="H113" s="3">
        <v>45522</v>
      </c>
      <c r="I113" s="49" cm="1">
        <f t="array" aca="1" ref="I113" ca="1">_xlfn.IFS(Transactions[[#This Row],[Return Date]]&lt;=Transactions[[#This Row],[Due Date]],0,AND(Transactions[[#This Row],[Return Date]]="",TODAY()&lt;=Transactions[[#This Row],[Due Date]]),0,Transactions[[#This Row],[Return Date]]&gt;Transactions[[#This Row],[Due Date]],Transactions[[#This Row],[Return Date]]-Transactions[[#This Row],[Due Date]],AND(Transactions[[#This Row],[Return Date]]="",TODAY()&gt;Transactions[[#This Row],[Due Date]]),TODAY()-Transactions[[#This Row],[Due Date]])</f>
        <v>0</v>
      </c>
      <c r="J113" s="47">
        <f ca="1">Transactions[[#This Row],[Overdue Days]]</f>
        <v>0</v>
      </c>
    </row>
    <row r="114" spans="1:10">
      <c r="A114" s="2" t="s">
        <v>683</v>
      </c>
      <c r="B114" s="2" t="s">
        <v>57</v>
      </c>
      <c r="C114" s="2" t="str">
        <f>VLOOKUP(B114,Data!$A$2:$B$101,2,0)</f>
        <v>Ethan Sutton</v>
      </c>
      <c r="D114" s="2" t="s">
        <v>258</v>
      </c>
      <c r="E114" s="2" t="str">
        <f>VLOOKUP(D114,Data!$D$2:$E$121,2,0)</f>
        <v>Almost Protect</v>
      </c>
      <c r="F114" s="3">
        <v>45302</v>
      </c>
      <c r="G114" s="42">
        <f>Transactions[[#This Row],[Borrow Date]]+21</f>
        <v>45323</v>
      </c>
      <c r="H114" s="3">
        <v>45324</v>
      </c>
      <c r="I114" s="49" cm="1">
        <f t="array" aca="1" ref="I114" ca="1">_xlfn.IFS(Transactions[[#This Row],[Return Date]]&lt;=Transactions[[#This Row],[Due Date]],0,AND(Transactions[[#This Row],[Return Date]]="",TODAY()&lt;=Transactions[[#This Row],[Due Date]]),0,Transactions[[#This Row],[Return Date]]&gt;Transactions[[#This Row],[Due Date]],Transactions[[#This Row],[Return Date]]-Transactions[[#This Row],[Due Date]],AND(Transactions[[#This Row],[Return Date]]="",TODAY()&gt;Transactions[[#This Row],[Due Date]]),TODAY()-Transactions[[#This Row],[Due Date]])</f>
        <v>1</v>
      </c>
      <c r="J114" s="47">
        <f ca="1">Transactions[[#This Row],[Overdue Days]]</f>
        <v>1</v>
      </c>
    </row>
    <row r="115" spans="1:10">
      <c r="A115" s="2" t="s">
        <v>478</v>
      </c>
      <c r="B115" s="2" t="s">
        <v>18</v>
      </c>
      <c r="C115" s="2" t="str">
        <f>VLOOKUP(B115,Data!$A$2:$B$101,2,0)</f>
        <v>Katelyn Flores</v>
      </c>
      <c r="D115" s="2" t="s">
        <v>259</v>
      </c>
      <c r="E115" s="2" t="str">
        <f>VLOOKUP(D115,Data!$D$2:$E$121,2,0)</f>
        <v>Century Former Country</v>
      </c>
      <c r="F115" s="3">
        <v>45532</v>
      </c>
      <c r="G115" s="42">
        <f>Transactions[[#This Row],[Borrow Date]]+21</f>
        <v>45553</v>
      </c>
      <c r="I115" s="49" cm="1">
        <f t="array" aca="1" ref="I115" ca="1">_xlfn.IFS(Transactions[[#This Row],[Return Date]]&lt;=Transactions[[#This Row],[Due Date]],0,AND(Transactions[[#This Row],[Return Date]]="",TODAY()&lt;=Transactions[[#This Row],[Due Date]]),0,Transactions[[#This Row],[Return Date]]&gt;Transactions[[#This Row],[Due Date]],Transactions[[#This Row],[Return Date]]-Transactions[[#This Row],[Due Date]],AND(Transactions[[#This Row],[Return Date]]="",TODAY()&gt;Transactions[[#This Row],[Due Date]]),TODAY()-Transactions[[#This Row],[Due Date]])</f>
        <v>0</v>
      </c>
      <c r="J115" s="47">
        <f ca="1">Transactions[[#This Row],[Overdue Days]]</f>
        <v>0</v>
      </c>
    </row>
    <row r="116" spans="1:10">
      <c r="A116" s="2" t="s">
        <v>694</v>
      </c>
      <c r="B116" s="2" t="s">
        <v>91</v>
      </c>
      <c r="C116" s="2" t="str">
        <f>VLOOKUP(B116,Data!$A$2:$B$101,2,0)</f>
        <v>Martin Walker</v>
      </c>
      <c r="D116" s="2" t="s">
        <v>259</v>
      </c>
      <c r="E116" s="2" t="str">
        <f>VLOOKUP(D116,Data!$D$2:$E$121,2,0)</f>
        <v>Century Former Country</v>
      </c>
      <c r="F116" s="3">
        <v>45484</v>
      </c>
      <c r="G116" s="42">
        <f>Transactions[[#This Row],[Borrow Date]]+21</f>
        <v>45505</v>
      </c>
      <c r="I116" s="49" cm="1">
        <f t="array" aca="1" ref="I116" ca="1">_xlfn.IFS(Transactions[[#This Row],[Return Date]]&lt;=Transactions[[#This Row],[Due Date]],0,AND(Transactions[[#This Row],[Return Date]]="",TODAY()&lt;=Transactions[[#This Row],[Due Date]]),0,Transactions[[#This Row],[Return Date]]&gt;Transactions[[#This Row],[Due Date]],Transactions[[#This Row],[Return Date]]-Transactions[[#This Row],[Due Date]],AND(Transactions[[#This Row],[Return Date]]="",TODAY()&gt;Transactions[[#This Row],[Due Date]]),TODAY()-Transactions[[#This Row],[Due Date]])</f>
        <v>0</v>
      </c>
      <c r="J116" s="47">
        <f ca="1">Transactions[[#This Row],[Overdue Days]]</f>
        <v>0</v>
      </c>
    </row>
    <row r="117" spans="1:10">
      <c r="A117" s="2" t="s">
        <v>714</v>
      </c>
      <c r="B117" s="2" t="s">
        <v>64</v>
      </c>
      <c r="C117" s="2" t="str">
        <f>VLOOKUP(B117,Data!$A$2:$B$101,2,0)</f>
        <v>Joshua Jackson MD</v>
      </c>
      <c r="D117" s="2" t="s">
        <v>259</v>
      </c>
      <c r="E117" s="2" t="str">
        <f>VLOOKUP(D117,Data!$D$2:$E$121,2,0)</f>
        <v>Century Former Country</v>
      </c>
      <c r="F117" s="3">
        <v>45506</v>
      </c>
      <c r="G117" s="42">
        <f>Transactions[[#This Row],[Borrow Date]]+21</f>
        <v>45527</v>
      </c>
      <c r="I117" s="49" cm="1">
        <f t="array" aca="1" ref="I117" ca="1">_xlfn.IFS(Transactions[[#This Row],[Return Date]]&lt;=Transactions[[#This Row],[Due Date]],0,AND(Transactions[[#This Row],[Return Date]]="",TODAY()&lt;=Transactions[[#This Row],[Due Date]]),0,Transactions[[#This Row],[Return Date]]&gt;Transactions[[#This Row],[Due Date]],Transactions[[#This Row],[Return Date]]-Transactions[[#This Row],[Due Date]],AND(Transactions[[#This Row],[Return Date]]="",TODAY()&gt;Transactions[[#This Row],[Due Date]]),TODAY()-Transactions[[#This Row],[Due Date]])</f>
        <v>0</v>
      </c>
      <c r="J117" s="47">
        <f ca="1">Transactions[[#This Row],[Overdue Days]]</f>
        <v>0</v>
      </c>
    </row>
    <row r="118" spans="1:10">
      <c r="A118" s="2" t="s">
        <v>518</v>
      </c>
      <c r="B118" s="2" t="s">
        <v>47</v>
      </c>
      <c r="C118" s="2" t="str">
        <f>VLOOKUP(B118,Data!$A$2:$B$101,2,0)</f>
        <v>Taylor Gray</v>
      </c>
      <c r="D118" s="2" t="s">
        <v>260</v>
      </c>
      <c r="E118" s="2" t="str">
        <f>VLOOKUP(D118,Data!$D$2:$E$121,2,0)</f>
        <v>Nice Table</v>
      </c>
      <c r="F118" s="3">
        <v>45342</v>
      </c>
      <c r="G118" s="42">
        <f>Transactions[[#This Row],[Borrow Date]]+21</f>
        <v>45363</v>
      </c>
      <c r="H118" s="3">
        <v>45357</v>
      </c>
      <c r="I118" s="49" cm="1">
        <f t="array" aca="1" ref="I118" ca="1">_xlfn.IFS(Transactions[[#This Row],[Return Date]]&lt;=Transactions[[#This Row],[Due Date]],0,AND(Transactions[[#This Row],[Return Date]]="",TODAY()&lt;=Transactions[[#This Row],[Due Date]]),0,Transactions[[#This Row],[Return Date]]&gt;Transactions[[#This Row],[Due Date]],Transactions[[#This Row],[Return Date]]-Transactions[[#This Row],[Due Date]],AND(Transactions[[#This Row],[Return Date]]="",TODAY()&gt;Transactions[[#This Row],[Due Date]]),TODAY()-Transactions[[#This Row],[Due Date]])</f>
        <v>0</v>
      </c>
      <c r="J118" s="47">
        <f ca="1">Transactions[[#This Row],[Overdue Days]]</f>
        <v>0</v>
      </c>
    </row>
    <row r="119" spans="1:10">
      <c r="A119" s="2" t="s">
        <v>569</v>
      </c>
      <c r="B119" s="2" t="s">
        <v>70</v>
      </c>
      <c r="C119" s="2" t="str">
        <f>VLOOKUP(B119,Data!$A$2:$B$101,2,0)</f>
        <v>Kimberly Cooper</v>
      </c>
      <c r="D119" s="2" t="s">
        <v>260</v>
      </c>
      <c r="E119" s="2" t="str">
        <f>VLOOKUP(D119,Data!$D$2:$E$121,2,0)</f>
        <v>Nice Table</v>
      </c>
      <c r="F119" s="3">
        <v>45571</v>
      </c>
      <c r="G119" s="42">
        <f>Transactions[[#This Row],[Borrow Date]]+21</f>
        <v>45592</v>
      </c>
      <c r="H119" s="3">
        <v>45592</v>
      </c>
      <c r="I119" s="49" cm="1">
        <f t="array" aca="1" ref="I119" ca="1">_xlfn.IFS(Transactions[[#This Row],[Return Date]]&lt;=Transactions[[#This Row],[Due Date]],0,AND(Transactions[[#This Row],[Return Date]]="",TODAY()&lt;=Transactions[[#This Row],[Due Date]]),0,Transactions[[#This Row],[Return Date]]&gt;Transactions[[#This Row],[Due Date]],Transactions[[#This Row],[Return Date]]-Transactions[[#This Row],[Due Date]],AND(Transactions[[#This Row],[Return Date]]="",TODAY()&gt;Transactions[[#This Row],[Due Date]]),TODAY()-Transactions[[#This Row],[Due Date]])</f>
        <v>0</v>
      </c>
      <c r="J119" s="47">
        <f ca="1">Transactions[[#This Row],[Overdue Days]]</f>
        <v>0</v>
      </c>
    </row>
    <row r="120" spans="1:10">
      <c r="A120" s="2" t="s">
        <v>505</v>
      </c>
      <c r="B120" s="2" t="s">
        <v>38</v>
      </c>
      <c r="C120" s="2" t="str">
        <f>VLOOKUP(B120,Data!$A$2:$B$101,2,0)</f>
        <v>Tommy Miller</v>
      </c>
      <c r="D120" s="2" t="s">
        <v>261</v>
      </c>
      <c r="E120" s="2" t="str">
        <f>VLOOKUP(D120,Data!$D$2:$E$121,2,0)</f>
        <v>Music</v>
      </c>
      <c r="F120" s="3">
        <v>45322</v>
      </c>
      <c r="G120" s="42">
        <f>Transactions[[#This Row],[Borrow Date]]+21</f>
        <v>45343</v>
      </c>
      <c r="H120" s="3">
        <v>45341</v>
      </c>
      <c r="I120" s="49" cm="1">
        <f t="array" aca="1" ref="I120" ca="1">_xlfn.IFS(Transactions[[#This Row],[Return Date]]&lt;=Transactions[[#This Row],[Due Date]],0,AND(Transactions[[#This Row],[Return Date]]="",TODAY()&lt;=Transactions[[#This Row],[Due Date]]),0,Transactions[[#This Row],[Return Date]]&gt;Transactions[[#This Row],[Due Date]],Transactions[[#This Row],[Return Date]]-Transactions[[#This Row],[Due Date]],AND(Transactions[[#This Row],[Return Date]]="",TODAY()&gt;Transactions[[#This Row],[Due Date]]),TODAY()-Transactions[[#This Row],[Due Date]])</f>
        <v>0</v>
      </c>
      <c r="J120" s="47">
        <f ca="1">Transactions[[#This Row],[Overdue Days]]</f>
        <v>0</v>
      </c>
    </row>
    <row r="121" spans="1:10">
      <c r="A121" s="2" t="s">
        <v>639</v>
      </c>
      <c r="B121" s="2" t="s">
        <v>20</v>
      </c>
      <c r="C121" s="2" t="str">
        <f>VLOOKUP(B121,Data!$A$2:$B$101,2,0)</f>
        <v>Mike Roberts</v>
      </c>
      <c r="D121" s="2" t="s">
        <v>261</v>
      </c>
      <c r="E121" s="2" t="str">
        <f>VLOOKUP(D121,Data!$D$2:$E$121,2,0)</f>
        <v>Music</v>
      </c>
      <c r="F121" s="3">
        <v>45476</v>
      </c>
      <c r="G121" s="42">
        <f>Transactions[[#This Row],[Borrow Date]]+21</f>
        <v>45497</v>
      </c>
      <c r="H121" s="3">
        <v>45501</v>
      </c>
      <c r="I121" s="49" cm="1">
        <f t="array" aca="1" ref="I121" ca="1">_xlfn.IFS(Transactions[[#This Row],[Return Date]]&lt;=Transactions[[#This Row],[Due Date]],0,AND(Transactions[[#This Row],[Return Date]]="",TODAY()&lt;=Transactions[[#This Row],[Due Date]]),0,Transactions[[#This Row],[Return Date]]&gt;Transactions[[#This Row],[Due Date]],Transactions[[#This Row],[Return Date]]-Transactions[[#This Row],[Due Date]],AND(Transactions[[#This Row],[Return Date]]="",TODAY()&gt;Transactions[[#This Row],[Due Date]]),TODAY()-Transactions[[#This Row],[Due Date]])</f>
        <v>4</v>
      </c>
      <c r="J121" s="47">
        <f ca="1">Transactions[[#This Row],[Overdue Days]]</f>
        <v>4</v>
      </c>
    </row>
    <row r="122" spans="1:10">
      <c r="A122" s="2" t="s">
        <v>735</v>
      </c>
      <c r="B122" s="2" t="s">
        <v>9</v>
      </c>
      <c r="C122" s="2" t="str">
        <f>VLOOKUP(B122,Data!$A$2:$B$101,2,0)</f>
        <v>Alisha Miller</v>
      </c>
      <c r="D122" s="2" t="s">
        <v>261</v>
      </c>
      <c r="E122" s="2" t="str">
        <f>VLOOKUP(D122,Data!$D$2:$E$121,2,0)</f>
        <v>Music</v>
      </c>
      <c r="F122" s="3">
        <v>45384</v>
      </c>
      <c r="G122" s="42">
        <f>Transactions[[#This Row],[Borrow Date]]+21</f>
        <v>45405</v>
      </c>
      <c r="H122" s="3">
        <v>45410</v>
      </c>
      <c r="I122" s="49" cm="1">
        <f t="array" aca="1" ref="I122" ca="1">_xlfn.IFS(Transactions[[#This Row],[Return Date]]&lt;=Transactions[[#This Row],[Due Date]],0,AND(Transactions[[#This Row],[Return Date]]="",TODAY()&lt;=Transactions[[#This Row],[Due Date]]),0,Transactions[[#This Row],[Return Date]]&gt;Transactions[[#This Row],[Due Date]],Transactions[[#This Row],[Return Date]]-Transactions[[#This Row],[Due Date]],AND(Transactions[[#This Row],[Return Date]]="",TODAY()&gt;Transactions[[#This Row],[Due Date]]),TODAY()-Transactions[[#This Row],[Due Date]])</f>
        <v>5</v>
      </c>
      <c r="J122" s="47">
        <f ca="1">Transactions[[#This Row],[Overdue Days]]</f>
        <v>5</v>
      </c>
    </row>
    <row r="123" spans="1:10">
      <c r="A123" s="2" t="s">
        <v>536</v>
      </c>
      <c r="B123" s="2" t="s">
        <v>15</v>
      </c>
      <c r="C123" s="2" t="str">
        <f>VLOOKUP(B123,Data!$A$2:$B$101,2,0)</f>
        <v>Joseph Barron</v>
      </c>
      <c r="D123" s="2" t="s">
        <v>262</v>
      </c>
      <c r="E123" s="2" t="str">
        <f>VLOOKUP(D123,Data!$D$2:$E$121,2,0)</f>
        <v>Hear Now Finish</v>
      </c>
      <c r="F123" s="3">
        <v>45393</v>
      </c>
      <c r="G123" s="42">
        <f>Transactions[[#This Row],[Borrow Date]]+21</f>
        <v>45414</v>
      </c>
      <c r="H123" s="3">
        <v>45413</v>
      </c>
      <c r="I123" s="49" cm="1">
        <f t="array" aca="1" ref="I123" ca="1">_xlfn.IFS(Transactions[[#This Row],[Return Date]]&lt;=Transactions[[#This Row],[Due Date]],0,AND(Transactions[[#This Row],[Return Date]]="",TODAY()&lt;=Transactions[[#This Row],[Due Date]]),0,Transactions[[#This Row],[Return Date]]&gt;Transactions[[#This Row],[Due Date]],Transactions[[#This Row],[Return Date]]-Transactions[[#This Row],[Due Date]],AND(Transactions[[#This Row],[Return Date]]="",TODAY()&gt;Transactions[[#This Row],[Due Date]]),TODAY()-Transactions[[#This Row],[Due Date]])</f>
        <v>0</v>
      </c>
      <c r="J123" s="47">
        <f ca="1">Transactions[[#This Row],[Overdue Days]]</f>
        <v>0</v>
      </c>
    </row>
    <row r="124" spans="1:10">
      <c r="A124" s="2" t="s">
        <v>733</v>
      </c>
      <c r="B124" s="2" t="s">
        <v>36</v>
      </c>
      <c r="C124" s="2" t="str">
        <f>VLOOKUP(B124,Data!$A$2:$B$101,2,0)</f>
        <v>Marc Valentine</v>
      </c>
      <c r="D124" s="2" t="s">
        <v>262</v>
      </c>
      <c r="E124" s="2" t="str">
        <f>VLOOKUP(D124,Data!$D$2:$E$121,2,0)</f>
        <v>Hear Now Finish</v>
      </c>
      <c r="F124" s="3">
        <v>45355</v>
      </c>
      <c r="G124" s="42">
        <f>Transactions[[#This Row],[Borrow Date]]+21</f>
        <v>45376</v>
      </c>
      <c r="H124" s="3">
        <v>45375</v>
      </c>
      <c r="I124" s="49" cm="1">
        <f t="array" aca="1" ref="I124" ca="1">_xlfn.IFS(Transactions[[#This Row],[Return Date]]&lt;=Transactions[[#This Row],[Due Date]],0,AND(Transactions[[#This Row],[Return Date]]="",TODAY()&lt;=Transactions[[#This Row],[Due Date]]),0,Transactions[[#This Row],[Return Date]]&gt;Transactions[[#This Row],[Due Date]],Transactions[[#This Row],[Return Date]]-Transactions[[#This Row],[Due Date]],AND(Transactions[[#This Row],[Return Date]]="",TODAY()&gt;Transactions[[#This Row],[Due Date]]),TODAY()-Transactions[[#This Row],[Due Date]])</f>
        <v>0</v>
      </c>
      <c r="J124" s="47">
        <f ca="1">Transactions[[#This Row],[Overdue Days]]</f>
        <v>0</v>
      </c>
    </row>
    <row r="125" spans="1:10">
      <c r="A125" s="2" t="s">
        <v>494</v>
      </c>
      <c r="B125" s="2" t="s">
        <v>63</v>
      </c>
      <c r="C125" s="2" t="str">
        <f>VLOOKUP(B125,Data!$A$2:$B$101,2,0)</f>
        <v>Kenneth Mitchell Jr.</v>
      </c>
      <c r="D125" s="2" t="s">
        <v>263</v>
      </c>
      <c r="E125" s="2" t="str">
        <f>VLOOKUP(D125,Data!$D$2:$E$121,2,0)</f>
        <v>Plan Picture Mouth</v>
      </c>
      <c r="F125" s="3">
        <v>45582</v>
      </c>
      <c r="G125" s="42">
        <f>Transactions[[#This Row],[Borrow Date]]+21</f>
        <v>45603</v>
      </c>
      <c r="H125" s="3">
        <v>45601</v>
      </c>
      <c r="I125" s="49" cm="1">
        <f t="array" aca="1" ref="I125" ca="1">_xlfn.IFS(Transactions[[#This Row],[Return Date]]&lt;=Transactions[[#This Row],[Due Date]],0,AND(Transactions[[#This Row],[Return Date]]="",TODAY()&lt;=Transactions[[#This Row],[Due Date]]),0,Transactions[[#This Row],[Return Date]]&gt;Transactions[[#This Row],[Due Date]],Transactions[[#This Row],[Return Date]]-Transactions[[#This Row],[Due Date]],AND(Transactions[[#This Row],[Return Date]]="",TODAY()&gt;Transactions[[#This Row],[Due Date]]),TODAY()-Transactions[[#This Row],[Due Date]])</f>
        <v>0</v>
      </c>
      <c r="J125" s="47">
        <f ca="1">Transactions[[#This Row],[Overdue Days]]</f>
        <v>0</v>
      </c>
    </row>
    <row r="126" spans="1:10">
      <c r="A126" s="2" t="s">
        <v>499</v>
      </c>
      <c r="B126" s="2" t="s">
        <v>5</v>
      </c>
      <c r="C126" s="2" t="str">
        <f>VLOOKUP(B126,Data!$A$2:$B$101,2,0)</f>
        <v>Tina Willis</v>
      </c>
      <c r="D126" s="2" t="s">
        <v>263</v>
      </c>
      <c r="E126" s="2" t="str">
        <f>VLOOKUP(D126,Data!$D$2:$E$121,2,0)</f>
        <v>Plan Picture Mouth</v>
      </c>
      <c r="F126" s="3">
        <v>45572</v>
      </c>
      <c r="G126" s="42">
        <f>Transactions[[#This Row],[Borrow Date]]+21</f>
        <v>45593</v>
      </c>
      <c r="H126" s="3">
        <v>45588</v>
      </c>
      <c r="I126" s="49" cm="1">
        <f t="array" aca="1" ref="I126" ca="1">_xlfn.IFS(Transactions[[#This Row],[Return Date]]&lt;=Transactions[[#This Row],[Due Date]],0,AND(Transactions[[#This Row],[Return Date]]="",TODAY()&lt;=Transactions[[#This Row],[Due Date]]),0,Transactions[[#This Row],[Return Date]]&gt;Transactions[[#This Row],[Due Date]],Transactions[[#This Row],[Return Date]]-Transactions[[#This Row],[Due Date]],AND(Transactions[[#This Row],[Return Date]]="",TODAY()&gt;Transactions[[#This Row],[Due Date]]),TODAY()-Transactions[[#This Row],[Due Date]])</f>
        <v>0</v>
      </c>
      <c r="J126" s="47">
        <f ca="1">Transactions[[#This Row],[Overdue Days]]</f>
        <v>0</v>
      </c>
    </row>
    <row r="127" spans="1:10">
      <c r="A127" s="2" t="s">
        <v>623</v>
      </c>
      <c r="B127" s="2" t="s">
        <v>99</v>
      </c>
      <c r="C127" s="2" t="str">
        <f>VLOOKUP(B127,Data!$A$2:$B$101,2,0)</f>
        <v>Lisa White</v>
      </c>
      <c r="D127" s="2" t="s">
        <v>263</v>
      </c>
      <c r="E127" s="2" t="str">
        <f>VLOOKUP(D127,Data!$D$2:$E$121,2,0)</f>
        <v>Plan Picture Mouth</v>
      </c>
      <c r="F127" s="3">
        <v>45336</v>
      </c>
      <c r="G127" s="42">
        <f>Transactions[[#This Row],[Borrow Date]]+21</f>
        <v>45357</v>
      </c>
      <c r="H127" s="3">
        <v>45361</v>
      </c>
      <c r="I127" s="49" cm="1">
        <f t="array" aca="1" ref="I127" ca="1">_xlfn.IFS(Transactions[[#This Row],[Return Date]]&lt;=Transactions[[#This Row],[Due Date]],0,AND(Transactions[[#This Row],[Return Date]]="",TODAY()&lt;=Transactions[[#This Row],[Due Date]]),0,Transactions[[#This Row],[Return Date]]&gt;Transactions[[#This Row],[Due Date]],Transactions[[#This Row],[Return Date]]-Transactions[[#This Row],[Due Date]],AND(Transactions[[#This Row],[Return Date]]="",TODAY()&gt;Transactions[[#This Row],[Due Date]]),TODAY()-Transactions[[#This Row],[Due Date]])</f>
        <v>4</v>
      </c>
      <c r="J127" s="47">
        <f ca="1">Transactions[[#This Row],[Overdue Days]]</f>
        <v>4</v>
      </c>
    </row>
    <row r="128" spans="1:10">
      <c r="A128" s="2" t="s">
        <v>548</v>
      </c>
      <c r="B128" s="2" t="s">
        <v>11</v>
      </c>
      <c r="C128" s="2" t="str">
        <f>VLOOKUP(B128,Data!$A$2:$B$101,2,0)</f>
        <v>Erin Chandler</v>
      </c>
      <c r="D128" s="2" t="s">
        <v>264</v>
      </c>
      <c r="E128" s="2" t="str">
        <f>VLOOKUP(D128,Data!$D$2:$E$121,2,0)</f>
        <v>Garden Job</v>
      </c>
      <c r="F128" s="3">
        <v>45476</v>
      </c>
      <c r="G128" s="42">
        <f>Transactions[[#This Row],[Borrow Date]]+21</f>
        <v>45497</v>
      </c>
      <c r="H128" s="3">
        <v>45494</v>
      </c>
      <c r="I128" s="49" cm="1">
        <f t="array" aca="1" ref="I128" ca="1">_xlfn.IFS(Transactions[[#This Row],[Return Date]]&lt;=Transactions[[#This Row],[Due Date]],0,AND(Transactions[[#This Row],[Return Date]]="",TODAY()&lt;=Transactions[[#This Row],[Due Date]]),0,Transactions[[#This Row],[Return Date]]&gt;Transactions[[#This Row],[Due Date]],Transactions[[#This Row],[Return Date]]-Transactions[[#This Row],[Due Date]],AND(Transactions[[#This Row],[Return Date]]="",TODAY()&gt;Transactions[[#This Row],[Due Date]]),TODAY()-Transactions[[#This Row],[Due Date]])</f>
        <v>0</v>
      </c>
      <c r="J128" s="47">
        <f ca="1">Transactions[[#This Row],[Overdue Days]]</f>
        <v>0</v>
      </c>
    </row>
    <row r="129" spans="1:10">
      <c r="A129" s="2" t="s">
        <v>697</v>
      </c>
      <c r="B129" s="2" t="s">
        <v>34</v>
      </c>
      <c r="C129" s="2" t="str">
        <f>VLOOKUP(B129,Data!$A$2:$B$101,2,0)</f>
        <v>Tammy Tucker</v>
      </c>
      <c r="D129" s="2" t="s">
        <v>264</v>
      </c>
      <c r="E129" s="2" t="str">
        <f>VLOOKUP(D129,Data!$D$2:$E$121,2,0)</f>
        <v>Garden Job</v>
      </c>
      <c r="F129" s="3">
        <v>45578</v>
      </c>
      <c r="G129" s="42">
        <f>Transactions[[#This Row],[Borrow Date]]+21</f>
        <v>45599</v>
      </c>
      <c r="H129" s="3">
        <v>45603</v>
      </c>
      <c r="I129" s="49" cm="1">
        <f t="array" aca="1" ref="I129" ca="1">_xlfn.IFS(Transactions[[#This Row],[Return Date]]&lt;=Transactions[[#This Row],[Due Date]],0,AND(Transactions[[#This Row],[Return Date]]="",TODAY()&lt;=Transactions[[#This Row],[Due Date]]),0,Transactions[[#This Row],[Return Date]]&gt;Transactions[[#This Row],[Due Date]],Transactions[[#This Row],[Return Date]]-Transactions[[#This Row],[Due Date]],AND(Transactions[[#This Row],[Return Date]]="",TODAY()&gt;Transactions[[#This Row],[Due Date]]),TODAY()-Transactions[[#This Row],[Due Date]])</f>
        <v>4</v>
      </c>
      <c r="J129" s="47">
        <f ca="1">Transactions[[#This Row],[Overdue Days]]</f>
        <v>4</v>
      </c>
    </row>
    <row r="130" spans="1:10">
      <c r="A130" s="2" t="s">
        <v>743</v>
      </c>
      <c r="B130" s="2" t="s">
        <v>31</v>
      </c>
      <c r="C130" s="2" t="str">
        <f>VLOOKUP(B130,Data!$A$2:$B$101,2,0)</f>
        <v>John Wright</v>
      </c>
      <c r="D130" s="2" t="s">
        <v>264</v>
      </c>
      <c r="E130" s="2" t="str">
        <f>VLOOKUP(D130,Data!$D$2:$E$121,2,0)</f>
        <v>Garden Job</v>
      </c>
      <c r="F130" s="3">
        <v>45650</v>
      </c>
      <c r="G130" s="42">
        <f>Transactions[[#This Row],[Borrow Date]]+21</f>
        <v>45671</v>
      </c>
      <c r="H130" s="3" t="s">
        <v>748</v>
      </c>
      <c r="I130" s="49" t="e" cm="1">
        <f t="array" aca="1" ref="I130" ca="1">_xlfn.IFS(Transactions[[#This Row],[Return Date]]&lt;=Transactions[[#This Row],[Due Date]],0,AND(Transactions[[#This Row],[Return Date]]="",TODAY()&lt;=Transactions[[#This Row],[Due Date]]),0,Transactions[[#This Row],[Return Date]]&gt;Transactions[[#This Row],[Due Date]],Transactions[[#This Row],[Return Date]]-Transactions[[#This Row],[Due Date]],AND(Transactions[[#This Row],[Return Date]]="",TODAY()&gt;Transactions[[#This Row],[Due Date]]),TODAY()-Transactions[[#This Row],[Due Date]])</f>
        <v>#VALUE!</v>
      </c>
      <c r="J130" s="47" t="e">
        <f ca="1">Transactions[[#This Row],[Overdue Days]]</f>
        <v>#VALUE!</v>
      </c>
    </row>
    <row r="131" spans="1:10">
      <c r="A131" s="2" t="s">
        <v>510</v>
      </c>
      <c r="B131" s="2" t="s">
        <v>41</v>
      </c>
      <c r="C131" s="2" t="str">
        <f>VLOOKUP(B131,Data!$A$2:$B$101,2,0)</f>
        <v>Dr. Michelle Pierce DDS</v>
      </c>
      <c r="D131" s="2" t="s">
        <v>265</v>
      </c>
      <c r="E131" s="2" t="str">
        <f>VLOOKUP(D131,Data!$D$2:$E$121,2,0)</f>
        <v>Simple Join</v>
      </c>
      <c r="F131" s="3">
        <v>45516</v>
      </c>
      <c r="G131" s="42">
        <f>Transactions[[#This Row],[Borrow Date]]+21</f>
        <v>45537</v>
      </c>
      <c r="H131" s="3">
        <v>45537</v>
      </c>
      <c r="I131" s="49" cm="1">
        <f t="array" aca="1" ref="I131" ca="1">_xlfn.IFS(Transactions[[#This Row],[Return Date]]&lt;=Transactions[[#This Row],[Due Date]],0,AND(Transactions[[#This Row],[Return Date]]="",TODAY()&lt;=Transactions[[#This Row],[Due Date]]),0,Transactions[[#This Row],[Return Date]]&gt;Transactions[[#This Row],[Due Date]],Transactions[[#This Row],[Return Date]]-Transactions[[#This Row],[Due Date]],AND(Transactions[[#This Row],[Return Date]]="",TODAY()&gt;Transactions[[#This Row],[Due Date]]),TODAY()-Transactions[[#This Row],[Due Date]])</f>
        <v>0</v>
      </c>
      <c r="J131" s="47">
        <f ca="1">Transactions[[#This Row],[Overdue Days]]</f>
        <v>0</v>
      </c>
    </row>
    <row r="132" spans="1:10">
      <c r="A132" s="2" t="s">
        <v>621</v>
      </c>
      <c r="B132" s="2" t="s">
        <v>68</v>
      </c>
      <c r="C132" s="2" t="str">
        <f>VLOOKUP(B132,Data!$A$2:$B$101,2,0)</f>
        <v>Russell Sutton</v>
      </c>
      <c r="D132" s="2" t="s">
        <v>265</v>
      </c>
      <c r="E132" s="2" t="str">
        <f>VLOOKUP(D132,Data!$D$2:$E$121,2,0)</f>
        <v>Simple Join</v>
      </c>
      <c r="F132" s="3">
        <v>45614</v>
      </c>
      <c r="G132" s="42">
        <f>Transactions[[#This Row],[Borrow Date]]+21</f>
        <v>45635</v>
      </c>
      <c r="H132" s="3">
        <v>45638</v>
      </c>
      <c r="I132" s="49" cm="1">
        <f t="array" aca="1" ref="I132" ca="1">_xlfn.IFS(Transactions[[#This Row],[Return Date]]&lt;=Transactions[[#This Row],[Due Date]],0,AND(Transactions[[#This Row],[Return Date]]="",TODAY()&lt;=Transactions[[#This Row],[Due Date]]),0,Transactions[[#This Row],[Return Date]]&gt;Transactions[[#This Row],[Due Date]],Transactions[[#This Row],[Return Date]]-Transactions[[#This Row],[Due Date]],AND(Transactions[[#This Row],[Return Date]]="",TODAY()&gt;Transactions[[#This Row],[Due Date]]),TODAY()-Transactions[[#This Row],[Due Date]])</f>
        <v>3</v>
      </c>
      <c r="J132" s="47">
        <f ca="1">Transactions[[#This Row],[Overdue Days]]</f>
        <v>3</v>
      </c>
    </row>
    <row r="133" spans="1:10">
      <c r="A133" s="2" t="s">
        <v>744</v>
      </c>
      <c r="B133" s="2" t="s">
        <v>94</v>
      </c>
      <c r="C133" s="2" t="str">
        <f>VLOOKUP(B133,Data!$A$2:$B$101,2,0)</f>
        <v>Jeremy Phillips</v>
      </c>
      <c r="D133" s="2" t="s">
        <v>265</v>
      </c>
      <c r="E133" s="2" t="str">
        <f>VLOOKUP(D133,Data!$D$2:$E$121,2,0)</f>
        <v>Simple Join</v>
      </c>
      <c r="F133" s="3">
        <v>45343</v>
      </c>
      <c r="G133" s="42">
        <f>Transactions[[#This Row],[Borrow Date]]+21</f>
        <v>45364</v>
      </c>
      <c r="H133" s="3">
        <v>45358</v>
      </c>
      <c r="I133" s="49" cm="1">
        <f t="array" aca="1" ref="I133" ca="1">_xlfn.IFS(Transactions[[#This Row],[Return Date]]&lt;=Transactions[[#This Row],[Due Date]],0,AND(Transactions[[#This Row],[Return Date]]="",TODAY()&lt;=Transactions[[#This Row],[Due Date]]),0,Transactions[[#This Row],[Return Date]]&gt;Transactions[[#This Row],[Due Date]],Transactions[[#This Row],[Return Date]]-Transactions[[#This Row],[Due Date]],AND(Transactions[[#This Row],[Return Date]]="",TODAY()&gt;Transactions[[#This Row],[Due Date]]),TODAY()-Transactions[[#This Row],[Due Date]])</f>
        <v>0</v>
      </c>
      <c r="J133" s="47">
        <f ca="1">Transactions[[#This Row],[Overdue Days]]</f>
        <v>0</v>
      </c>
    </row>
    <row r="134" spans="1:10">
      <c r="A134" s="2" t="s">
        <v>528</v>
      </c>
      <c r="B134" s="2" t="s">
        <v>22</v>
      </c>
      <c r="C134" s="2" t="str">
        <f>VLOOKUP(B134,Data!$A$2:$B$101,2,0)</f>
        <v>David Lopez</v>
      </c>
      <c r="D134" s="2" t="s">
        <v>266</v>
      </c>
      <c r="E134" s="2" t="str">
        <f>VLOOKUP(D134,Data!$D$2:$E$121,2,0)</f>
        <v>Red Provide</v>
      </c>
      <c r="F134" s="3">
        <v>45309</v>
      </c>
      <c r="G134" s="42">
        <f>Transactions[[#This Row],[Borrow Date]]+21</f>
        <v>45330</v>
      </c>
      <c r="H134" s="3">
        <v>45325</v>
      </c>
      <c r="I134" s="49" cm="1">
        <f t="array" aca="1" ref="I134" ca="1">_xlfn.IFS(Transactions[[#This Row],[Return Date]]&lt;=Transactions[[#This Row],[Due Date]],0,AND(Transactions[[#This Row],[Return Date]]="",TODAY()&lt;=Transactions[[#This Row],[Due Date]]),0,Transactions[[#This Row],[Return Date]]&gt;Transactions[[#This Row],[Due Date]],Transactions[[#This Row],[Return Date]]-Transactions[[#This Row],[Due Date]],AND(Transactions[[#This Row],[Return Date]]="",TODAY()&gt;Transactions[[#This Row],[Due Date]]),TODAY()-Transactions[[#This Row],[Due Date]])</f>
        <v>0</v>
      </c>
      <c r="J134" s="47">
        <f ca="1">Transactions[[#This Row],[Overdue Days]]</f>
        <v>0</v>
      </c>
    </row>
    <row r="135" spans="1:10">
      <c r="A135" s="2" t="s">
        <v>583</v>
      </c>
      <c r="B135" s="2" t="s">
        <v>19</v>
      </c>
      <c r="C135" s="2" t="str">
        <f>VLOOKUP(B135,Data!$A$2:$B$101,2,0)</f>
        <v>Fred Weiss</v>
      </c>
      <c r="D135" s="2" t="s">
        <v>266</v>
      </c>
      <c r="E135" s="2" t="str">
        <f>VLOOKUP(D135,Data!$D$2:$E$121,2,0)</f>
        <v>Red Provide</v>
      </c>
      <c r="F135" s="3">
        <v>45512</v>
      </c>
      <c r="G135" s="42">
        <f>Transactions[[#This Row],[Borrow Date]]+21</f>
        <v>45533</v>
      </c>
      <c r="H135" s="3">
        <v>45530</v>
      </c>
      <c r="I135" s="49" cm="1">
        <f t="array" aca="1" ref="I135" ca="1">_xlfn.IFS(Transactions[[#This Row],[Return Date]]&lt;=Transactions[[#This Row],[Due Date]],0,AND(Transactions[[#This Row],[Return Date]]="",TODAY()&lt;=Transactions[[#This Row],[Due Date]]),0,Transactions[[#This Row],[Return Date]]&gt;Transactions[[#This Row],[Due Date]],Transactions[[#This Row],[Return Date]]-Transactions[[#This Row],[Due Date]],AND(Transactions[[#This Row],[Return Date]]="",TODAY()&gt;Transactions[[#This Row],[Due Date]]),TODAY()-Transactions[[#This Row],[Due Date]])</f>
        <v>0</v>
      </c>
      <c r="J135" s="47">
        <f ca="1">Transactions[[#This Row],[Overdue Days]]</f>
        <v>0</v>
      </c>
    </row>
    <row r="136" spans="1:10">
      <c r="A136" s="2" t="s">
        <v>631</v>
      </c>
      <c r="B136" s="2" t="s">
        <v>42</v>
      </c>
      <c r="C136" s="2" t="str">
        <f>VLOOKUP(B136,Data!$A$2:$B$101,2,0)</f>
        <v>Timothy Jensen</v>
      </c>
      <c r="D136" s="2" t="s">
        <v>266</v>
      </c>
      <c r="E136" s="2" t="str">
        <f>VLOOKUP(D136,Data!$D$2:$E$121,2,0)</f>
        <v>Red Provide</v>
      </c>
      <c r="F136" s="3">
        <v>45413</v>
      </c>
      <c r="G136" s="42">
        <f>Transactions[[#This Row],[Borrow Date]]+21</f>
        <v>45434</v>
      </c>
      <c r="H136" s="3">
        <v>45436</v>
      </c>
      <c r="I136" s="49" cm="1">
        <f t="array" aca="1" ref="I136" ca="1">_xlfn.IFS(Transactions[[#This Row],[Return Date]]&lt;=Transactions[[#This Row],[Due Date]],0,AND(Transactions[[#This Row],[Return Date]]="",TODAY()&lt;=Transactions[[#This Row],[Due Date]]),0,Transactions[[#This Row],[Return Date]]&gt;Transactions[[#This Row],[Due Date]],Transactions[[#This Row],[Return Date]]-Transactions[[#This Row],[Due Date]],AND(Transactions[[#This Row],[Return Date]]="",TODAY()&gt;Transactions[[#This Row],[Due Date]]),TODAY()-Transactions[[#This Row],[Due Date]])</f>
        <v>2</v>
      </c>
      <c r="J136" s="47">
        <f ca="1">Transactions[[#This Row],[Overdue Days]]</f>
        <v>2</v>
      </c>
    </row>
    <row r="137" spans="1:10">
      <c r="A137" s="2" t="s">
        <v>713</v>
      </c>
      <c r="B137" s="2" t="s">
        <v>10</v>
      </c>
      <c r="C137" s="2" t="str">
        <f>VLOOKUP(B137,Data!$A$2:$B$101,2,0)</f>
        <v>Tracy Abbott</v>
      </c>
      <c r="D137" s="2" t="s">
        <v>266</v>
      </c>
      <c r="E137" s="2" t="str">
        <f>VLOOKUP(D137,Data!$D$2:$E$121,2,0)</f>
        <v>Red Provide</v>
      </c>
      <c r="F137" s="3">
        <v>45516</v>
      </c>
      <c r="G137" s="42">
        <f>Transactions[[#This Row],[Borrow Date]]+21</f>
        <v>45537</v>
      </c>
      <c r="H137" s="3">
        <v>45541</v>
      </c>
      <c r="I137" s="49" cm="1">
        <f t="array" aca="1" ref="I137" ca="1">_xlfn.IFS(Transactions[[#This Row],[Return Date]]&lt;=Transactions[[#This Row],[Due Date]],0,AND(Transactions[[#This Row],[Return Date]]="",TODAY()&lt;=Transactions[[#This Row],[Due Date]]),0,Transactions[[#This Row],[Return Date]]&gt;Transactions[[#This Row],[Due Date]],Transactions[[#This Row],[Return Date]]-Transactions[[#This Row],[Due Date]],AND(Transactions[[#This Row],[Return Date]]="",TODAY()&gt;Transactions[[#This Row],[Due Date]]),TODAY()-Transactions[[#This Row],[Due Date]])</f>
        <v>4</v>
      </c>
      <c r="J137" s="47">
        <f ca="1">Transactions[[#This Row],[Overdue Days]]</f>
        <v>4</v>
      </c>
    </row>
    <row r="138" spans="1:10">
      <c r="A138" s="2" t="s">
        <v>482</v>
      </c>
      <c r="B138" s="2" t="s">
        <v>67</v>
      </c>
      <c r="C138" s="2" t="str">
        <f>VLOOKUP(B138,Data!$A$2:$B$101,2,0)</f>
        <v>Karen Bauer</v>
      </c>
      <c r="D138" s="2" t="s">
        <v>267</v>
      </c>
      <c r="E138" s="2" t="str">
        <f>VLOOKUP(D138,Data!$D$2:$E$121,2,0)</f>
        <v>Condition History Walk Soldier</v>
      </c>
      <c r="F138" s="3">
        <v>45622</v>
      </c>
      <c r="G138" s="42">
        <f>Transactions[[#This Row],[Borrow Date]]+21</f>
        <v>45643</v>
      </c>
      <c r="H138" s="3">
        <v>45645</v>
      </c>
      <c r="I138" s="49" cm="1">
        <f t="array" aca="1" ref="I138" ca="1">_xlfn.IFS(Transactions[[#This Row],[Return Date]]&lt;=Transactions[[#This Row],[Due Date]],0,AND(Transactions[[#This Row],[Return Date]]="",TODAY()&lt;=Transactions[[#This Row],[Due Date]]),0,Transactions[[#This Row],[Return Date]]&gt;Transactions[[#This Row],[Due Date]],Transactions[[#This Row],[Return Date]]-Transactions[[#This Row],[Due Date]],AND(Transactions[[#This Row],[Return Date]]="",TODAY()&gt;Transactions[[#This Row],[Due Date]]),TODAY()-Transactions[[#This Row],[Due Date]])</f>
        <v>2</v>
      </c>
      <c r="J138" s="47">
        <f ca="1">Transactions[[#This Row],[Overdue Days]]</f>
        <v>2</v>
      </c>
    </row>
    <row r="139" spans="1:10">
      <c r="A139" s="2" t="s">
        <v>598</v>
      </c>
      <c r="B139" s="2" t="s">
        <v>21</v>
      </c>
      <c r="C139" s="2" t="str">
        <f>VLOOKUP(B139,Data!$A$2:$B$101,2,0)</f>
        <v>Jesse Kennedy</v>
      </c>
      <c r="D139" s="2" t="s">
        <v>268</v>
      </c>
      <c r="E139" s="2" t="str">
        <f>VLOOKUP(D139,Data!$D$2:$E$121,2,0)</f>
        <v>Decide Interesting</v>
      </c>
      <c r="F139" s="3">
        <v>45652</v>
      </c>
      <c r="G139" s="42">
        <f>Transactions[[#This Row],[Borrow Date]]+21</f>
        <v>45673</v>
      </c>
      <c r="H139" s="3" t="s">
        <v>748</v>
      </c>
      <c r="I139" s="49" t="e" cm="1">
        <f t="array" aca="1" ref="I139" ca="1">_xlfn.IFS(Transactions[[#This Row],[Return Date]]&lt;=Transactions[[#This Row],[Due Date]],0,AND(Transactions[[#This Row],[Return Date]]="",TODAY()&lt;=Transactions[[#This Row],[Due Date]]),0,Transactions[[#This Row],[Return Date]]&gt;Transactions[[#This Row],[Due Date]],Transactions[[#This Row],[Return Date]]-Transactions[[#This Row],[Due Date]],AND(Transactions[[#This Row],[Return Date]]="",TODAY()&gt;Transactions[[#This Row],[Due Date]]),TODAY()-Transactions[[#This Row],[Due Date]])</f>
        <v>#VALUE!</v>
      </c>
      <c r="J139" s="47" t="e">
        <f ca="1">Transactions[[#This Row],[Overdue Days]]</f>
        <v>#VALUE!</v>
      </c>
    </row>
    <row r="140" spans="1:10">
      <c r="A140" s="2" t="s">
        <v>680</v>
      </c>
      <c r="B140" s="2" t="s">
        <v>19</v>
      </c>
      <c r="C140" s="2" t="str">
        <f>VLOOKUP(B140,Data!$A$2:$B$101,2,0)</f>
        <v>Fred Weiss</v>
      </c>
      <c r="D140" s="2" t="s">
        <v>268</v>
      </c>
      <c r="E140" s="2" t="str">
        <f>VLOOKUP(D140,Data!$D$2:$E$121,2,0)</f>
        <v>Decide Interesting</v>
      </c>
      <c r="F140" s="3">
        <v>45338</v>
      </c>
      <c r="G140" s="42">
        <f>Transactions[[#This Row],[Borrow Date]]+21</f>
        <v>45359</v>
      </c>
      <c r="H140" s="3">
        <v>45361</v>
      </c>
      <c r="I140" s="49" cm="1">
        <f t="array" aca="1" ref="I140" ca="1">_xlfn.IFS(Transactions[[#This Row],[Return Date]]&lt;=Transactions[[#This Row],[Due Date]],0,AND(Transactions[[#This Row],[Return Date]]="",TODAY()&lt;=Transactions[[#This Row],[Due Date]]),0,Transactions[[#This Row],[Return Date]]&gt;Transactions[[#This Row],[Due Date]],Transactions[[#This Row],[Return Date]]-Transactions[[#This Row],[Due Date]],AND(Transactions[[#This Row],[Return Date]]="",TODAY()&gt;Transactions[[#This Row],[Due Date]]),TODAY()-Transactions[[#This Row],[Due Date]])</f>
        <v>2</v>
      </c>
      <c r="J140" s="47">
        <f ca="1">Transactions[[#This Row],[Overdue Days]]</f>
        <v>2</v>
      </c>
    </row>
    <row r="141" spans="1:10">
      <c r="A141" s="2" t="s">
        <v>461</v>
      </c>
      <c r="B141" s="2" t="s">
        <v>65</v>
      </c>
      <c r="C141" s="2" t="str">
        <f>VLOOKUP(B141,Data!$A$2:$B$101,2,0)</f>
        <v>Maria Villarreal</v>
      </c>
      <c r="D141" s="2" t="s">
        <v>269</v>
      </c>
      <c r="E141" s="2" t="str">
        <f>VLOOKUP(D141,Data!$D$2:$E$121,2,0)</f>
        <v>Goal Avoid Together Church</v>
      </c>
      <c r="F141" s="3">
        <v>45411</v>
      </c>
      <c r="G141" s="42">
        <f>Transactions[[#This Row],[Borrow Date]]+21</f>
        <v>45432</v>
      </c>
      <c r="H141" s="3">
        <v>45436</v>
      </c>
      <c r="I141" s="49" cm="1">
        <f t="array" aca="1" ref="I141" ca="1">_xlfn.IFS(Transactions[[#This Row],[Return Date]]&lt;=Transactions[[#This Row],[Due Date]],0,AND(Transactions[[#This Row],[Return Date]]="",TODAY()&lt;=Transactions[[#This Row],[Due Date]]),0,Transactions[[#This Row],[Return Date]]&gt;Transactions[[#This Row],[Due Date]],Transactions[[#This Row],[Return Date]]-Transactions[[#This Row],[Due Date]],AND(Transactions[[#This Row],[Return Date]]="",TODAY()&gt;Transactions[[#This Row],[Due Date]]),TODAY()-Transactions[[#This Row],[Due Date]])</f>
        <v>4</v>
      </c>
      <c r="J141" s="47">
        <f ca="1">Transactions[[#This Row],[Overdue Days]]</f>
        <v>4</v>
      </c>
    </row>
    <row r="142" spans="1:10">
      <c r="A142" s="2" t="s">
        <v>659</v>
      </c>
      <c r="B142" s="2" t="s">
        <v>93</v>
      </c>
      <c r="C142" s="2" t="str">
        <f>VLOOKUP(B142,Data!$A$2:$B$101,2,0)</f>
        <v>John Chandler</v>
      </c>
      <c r="D142" s="2" t="s">
        <v>269</v>
      </c>
      <c r="E142" s="2" t="str">
        <f>VLOOKUP(D142,Data!$D$2:$E$121,2,0)</f>
        <v>Goal Avoid Together Church</v>
      </c>
      <c r="F142" s="3">
        <v>45651</v>
      </c>
      <c r="G142" s="42">
        <f>Transactions[[#This Row],[Borrow Date]]+21</f>
        <v>45672</v>
      </c>
      <c r="H142" s="3" t="s">
        <v>748</v>
      </c>
      <c r="I142" s="49" t="e" cm="1">
        <f t="array" aca="1" ref="I142" ca="1">_xlfn.IFS(Transactions[[#This Row],[Return Date]]&lt;=Transactions[[#This Row],[Due Date]],0,AND(Transactions[[#This Row],[Return Date]]="",TODAY()&lt;=Transactions[[#This Row],[Due Date]]),0,Transactions[[#This Row],[Return Date]]&gt;Transactions[[#This Row],[Due Date]],Transactions[[#This Row],[Return Date]]-Transactions[[#This Row],[Due Date]],AND(Transactions[[#This Row],[Return Date]]="",TODAY()&gt;Transactions[[#This Row],[Due Date]]),TODAY()-Transactions[[#This Row],[Due Date]])</f>
        <v>#VALUE!</v>
      </c>
      <c r="J142" s="47" t="e">
        <f ca="1">Transactions[[#This Row],[Overdue Days]]</f>
        <v>#VALUE!</v>
      </c>
    </row>
    <row r="143" spans="1:10">
      <c r="A143" s="2" t="s">
        <v>704</v>
      </c>
      <c r="B143" s="2" t="s">
        <v>52</v>
      </c>
      <c r="C143" s="2" t="str">
        <f>VLOOKUP(B143,Data!$A$2:$B$101,2,0)</f>
        <v>Steven Weiss</v>
      </c>
      <c r="D143" s="2" t="s">
        <v>269</v>
      </c>
      <c r="E143" s="2" t="str">
        <f>VLOOKUP(D143,Data!$D$2:$E$121,2,0)</f>
        <v>Goal Avoid Together Church</v>
      </c>
      <c r="F143" s="3">
        <v>45588</v>
      </c>
      <c r="G143" s="42">
        <f>Transactions[[#This Row],[Borrow Date]]+21</f>
        <v>45609</v>
      </c>
      <c r="H143" s="3">
        <v>45605</v>
      </c>
      <c r="I143" s="49" cm="1">
        <f t="array" aca="1" ref="I143" ca="1">_xlfn.IFS(Transactions[[#This Row],[Return Date]]&lt;=Transactions[[#This Row],[Due Date]],0,AND(Transactions[[#This Row],[Return Date]]="",TODAY()&lt;=Transactions[[#This Row],[Due Date]]),0,Transactions[[#This Row],[Return Date]]&gt;Transactions[[#This Row],[Due Date]],Transactions[[#This Row],[Return Date]]-Transactions[[#This Row],[Due Date]],AND(Transactions[[#This Row],[Return Date]]="",TODAY()&gt;Transactions[[#This Row],[Due Date]]),TODAY()-Transactions[[#This Row],[Due Date]])</f>
        <v>0</v>
      </c>
      <c r="J143" s="47">
        <f ca="1">Transactions[[#This Row],[Overdue Days]]</f>
        <v>0</v>
      </c>
    </row>
    <row r="144" spans="1:10">
      <c r="A144" s="2" t="s">
        <v>522</v>
      </c>
      <c r="B144" s="2" t="s">
        <v>100</v>
      </c>
      <c r="C144" s="2" t="str">
        <f>VLOOKUP(B144,Data!$A$2:$B$101,2,0)</f>
        <v>Scott Bradley</v>
      </c>
      <c r="D144" s="2" t="s">
        <v>270</v>
      </c>
      <c r="E144" s="2" t="str">
        <f>VLOOKUP(D144,Data!$D$2:$E$121,2,0)</f>
        <v>Benefit Partner</v>
      </c>
      <c r="F144" s="3">
        <v>45585</v>
      </c>
      <c r="G144" s="42">
        <f>Transactions[[#This Row],[Borrow Date]]+21</f>
        <v>45606</v>
      </c>
      <c r="H144" s="3">
        <v>45610</v>
      </c>
      <c r="I144" s="49" cm="1">
        <f t="array" aca="1" ref="I144" ca="1">_xlfn.IFS(Transactions[[#This Row],[Return Date]]&lt;=Transactions[[#This Row],[Due Date]],0,AND(Transactions[[#This Row],[Return Date]]="",TODAY()&lt;=Transactions[[#This Row],[Due Date]]),0,Transactions[[#This Row],[Return Date]]&gt;Transactions[[#This Row],[Due Date]],Transactions[[#This Row],[Return Date]]-Transactions[[#This Row],[Due Date]],AND(Transactions[[#This Row],[Return Date]]="",TODAY()&gt;Transactions[[#This Row],[Due Date]]),TODAY()-Transactions[[#This Row],[Due Date]])</f>
        <v>4</v>
      </c>
      <c r="J144" s="47">
        <f ca="1">Transactions[[#This Row],[Overdue Days]]</f>
        <v>4</v>
      </c>
    </row>
    <row r="145" spans="1:10">
      <c r="A145" s="2" t="s">
        <v>666</v>
      </c>
      <c r="B145" s="2" t="s">
        <v>87</v>
      </c>
      <c r="C145" s="2" t="str">
        <f>VLOOKUP(B145,Data!$A$2:$B$101,2,0)</f>
        <v>Becky Barr</v>
      </c>
      <c r="D145" s="2" t="s">
        <v>270</v>
      </c>
      <c r="E145" s="2" t="str">
        <f>VLOOKUP(D145,Data!$D$2:$E$121,2,0)</f>
        <v>Benefit Partner</v>
      </c>
      <c r="F145" s="3">
        <v>45591</v>
      </c>
      <c r="G145" s="42">
        <f>Transactions[[#This Row],[Borrow Date]]+21</f>
        <v>45612</v>
      </c>
      <c r="H145" s="3">
        <v>45610</v>
      </c>
      <c r="I145" s="49" cm="1">
        <f t="array" aca="1" ref="I145" ca="1">_xlfn.IFS(Transactions[[#This Row],[Return Date]]&lt;=Transactions[[#This Row],[Due Date]],0,AND(Transactions[[#This Row],[Return Date]]="",TODAY()&lt;=Transactions[[#This Row],[Due Date]]),0,Transactions[[#This Row],[Return Date]]&gt;Transactions[[#This Row],[Due Date]],Transactions[[#This Row],[Return Date]]-Transactions[[#This Row],[Due Date]],AND(Transactions[[#This Row],[Return Date]]="",TODAY()&gt;Transactions[[#This Row],[Due Date]]),TODAY()-Transactions[[#This Row],[Due Date]])</f>
        <v>0</v>
      </c>
      <c r="J145" s="47">
        <f ca="1">Transactions[[#This Row],[Overdue Days]]</f>
        <v>0</v>
      </c>
    </row>
    <row r="146" spans="1:10">
      <c r="A146" s="2" t="s">
        <v>689</v>
      </c>
      <c r="B146" s="2" t="s">
        <v>65</v>
      </c>
      <c r="C146" s="2" t="str">
        <f>VLOOKUP(B146,Data!$A$2:$B$101,2,0)</f>
        <v>Maria Villarreal</v>
      </c>
      <c r="D146" s="2" t="s">
        <v>270</v>
      </c>
      <c r="E146" s="2" t="str">
        <f>VLOOKUP(D146,Data!$D$2:$E$121,2,0)</f>
        <v>Benefit Partner</v>
      </c>
      <c r="F146" s="3">
        <v>45622</v>
      </c>
      <c r="G146" s="42">
        <f>Transactions[[#This Row],[Borrow Date]]+21</f>
        <v>45643</v>
      </c>
      <c r="H146" s="3">
        <v>45638</v>
      </c>
      <c r="I146" s="49" cm="1">
        <f t="array" aca="1" ref="I146" ca="1">_xlfn.IFS(Transactions[[#This Row],[Return Date]]&lt;=Transactions[[#This Row],[Due Date]],0,AND(Transactions[[#This Row],[Return Date]]="",TODAY()&lt;=Transactions[[#This Row],[Due Date]]),0,Transactions[[#This Row],[Return Date]]&gt;Transactions[[#This Row],[Due Date]],Transactions[[#This Row],[Return Date]]-Transactions[[#This Row],[Due Date]],AND(Transactions[[#This Row],[Return Date]]="",TODAY()&gt;Transactions[[#This Row],[Due Date]]),TODAY()-Transactions[[#This Row],[Due Date]])</f>
        <v>0</v>
      </c>
      <c r="J146" s="47">
        <f ca="1">Transactions[[#This Row],[Overdue Days]]</f>
        <v>0</v>
      </c>
    </row>
    <row r="147" spans="1:10">
      <c r="A147" s="2" t="s">
        <v>460</v>
      </c>
      <c r="B147" s="2" t="s">
        <v>39</v>
      </c>
      <c r="C147" s="2" t="str">
        <f>VLOOKUP(B147,Data!$A$2:$B$101,2,0)</f>
        <v>Hailey Brown</v>
      </c>
      <c r="D147" s="2" t="s">
        <v>271</v>
      </c>
      <c r="E147" s="2" t="str">
        <f>VLOOKUP(D147,Data!$D$2:$E$121,2,0)</f>
        <v>Very Speak Activity Test</v>
      </c>
      <c r="F147" s="3">
        <v>45463</v>
      </c>
      <c r="G147" s="42">
        <f>Transactions[[#This Row],[Borrow Date]]+21</f>
        <v>45484</v>
      </c>
      <c r="H147" s="3">
        <v>45487</v>
      </c>
      <c r="I147" s="49" cm="1">
        <f t="array" aca="1" ref="I147" ca="1">_xlfn.IFS(Transactions[[#This Row],[Return Date]]&lt;=Transactions[[#This Row],[Due Date]],0,AND(Transactions[[#This Row],[Return Date]]="",TODAY()&lt;=Transactions[[#This Row],[Due Date]]),0,Transactions[[#This Row],[Return Date]]&gt;Transactions[[#This Row],[Due Date]],Transactions[[#This Row],[Return Date]]-Transactions[[#This Row],[Due Date]],AND(Transactions[[#This Row],[Return Date]]="",TODAY()&gt;Transactions[[#This Row],[Due Date]]),TODAY()-Transactions[[#This Row],[Due Date]])</f>
        <v>3</v>
      </c>
      <c r="J147" s="47">
        <f ca="1">Transactions[[#This Row],[Overdue Days]]</f>
        <v>3</v>
      </c>
    </row>
    <row r="148" spans="1:10">
      <c r="A148" s="2" t="s">
        <v>617</v>
      </c>
      <c r="B148" s="2" t="s">
        <v>4</v>
      </c>
      <c r="C148" s="2" t="str">
        <f>VLOOKUP(B148,Data!$A$2:$B$101,2,0)</f>
        <v>Joshua Moran</v>
      </c>
      <c r="D148" s="2" t="s">
        <v>271</v>
      </c>
      <c r="E148" s="2" t="str">
        <f>VLOOKUP(D148,Data!$D$2:$E$121,2,0)</f>
        <v>Very Speak Activity Test</v>
      </c>
      <c r="F148" s="3">
        <v>45375</v>
      </c>
      <c r="G148" s="42">
        <f>Transactions[[#This Row],[Borrow Date]]+21</f>
        <v>45396</v>
      </c>
      <c r="H148" s="3">
        <v>45392</v>
      </c>
      <c r="I148" s="49" cm="1">
        <f t="array" aca="1" ref="I148" ca="1">_xlfn.IFS(Transactions[[#This Row],[Return Date]]&lt;=Transactions[[#This Row],[Due Date]],0,AND(Transactions[[#This Row],[Return Date]]="",TODAY()&lt;=Transactions[[#This Row],[Due Date]]),0,Transactions[[#This Row],[Return Date]]&gt;Transactions[[#This Row],[Due Date]],Transactions[[#This Row],[Return Date]]-Transactions[[#This Row],[Due Date]],AND(Transactions[[#This Row],[Return Date]]="",TODAY()&gt;Transactions[[#This Row],[Due Date]]),TODAY()-Transactions[[#This Row],[Due Date]])</f>
        <v>0</v>
      </c>
      <c r="J148" s="47">
        <f ca="1">Transactions[[#This Row],[Overdue Days]]</f>
        <v>0</v>
      </c>
    </row>
    <row r="149" spans="1:10">
      <c r="A149" s="2" t="s">
        <v>747</v>
      </c>
      <c r="B149" s="2" t="s">
        <v>98</v>
      </c>
      <c r="C149" s="2" t="str">
        <f>VLOOKUP(B149,Data!$A$2:$B$101,2,0)</f>
        <v>Brett Ruiz</v>
      </c>
      <c r="D149" s="2" t="s">
        <v>271</v>
      </c>
      <c r="E149" s="2" t="str">
        <f>VLOOKUP(D149,Data!$D$2:$E$121,2,0)</f>
        <v>Very Speak Activity Test</v>
      </c>
      <c r="F149" s="3">
        <v>45468</v>
      </c>
      <c r="G149" s="42">
        <f>Transactions[[#This Row],[Borrow Date]]+21</f>
        <v>45489</v>
      </c>
      <c r="H149" s="3">
        <v>45491</v>
      </c>
      <c r="I149" s="49" cm="1">
        <f t="array" aca="1" ref="I149" ca="1">_xlfn.IFS(Transactions[[#This Row],[Return Date]]&lt;=Transactions[[#This Row],[Due Date]],0,AND(Transactions[[#This Row],[Return Date]]="",TODAY()&lt;=Transactions[[#This Row],[Due Date]]),0,Transactions[[#This Row],[Return Date]]&gt;Transactions[[#This Row],[Due Date]],Transactions[[#This Row],[Return Date]]-Transactions[[#This Row],[Due Date]],AND(Transactions[[#This Row],[Return Date]]="",TODAY()&gt;Transactions[[#This Row],[Due Date]]),TODAY()-Transactions[[#This Row],[Due Date]])</f>
        <v>2</v>
      </c>
      <c r="J149" s="47">
        <f ca="1">Transactions[[#This Row],[Overdue Days]]</f>
        <v>2</v>
      </c>
    </row>
    <row r="150" spans="1:10">
      <c r="A150" s="2" t="s">
        <v>463</v>
      </c>
      <c r="B150" s="2" t="s">
        <v>28</v>
      </c>
      <c r="C150" s="2" t="str">
        <f>VLOOKUP(B150,Data!$A$2:$B$101,2,0)</f>
        <v>Nathaniel Bates</v>
      </c>
      <c r="D150" s="2" t="s">
        <v>273</v>
      </c>
      <c r="E150" s="2" t="str">
        <f>VLOOKUP(D150,Data!$D$2:$E$121,2,0)</f>
        <v>Task</v>
      </c>
      <c r="F150" s="3">
        <v>45395</v>
      </c>
      <c r="G150" s="42">
        <f>Transactions[[#This Row],[Borrow Date]]+21</f>
        <v>45416</v>
      </c>
      <c r="H150" s="3">
        <v>45421</v>
      </c>
      <c r="I150" s="49" cm="1">
        <f t="array" aca="1" ref="I150" ca="1">_xlfn.IFS(Transactions[[#This Row],[Return Date]]&lt;=Transactions[[#This Row],[Due Date]],0,AND(Transactions[[#This Row],[Return Date]]="",TODAY()&lt;=Transactions[[#This Row],[Due Date]]),0,Transactions[[#This Row],[Return Date]]&gt;Transactions[[#This Row],[Due Date]],Transactions[[#This Row],[Return Date]]-Transactions[[#This Row],[Due Date]],AND(Transactions[[#This Row],[Return Date]]="",TODAY()&gt;Transactions[[#This Row],[Due Date]]),TODAY()-Transactions[[#This Row],[Due Date]])</f>
        <v>5</v>
      </c>
      <c r="J150" s="47">
        <f ca="1">Transactions[[#This Row],[Overdue Days]]</f>
        <v>5</v>
      </c>
    </row>
    <row r="151" spans="1:10">
      <c r="A151" s="2" t="s">
        <v>484</v>
      </c>
      <c r="B151" s="2" t="s">
        <v>73</v>
      </c>
      <c r="C151" s="2" t="str">
        <f>VLOOKUP(B151,Data!$A$2:$B$101,2,0)</f>
        <v>Stephanie Wells</v>
      </c>
      <c r="D151" s="2" t="s">
        <v>273</v>
      </c>
      <c r="E151" s="2" t="str">
        <f>VLOOKUP(D151,Data!$D$2:$E$121,2,0)</f>
        <v>Task</v>
      </c>
      <c r="F151" s="3">
        <v>45506</v>
      </c>
      <c r="G151" s="42">
        <f>Transactions[[#This Row],[Borrow Date]]+21</f>
        <v>45527</v>
      </c>
      <c r="H151" s="3">
        <v>45525</v>
      </c>
      <c r="I151" s="49" cm="1">
        <f t="array" aca="1" ref="I151" ca="1">_xlfn.IFS(Transactions[[#This Row],[Return Date]]&lt;=Transactions[[#This Row],[Due Date]],0,AND(Transactions[[#This Row],[Return Date]]="",TODAY()&lt;=Transactions[[#This Row],[Due Date]]),0,Transactions[[#This Row],[Return Date]]&gt;Transactions[[#This Row],[Due Date]],Transactions[[#This Row],[Return Date]]-Transactions[[#This Row],[Due Date]],AND(Transactions[[#This Row],[Return Date]]="",TODAY()&gt;Transactions[[#This Row],[Due Date]]),TODAY()-Transactions[[#This Row],[Due Date]])</f>
        <v>0</v>
      </c>
      <c r="J151" s="47">
        <f ca="1">Transactions[[#This Row],[Overdue Days]]</f>
        <v>0</v>
      </c>
    </row>
    <row r="152" spans="1:10">
      <c r="A152" s="2" t="s">
        <v>661</v>
      </c>
      <c r="B152" s="2" t="s">
        <v>12</v>
      </c>
      <c r="C152" s="2" t="str">
        <f>VLOOKUP(B152,Data!$A$2:$B$101,2,0)</f>
        <v>Jeffrey Garrett</v>
      </c>
      <c r="D152" s="2" t="s">
        <v>273</v>
      </c>
      <c r="E152" s="2" t="str">
        <f>VLOOKUP(D152,Data!$D$2:$E$121,2,0)</f>
        <v>Task</v>
      </c>
      <c r="F152" s="3">
        <v>45465</v>
      </c>
      <c r="G152" s="42">
        <f>Transactions[[#This Row],[Borrow Date]]+21</f>
        <v>45486</v>
      </c>
      <c r="H152" s="3">
        <v>45489</v>
      </c>
      <c r="I152" s="49" cm="1">
        <f t="array" aca="1" ref="I152" ca="1">_xlfn.IFS(Transactions[[#This Row],[Return Date]]&lt;=Transactions[[#This Row],[Due Date]],0,AND(Transactions[[#This Row],[Return Date]]="",TODAY()&lt;=Transactions[[#This Row],[Due Date]]),0,Transactions[[#This Row],[Return Date]]&gt;Transactions[[#This Row],[Due Date]],Transactions[[#This Row],[Return Date]]-Transactions[[#This Row],[Due Date]],AND(Transactions[[#This Row],[Return Date]]="",TODAY()&gt;Transactions[[#This Row],[Due Date]]),TODAY()-Transactions[[#This Row],[Due Date]])</f>
        <v>3</v>
      </c>
      <c r="J152" s="47">
        <f ca="1">Transactions[[#This Row],[Overdue Days]]</f>
        <v>3</v>
      </c>
    </row>
    <row r="153" spans="1:10">
      <c r="A153" s="2" t="s">
        <v>605</v>
      </c>
      <c r="B153" s="2" t="s">
        <v>101</v>
      </c>
      <c r="C153" s="2" t="str">
        <f>VLOOKUP(B153,Data!$A$2:$B$101,2,0)</f>
        <v>Alyssa Davis</v>
      </c>
      <c r="D153" s="2" t="s">
        <v>274</v>
      </c>
      <c r="E153" s="2" t="str">
        <f>VLOOKUP(D153,Data!$D$2:$E$121,2,0)</f>
        <v>Protect Bit Save</v>
      </c>
      <c r="F153" s="3">
        <v>45512</v>
      </c>
      <c r="G153" s="42">
        <f>Transactions[[#This Row],[Borrow Date]]+21</f>
        <v>45533</v>
      </c>
      <c r="H153" s="3">
        <v>45531</v>
      </c>
      <c r="I153" s="49" cm="1">
        <f t="array" aca="1" ref="I153" ca="1">_xlfn.IFS(Transactions[[#This Row],[Return Date]]&lt;=Transactions[[#This Row],[Due Date]],0,AND(Transactions[[#This Row],[Return Date]]="",TODAY()&lt;=Transactions[[#This Row],[Due Date]]),0,Transactions[[#This Row],[Return Date]]&gt;Transactions[[#This Row],[Due Date]],Transactions[[#This Row],[Return Date]]-Transactions[[#This Row],[Due Date]],AND(Transactions[[#This Row],[Return Date]]="",TODAY()&gt;Transactions[[#This Row],[Due Date]]),TODAY()-Transactions[[#This Row],[Due Date]])</f>
        <v>0</v>
      </c>
      <c r="J153" s="47">
        <f ca="1">Transactions[[#This Row],[Overdue Days]]</f>
        <v>0</v>
      </c>
    </row>
    <row r="154" spans="1:10">
      <c r="A154" s="2" t="s">
        <v>452</v>
      </c>
      <c r="B154" s="2" t="s">
        <v>86</v>
      </c>
      <c r="C154" s="2" t="str">
        <f>VLOOKUP(B154,Data!$A$2:$B$101,2,0)</f>
        <v>Christian Murphy</v>
      </c>
      <c r="D154" s="2" t="s">
        <v>275</v>
      </c>
      <c r="E154" s="2" t="str">
        <f>VLOOKUP(D154,Data!$D$2:$E$121,2,0)</f>
        <v>Price Animal</v>
      </c>
      <c r="F154" s="3">
        <v>45408</v>
      </c>
      <c r="G154" s="42">
        <f>Transactions[[#This Row],[Borrow Date]]+21</f>
        <v>45429</v>
      </c>
      <c r="H154" s="3">
        <v>45423</v>
      </c>
      <c r="I154" s="49" cm="1">
        <f t="array" aca="1" ref="I154" ca="1">_xlfn.IFS(Transactions[[#This Row],[Return Date]]&lt;=Transactions[[#This Row],[Due Date]],0,AND(Transactions[[#This Row],[Return Date]]="",TODAY()&lt;=Transactions[[#This Row],[Due Date]]),0,Transactions[[#This Row],[Return Date]]&gt;Transactions[[#This Row],[Due Date]],Transactions[[#This Row],[Return Date]]-Transactions[[#This Row],[Due Date]],AND(Transactions[[#This Row],[Return Date]]="",TODAY()&gt;Transactions[[#This Row],[Due Date]]),TODAY()-Transactions[[#This Row],[Due Date]])</f>
        <v>0</v>
      </c>
      <c r="J154" s="47">
        <f ca="1">Transactions[[#This Row],[Overdue Days]]</f>
        <v>0</v>
      </c>
    </row>
    <row r="155" spans="1:10">
      <c r="A155" s="2" t="s">
        <v>492</v>
      </c>
      <c r="B155" s="2" t="s">
        <v>14</v>
      </c>
      <c r="C155" s="2" t="str">
        <f>VLOOKUP(B155,Data!$A$2:$B$101,2,0)</f>
        <v>Marie Buckley</v>
      </c>
      <c r="D155" s="2" t="s">
        <v>275</v>
      </c>
      <c r="E155" s="2" t="str">
        <f>VLOOKUP(D155,Data!$D$2:$E$121,2,0)</f>
        <v>Price Animal</v>
      </c>
      <c r="F155" s="3">
        <v>45360</v>
      </c>
      <c r="G155" s="42">
        <f>Transactions[[#This Row],[Borrow Date]]+21</f>
        <v>45381</v>
      </c>
      <c r="H155" s="3">
        <v>45376</v>
      </c>
      <c r="I155" s="49" cm="1">
        <f t="array" aca="1" ref="I155" ca="1">_xlfn.IFS(Transactions[[#This Row],[Return Date]]&lt;=Transactions[[#This Row],[Due Date]],0,AND(Transactions[[#This Row],[Return Date]]="",TODAY()&lt;=Transactions[[#This Row],[Due Date]]),0,Transactions[[#This Row],[Return Date]]&gt;Transactions[[#This Row],[Due Date]],Transactions[[#This Row],[Return Date]]-Transactions[[#This Row],[Due Date]],AND(Transactions[[#This Row],[Return Date]]="",TODAY()&gt;Transactions[[#This Row],[Due Date]]),TODAY()-Transactions[[#This Row],[Due Date]])</f>
        <v>0</v>
      </c>
      <c r="J155" s="47">
        <f ca="1">Transactions[[#This Row],[Overdue Days]]</f>
        <v>0</v>
      </c>
    </row>
    <row r="156" spans="1:10">
      <c r="A156" s="2" t="s">
        <v>550</v>
      </c>
      <c r="B156" s="2" t="s">
        <v>10</v>
      </c>
      <c r="C156" s="2" t="str">
        <f>VLOOKUP(B156,Data!$A$2:$B$101,2,0)</f>
        <v>Tracy Abbott</v>
      </c>
      <c r="D156" s="2" t="s">
        <v>275</v>
      </c>
      <c r="E156" s="2" t="str">
        <f>VLOOKUP(D156,Data!$D$2:$E$121,2,0)</f>
        <v>Price Animal</v>
      </c>
      <c r="F156" s="3">
        <v>45519</v>
      </c>
      <c r="G156" s="42">
        <f>Transactions[[#This Row],[Borrow Date]]+21</f>
        <v>45540</v>
      </c>
      <c r="H156" s="3">
        <v>45537</v>
      </c>
      <c r="I156" s="49" cm="1">
        <f t="array" aca="1" ref="I156" ca="1">_xlfn.IFS(Transactions[[#This Row],[Return Date]]&lt;=Transactions[[#This Row],[Due Date]],0,AND(Transactions[[#This Row],[Return Date]]="",TODAY()&lt;=Transactions[[#This Row],[Due Date]]),0,Transactions[[#This Row],[Return Date]]&gt;Transactions[[#This Row],[Due Date]],Transactions[[#This Row],[Return Date]]-Transactions[[#This Row],[Due Date]],AND(Transactions[[#This Row],[Return Date]]="",TODAY()&gt;Transactions[[#This Row],[Due Date]]),TODAY()-Transactions[[#This Row],[Due Date]])</f>
        <v>0</v>
      </c>
      <c r="J156" s="47">
        <f ca="1">Transactions[[#This Row],[Overdue Days]]</f>
        <v>0</v>
      </c>
    </row>
    <row r="157" spans="1:10">
      <c r="A157" s="2" t="s">
        <v>660</v>
      </c>
      <c r="B157" s="2" t="s">
        <v>4</v>
      </c>
      <c r="C157" s="2" t="str">
        <f>VLOOKUP(B157,Data!$A$2:$B$101,2,0)</f>
        <v>Joshua Moran</v>
      </c>
      <c r="D157" s="2" t="s">
        <v>275</v>
      </c>
      <c r="E157" s="2" t="str">
        <f>VLOOKUP(D157,Data!$D$2:$E$121,2,0)</f>
        <v>Price Animal</v>
      </c>
      <c r="F157" s="3">
        <v>45491</v>
      </c>
      <c r="G157" s="42">
        <f>Transactions[[#This Row],[Borrow Date]]+21</f>
        <v>45512</v>
      </c>
      <c r="H157" s="3">
        <v>45514</v>
      </c>
      <c r="I157" s="49" cm="1">
        <f t="array" aca="1" ref="I157" ca="1">_xlfn.IFS(Transactions[[#This Row],[Return Date]]&lt;=Transactions[[#This Row],[Due Date]],0,AND(Transactions[[#This Row],[Return Date]]="",TODAY()&lt;=Transactions[[#This Row],[Due Date]]),0,Transactions[[#This Row],[Return Date]]&gt;Transactions[[#This Row],[Due Date]],Transactions[[#This Row],[Return Date]]-Transactions[[#This Row],[Due Date]],AND(Transactions[[#This Row],[Return Date]]="",TODAY()&gt;Transactions[[#This Row],[Due Date]]),TODAY()-Transactions[[#This Row],[Due Date]])</f>
        <v>2</v>
      </c>
      <c r="J157" s="47">
        <f ca="1">Transactions[[#This Row],[Overdue Days]]</f>
        <v>2</v>
      </c>
    </row>
    <row r="158" spans="1:10">
      <c r="A158" s="2" t="s">
        <v>720</v>
      </c>
      <c r="B158" s="2" t="s">
        <v>17</v>
      </c>
      <c r="C158" s="2" t="str">
        <f>VLOOKUP(B158,Data!$A$2:$B$101,2,0)</f>
        <v>Mark Hester</v>
      </c>
      <c r="D158" s="2" t="s">
        <v>276</v>
      </c>
      <c r="E158" s="2" t="str">
        <f>VLOOKUP(D158,Data!$D$2:$E$121,2,0)</f>
        <v>Blood</v>
      </c>
      <c r="F158" s="3">
        <v>45350</v>
      </c>
      <c r="G158" s="42">
        <f>Transactions[[#This Row],[Borrow Date]]+21</f>
        <v>45371</v>
      </c>
      <c r="H158" s="3">
        <v>45365</v>
      </c>
      <c r="I158" s="49" cm="1">
        <f t="array" aca="1" ref="I158" ca="1">_xlfn.IFS(Transactions[[#This Row],[Return Date]]&lt;=Transactions[[#This Row],[Due Date]],0,AND(Transactions[[#This Row],[Return Date]]="",TODAY()&lt;=Transactions[[#This Row],[Due Date]]),0,Transactions[[#This Row],[Return Date]]&gt;Transactions[[#This Row],[Due Date]],Transactions[[#This Row],[Return Date]]-Transactions[[#This Row],[Due Date]],AND(Transactions[[#This Row],[Return Date]]="",TODAY()&gt;Transactions[[#This Row],[Due Date]]),TODAY()-Transactions[[#This Row],[Due Date]])</f>
        <v>0</v>
      </c>
      <c r="J158" s="47">
        <f ca="1">Transactions[[#This Row],[Overdue Days]]</f>
        <v>0</v>
      </c>
    </row>
    <row r="159" spans="1:10">
      <c r="A159" s="2" t="s">
        <v>653</v>
      </c>
      <c r="B159" s="2" t="s">
        <v>94</v>
      </c>
      <c r="C159" s="2" t="str">
        <f>VLOOKUP(B159,Data!$A$2:$B$101,2,0)</f>
        <v>Jeremy Phillips</v>
      </c>
      <c r="D159" s="2" t="s">
        <v>277</v>
      </c>
      <c r="E159" s="2" t="str">
        <f>VLOOKUP(D159,Data!$D$2:$E$121,2,0)</f>
        <v>Friend Speech</v>
      </c>
      <c r="F159" s="3">
        <v>45508</v>
      </c>
      <c r="G159" s="42">
        <f>Transactions[[#This Row],[Borrow Date]]+21</f>
        <v>45529</v>
      </c>
      <c r="H159" s="3">
        <v>45530</v>
      </c>
      <c r="I159" s="49" cm="1">
        <f t="array" aca="1" ref="I159" ca="1">_xlfn.IFS(Transactions[[#This Row],[Return Date]]&lt;=Transactions[[#This Row],[Due Date]],0,AND(Transactions[[#This Row],[Return Date]]="",TODAY()&lt;=Transactions[[#This Row],[Due Date]]),0,Transactions[[#This Row],[Return Date]]&gt;Transactions[[#This Row],[Due Date]],Transactions[[#This Row],[Return Date]]-Transactions[[#This Row],[Due Date]],AND(Transactions[[#This Row],[Return Date]]="",TODAY()&gt;Transactions[[#This Row],[Due Date]]),TODAY()-Transactions[[#This Row],[Due Date]])</f>
        <v>1</v>
      </c>
      <c r="J159" s="47">
        <f ca="1">Transactions[[#This Row],[Overdue Days]]</f>
        <v>1</v>
      </c>
    </row>
    <row r="160" spans="1:10">
      <c r="A160" s="2" t="s">
        <v>552</v>
      </c>
      <c r="B160" s="2" t="s">
        <v>56</v>
      </c>
      <c r="C160" s="2" t="str">
        <f>VLOOKUP(B160,Data!$A$2:$B$101,2,0)</f>
        <v>Clayton Smith</v>
      </c>
      <c r="D160" s="2" t="s">
        <v>278</v>
      </c>
      <c r="E160" s="2" t="str">
        <f>VLOOKUP(D160,Data!$D$2:$E$121,2,0)</f>
        <v>Sit Stock Various</v>
      </c>
      <c r="F160" s="3">
        <v>45330</v>
      </c>
      <c r="G160" s="42">
        <f>Transactions[[#This Row],[Borrow Date]]+21</f>
        <v>45351</v>
      </c>
      <c r="H160" s="3">
        <v>45356</v>
      </c>
      <c r="I160" s="49" cm="1">
        <f t="array" aca="1" ref="I160" ca="1">_xlfn.IFS(Transactions[[#This Row],[Return Date]]&lt;=Transactions[[#This Row],[Due Date]],0,AND(Transactions[[#This Row],[Return Date]]="",TODAY()&lt;=Transactions[[#This Row],[Due Date]]),0,Transactions[[#This Row],[Return Date]]&gt;Transactions[[#This Row],[Due Date]],Transactions[[#This Row],[Return Date]]-Transactions[[#This Row],[Due Date]],AND(Transactions[[#This Row],[Return Date]]="",TODAY()&gt;Transactions[[#This Row],[Due Date]]),TODAY()-Transactions[[#This Row],[Due Date]])</f>
        <v>5</v>
      </c>
      <c r="J160" s="47">
        <f ca="1">Transactions[[#This Row],[Overdue Days]]</f>
        <v>5</v>
      </c>
    </row>
    <row r="161" spans="1:10">
      <c r="A161" s="2" t="s">
        <v>611</v>
      </c>
      <c r="B161" s="2" t="s">
        <v>51</v>
      </c>
      <c r="C161" s="2" t="str">
        <f>VLOOKUP(B161,Data!$A$2:$B$101,2,0)</f>
        <v>Charles Hayes</v>
      </c>
      <c r="D161" s="2" t="s">
        <v>278</v>
      </c>
      <c r="E161" s="2" t="str">
        <f>VLOOKUP(D161,Data!$D$2:$E$121,2,0)</f>
        <v>Sit Stock Various</v>
      </c>
      <c r="F161" s="3">
        <v>45338</v>
      </c>
      <c r="G161" s="42">
        <f>Transactions[[#This Row],[Borrow Date]]+21</f>
        <v>45359</v>
      </c>
      <c r="H161" s="3">
        <v>45356</v>
      </c>
      <c r="I161" s="49" cm="1">
        <f t="array" aca="1" ref="I161" ca="1">_xlfn.IFS(Transactions[[#This Row],[Return Date]]&lt;=Transactions[[#This Row],[Due Date]],0,AND(Transactions[[#This Row],[Return Date]]="",TODAY()&lt;=Transactions[[#This Row],[Due Date]]),0,Transactions[[#This Row],[Return Date]]&gt;Transactions[[#This Row],[Due Date]],Transactions[[#This Row],[Return Date]]-Transactions[[#This Row],[Due Date]],AND(Transactions[[#This Row],[Return Date]]="",TODAY()&gt;Transactions[[#This Row],[Due Date]]),TODAY()-Transactions[[#This Row],[Due Date]])</f>
        <v>0</v>
      </c>
      <c r="J161" s="47">
        <f ca="1">Transactions[[#This Row],[Overdue Days]]</f>
        <v>0</v>
      </c>
    </row>
    <row r="162" spans="1:10">
      <c r="A162" s="2" t="s">
        <v>712</v>
      </c>
      <c r="B162" s="2" t="s">
        <v>81</v>
      </c>
      <c r="C162" s="2" t="str">
        <f>VLOOKUP(B162,Data!$A$2:$B$101,2,0)</f>
        <v>Latoya Tucker</v>
      </c>
      <c r="D162" s="2" t="s">
        <v>278</v>
      </c>
      <c r="E162" s="2" t="str">
        <f>VLOOKUP(D162,Data!$D$2:$E$121,2,0)</f>
        <v>Sit Stock Various</v>
      </c>
      <c r="F162" s="3">
        <v>45606</v>
      </c>
      <c r="G162" s="42">
        <f>Transactions[[#This Row],[Borrow Date]]+21</f>
        <v>45627</v>
      </c>
      <c r="H162" s="3">
        <v>45627</v>
      </c>
      <c r="I162" s="49" cm="1">
        <f t="array" aca="1" ref="I162" ca="1">_xlfn.IFS(Transactions[[#This Row],[Return Date]]&lt;=Transactions[[#This Row],[Due Date]],0,AND(Transactions[[#This Row],[Return Date]]="",TODAY()&lt;=Transactions[[#This Row],[Due Date]]),0,Transactions[[#This Row],[Return Date]]&gt;Transactions[[#This Row],[Due Date]],Transactions[[#This Row],[Return Date]]-Transactions[[#This Row],[Due Date]],AND(Transactions[[#This Row],[Return Date]]="",TODAY()&gt;Transactions[[#This Row],[Due Date]]),TODAY()-Transactions[[#This Row],[Due Date]])</f>
        <v>0</v>
      </c>
      <c r="J162" s="47">
        <f ca="1">Transactions[[#This Row],[Overdue Days]]</f>
        <v>0</v>
      </c>
    </row>
    <row r="163" spans="1:10">
      <c r="A163" s="2" t="s">
        <v>503</v>
      </c>
      <c r="B163" s="2" t="s">
        <v>86</v>
      </c>
      <c r="C163" s="2" t="str">
        <f>VLOOKUP(B163,Data!$A$2:$B$101,2,0)</f>
        <v>Christian Murphy</v>
      </c>
      <c r="D163" s="2" t="s">
        <v>279</v>
      </c>
      <c r="E163" s="2" t="str">
        <f>VLOOKUP(D163,Data!$D$2:$E$121,2,0)</f>
        <v>Cover Treat</v>
      </c>
      <c r="F163" s="3">
        <v>45530</v>
      </c>
      <c r="G163" s="42">
        <f>Transactions[[#This Row],[Borrow Date]]+21</f>
        <v>45551</v>
      </c>
      <c r="H163" s="3">
        <v>45552</v>
      </c>
      <c r="I163" s="49" cm="1">
        <f t="array" aca="1" ref="I163" ca="1">_xlfn.IFS(Transactions[[#This Row],[Return Date]]&lt;=Transactions[[#This Row],[Due Date]],0,AND(Transactions[[#This Row],[Return Date]]="",TODAY()&lt;=Transactions[[#This Row],[Due Date]]),0,Transactions[[#This Row],[Return Date]]&gt;Transactions[[#This Row],[Due Date]],Transactions[[#This Row],[Return Date]]-Transactions[[#This Row],[Due Date]],AND(Transactions[[#This Row],[Return Date]]="",TODAY()&gt;Transactions[[#This Row],[Due Date]]),TODAY()-Transactions[[#This Row],[Due Date]])</f>
        <v>1</v>
      </c>
      <c r="J163" s="47">
        <f ca="1">Transactions[[#This Row],[Overdue Days]]</f>
        <v>1</v>
      </c>
    </row>
    <row r="164" spans="1:10">
      <c r="A164" s="2" t="s">
        <v>718</v>
      </c>
      <c r="B164" s="2" t="s">
        <v>68</v>
      </c>
      <c r="C164" s="2" t="str">
        <f>VLOOKUP(B164,Data!$A$2:$B$101,2,0)</f>
        <v>Russell Sutton</v>
      </c>
      <c r="D164" s="2" t="s">
        <v>279</v>
      </c>
      <c r="E164" s="2" t="str">
        <f>VLOOKUP(D164,Data!$D$2:$E$121,2,0)</f>
        <v>Cover Treat</v>
      </c>
      <c r="F164" s="3">
        <v>45564</v>
      </c>
      <c r="G164" s="42">
        <f>Transactions[[#This Row],[Borrow Date]]+21</f>
        <v>45585</v>
      </c>
      <c r="H164" s="3">
        <v>45585</v>
      </c>
      <c r="I164" s="49" cm="1">
        <f t="array" aca="1" ref="I164" ca="1">_xlfn.IFS(Transactions[[#This Row],[Return Date]]&lt;=Transactions[[#This Row],[Due Date]],0,AND(Transactions[[#This Row],[Return Date]]="",TODAY()&lt;=Transactions[[#This Row],[Due Date]]),0,Transactions[[#This Row],[Return Date]]&gt;Transactions[[#This Row],[Due Date]],Transactions[[#This Row],[Return Date]]-Transactions[[#This Row],[Due Date]],AND(Transactions[[#This Row],[Return Date]]="",TODAY()&gt;Transactions[[#This Row],[Due Date]]),TODAY()-Transactions[[#This Row],[Due Date]])</f>
        <v>0</v>
      </c>
      <c r="J164" s="47">
        <f ca="1">Transactions[[#This Row],[Overdue Days]]</f>
        <v>0</v>
      </c>
    </row>
    <row r="165" spans="1:10">
      <c r="A165" s="2" t="s">
        <v>616</v>
      </c>
      <c r="B165" s="2" t="s">
        <v>41</v>
      </c>
      <c r="C165" s="2" t="str">
        <f>VLOOKUP(B165,Data!$A$2:$B$101,2,0)</f>
        <v>Dr. Michelle Pierce DDS</v>
      </c>
      <c r="D165" s="2" t="s">
        <v>280</v>
      </c>
      <c r="E165" s="2" t="str">
        <f>VLOOKUP(D165,Data!$D$2:$E$121,2,0)</f>
        <v>Night Democrat Fill</v>
      </c>
      <c r="F165" s="3">
        <v>45517</v>
      </c>
      <c r="G165" s="42">
        <f>Transactions[[#This Row],[Borrow Date]]+21</f>
        <v>45538</v>
      </c>
      <c r="H165" s="3">
        <v>45533</v>
      </c>
      <c r="I165" s="49" cm="1">
        <f t="array" aca="1" ref="I165" ca="1">_xlfn.IFS(Transactions[[#This Row],[Return Date]]&lt;=Transactions[[#This Row],[Due Date]],0,AND(Transactions[[#This Row],[Return Date]]="",TODAY()&lt;=Transactions[[#This Row],[Due Date]]),0,Transactions[[#This Row],[Return Date]]&gt;Transactions[[#This Row],[Due Date]],Transactions[[#This Row],[Return Date]]-Transactions[[#This Row],[Due Date]],AND(Transactions[[#This Row],[Return Date]]="",TODAY()&gt;Transactions[[#This Row],[Due Date]]),TODAY()-Transactions[[#This Row],[Due Date]])</f>
        <v>0</v>
      </c>
      <c r="J165" s="47">
        <f ca="1">Transactions[[#This Row],[Overdue Days]]</f>
        <v>0</v>
      </c>
    </row>
    <row r="166" spans="1:10">
      <c r="A166" s="2" t="s">
        <v>672</v>
      </c>
      <c r="B166" s="2" t="s">
        <v>71</v>
      </c>
      <c r="C166" s="2" t="str">
        <f>VLOOKUP(B166,Data!$A$2:$B$101,2,0)</f>
        <v>Daniel King DDS</v>
      </c>
      <c r="D166" s="2" t="s">
        <v>280</v>
      </c>
      <c r="E166" s="2" t="str">
        <f>VLOOKUP(D166,Data!$D$2:$E$121,2,0)</f>
        <v>Night Democrat Fill</v>
      </c>
      <c r="F166" s="3">
        <v>45531</v>
      </c>
      <c r="G166" s="42">
        <f>Transactions[[#This Row],[Borrow Date]]+21</f>
        <v>45552</v>
      </c>
      <c r="H166" s="3">
        <v>45547</v>
      </c>
      <c r="I166" s="49" cm="1">
        <f t="array" aca="1" ref="I166" ca="1">_xlfn.IFS(Transactions[[#This Row],[Return Date]]&lt;=Transactions[[#This Row],[Due Date]],0,AND(Transactions[[#This Row],[Return Date]]="",TODAY()&lt;=Transactions[[#This Row],[Due Date]]),0,Transactions[[#This Row],[Return Date]]&gt;Transactions[[#This Row],[Due Date]],Transactions[[#This Row],[Return Date]]-Transactions[[#This Row],[Due Date]],AND(Transactions[[#This Row],[Return Date]]="",TODAY()&gt;Transactions[[#This Row],[Due Date]]),TODAY()-Transactions[[#This Row],[Due Date]])</f>
        <v>0</v>
      </c>
      <c r="J166" s="47">
        <f ca="1">Transactions[[#This Row],[Overdue Days]]</f>
        <v>0</v>
      </c>
    </row>
    <row r="167" spans="1:10">
      <c r="A167" s="2" t="s">
        <v>684</v>
      </c>
      <c r="B167" s="2" t="s">
        <v>87</v>
      </c>
      <c r="C167" s="2" t="str">
        <f>VLOOKUP(B167,Data!$A$2:$B$101,2,0)</f>
        <v>Becky Barr</v>
      </c>
      <c r="D167" s="2" t="s">
        <v>280</v>
      </c>
      <c r="E167" s="2" t="str">
        <f>VLOOKUP(D167,Data!$D$2:$E$121,2,0)</f>
        <v>Night Democrat Fill</v>
      </c>
      <c r="F167" s="3">
        <v>45485</v>
      </c>
      <c r="G167" s="42">
        <f>Transactions[[#This Row],[Borrow Date]]+21</f>
        <v>45506</v>
      </c>
      <c r="H167" s="3">
        <v>45505</v>
      </c>
      <c r="I167" s="49" cm="1">
        <f t="array" aca="1" ref="I167" ca="1">_xlfn.IFS(Transactions[[#This Row],[Return Date]]&lt;=Transactions[[#This Row],[Due Date]],0,AND(Transactions[[#This Row],[Return Date]]="",TODAY()&lt;=Transactions[[#This Row],[Due Date]]),0,Transactions[[#This Row],[Return Date]]&gt;Transactions[[#This Row],[Due Date]],Transactions[[#This Row],[Return Date]]-Transactions[[#This Row],[Due Date]],AND(Transactions[[#This Row],[Return Date]]="",TODAY()&gt;Transactions[[#This Row],[Due Date]]),TODAY()-Transactions[[#This Row],[Due Date]])</f>
        <v>0</v>
      </c>
      <c r="J167" s="47">
        <f ca="1">Transactions[[#This Row],[Overdue Days]]</f>
        <v>0</v>
      </c>
    </row>
    <row r="168" spans="1:10">
      <c r="A168" s="2" t="s">
        <v>588</v>
      </c>
      <c r="B168" s="2" t="s">
        <v>56</v>
      </c>
      <c r="C168" s="2" t="str">
        <f>VLOOKUP(B168,Data!$A$2:$B$101,2,0)</f>
        <v>Clayton Smith</v>
      </c>
      <c r="D168" s="2" t="s">
        <v>281</v>
      </c>
      <c r="E168" s="2" t="str">
        <f>VLOOKUP(D168,Data!$D$2:$E$121,2,0)</f>
        <v>Fact Still</v>
      </c>
      <c r="F168" s="3">
        <v>45501</v>
      </c>
      <c r="G168" s="42">
        <f>Transactions[[#This Row],[Borrow Date]]+21</f>
        <v>45522</v>
      </c>
      <c r="H168" s="3">
        <v>45520</v>
      </c>
      <c r="I168" s="49" cm="1">
        <f t="array" aca="1" ref="I168" ca="1">_xlfn.IFS(Transactions[[#This Row],[Return Date]]&lt;=Transactions[[#This Row],[Due Date]],0,AND(Transactions[[#This Row],[Return Date]]="",TODAY()&lt;=Transactions[[#This Row],[Due Date]]),0,Transactions[[#This Row],[Return Date]]&gt;Transactions[[#This Row],[Due Date]],Transactions[[#This Row],[Return Date]]-Transactions[[#This Row],[Due Date]],AND(Transactions[[#This Row],[Return Date]]="",TODAY()&gt;Transactions[[#This Row],[Due Date]]),TODAY()-Transactions[[#This Row],[Due Date]])</f>
        <v>0</v>
      </c>
      <c r="J168" s="47">
        <f ca="1">Transactions[[#This Row],[Overdue Days]]</f>
        <v>0</v>
      </c>
    </row>
    <row r="169" spans="1:10">
      <c r="A169" s="2" t="s">
        <v>572</v>
      </c>
      <c r="B169" s="2" t="s">
        <v>9</v>
      </c>
      <c r="C169" s="2" t="str">
        <f>VLOOKUP(B169,Data!$A$2:$B$101,2,0)</f>
        <v>Alisha Miller</v>
      </c>
      <c r="D169" s="2" t="s">
        <v>282</v>
      </c>
      <c r="E169" s="2" t="str">
        <f>VLOOKUP(D169,Data!$D$2:$E$121,2,0)</f>
        <v>Suffer Lose</v>
      </c>
      <c r="F169" s="3">
        <v>45593</v>
      </c>
      <c r="G169" s="42">
        <f>Transactions[[#This Row],[Borrow Date]]+21</f>
        <v>45614</v>
      </c>
      <c r="H169" s="3">
        <v>45610</v>
      </c>
      <c r="I169" s="49" cm="1">
        <f t="array" aca="1" ref="I169" ca="1">_xlfn.IFS(Transactions[[#This Row],[Return Date]]&lt;=Transactions[[#This Row],[Due Date]],0,AND(Transactions[[#This Row],[Return Date]]="",TODAY()&lt;=Transactions[[#This Row],[Due Date]]),0,Transactions[[#This Row],[Return Date]]&gt;Transactions[[#This Row],[Due Date]],Transactions[[#This Row],[Return Date]]-Transactions[[#This Row],[Due Date]],AND(Transactions[[#This Row],[Return Date]]="",TODAY()&gt;Transactions[[#This Row],[Due Date]]),TODAY()-Transactions[[#This Row],[Due Date]])</f>
        <v>0</v>
      </c>
      <c r="J169" s="47">
        <f ca="1">Transactions[[#This Row],[Overdue Days]]</f>
        <v>0</v>
      </c>
    </row>
    <row r="170" spans="1:10">
      <c r="A170" s="2" t="s">
        <v>602</v>
      </c>
      <c r="B170" s="2" t="s">
        <v>20</v>
      </c>
      <c r="C170" s="2" t="str">
        <f>VLOOKUP(B170,Data!$A$2:$B$101,2,0)</f>
        <v>Mike Roberts</v>
      </c>
      <c r="D170" s="2" t="s">
        <v>282</v>
      </c>
      <c r="E170" s="2" t="str">
        <f>VLOOKUP(D170,Data!$D$2:$E$121,2,0)</f>
        <v>Suffer Lose</v>
      </c>
      <c r="F170" s="3">
        <v>45407</v>
      </c>
      <c r="G170" s="42">
        <f>Transactions[[#This Row],[Borrow Date]]+21</f>
        <v>45428</v>
      </c>
      <c r="H170" s="3">
        <v>45428</v>
      </c>
      <c r="I170" s="49" cm="1">
        <f t="array" aca="1" ref="I170" ca="1">_xlfn.IFS(Transactions[[#This Row],[Return Date]]&lt;=Transactions[[#This Row],[Due Date]],0,AND(Transactions[[#This Row],[Return Date]]="",TODAY()&lt;=Transactions[[#This Row],[Due Date]]),0,Transactions[[#This Row],[Return Date]]&gt;Transactions[[#This Row],[Due Date]],Transactions[[#This Row],[Return Date]]-Transactions[[#This Row],[Due Date]],AND(Transactions[[#This Row],[Return Date]]="",TODAY()&gt;Transactions[[#This Row],[Due Date]]),TODAY()-Transactions[[#This Row],[Due Date]])</f>
        <v>0</v>
      </c>
      <c r="J170" s="47">
        <f ca="1">Transactions[[#This Row],[Overdue Days]]</f>
        <v>0</v>
      </c>
    </row>
    <row r="171" spans="1:10">
      <c r="A171" s="2" t="s">
        <v>636</v>
      </c>
      <c r="B171" s="2" t="s">
        <v>76</v>
      </c>
      <c r="C171" s="2" t="str">
        <f>VLOOKUP(B171,Data!$A$2:$B$101,2,0)</f>
        <v>Jennifer Robinson</v>
      </c>
      <c r="D171" s="2" t="s">
        <v>282</v>
      </c>
      <c r="E171" s="2" t="str">
        <f>VLOOKUP(D171,Data!$D$2:$E$121,2,0)</f>
        <v>Suffer Lose</v>
      </c>
      <c r="F171" s="3">
        <v>45553</v>
      </c>
      <c r="G171" s="42">
        <f>Transactions[[#This Row],[Borrow Date]]+21</f>
        <v>45574</v>
      </c>
      <c r="H171" s="3">
        <v>45579</v>
      </c>
      <c r="I171" s="49" cm="1">
        <f t="array" aca="1" ref="I171" ca="1">_xlfn.IFS(Transactions[[#This Row],[Return Date]]&lt;=Transactions[[#This Row],[Due Date]],0,AND(Transactions[[#This Row],[Return Date]]="",TODAY()&lt;=Transactions[[#This Row],[Due Date]]),0,Transactions[[#This Row],[Return Date]]&gt;Transactions[[#This Row],[Due Date]],Transactions[[#This Row],[Return Date]]-Transactions[[#This Row],[Due Date]],AND(Transactions[[#This Row],[Return Date]]="",TODAY()&gt;Transactions[[#This Row],[Due Date]]),TODAY()-Transactions[[#This Row],[Due Date]])</f>
        <v>5</v>
      </c>
      <c r="J171" s="47">
        <f ca="1">Transactions[[#This Row],[Overdue Days]]</f>
        <v>5</v>
      </c>
    </row>
    <row r="172" spans="1:10">
      <c r="A172" s="2" t="s">
        <v>647</v>
      </c>
      <c r="B172" s="2" t="s">
        <v>30</v>
      </c>
      <c r="C172" s="2" t="str">
        <f>VLOOKUP(B172,Data!$A$2:$B$101,2,0)</f>
        <v>Tiffany Salazar</v>
      </c>
      <c r="D172" s="2" t="s">
        <v>282</v>
      </c>
      <c r="E172" s="2" t="str">
        <f>VLOOKUP(D172,Data!$D$2:$E$121,2,0)</f>
        <v>Suffer Lose</v>
      </c>
      <c r="F172" s="3">
        <v>45443</v>
      </c>
      <c r="G172" s="42">
        <f>Transactions[[#This Row],[Borrow Date]]+21</f>
        <v>45464</v>
      </c>
      <c r="H172" s="3">
        <v>45469</v>
      </c>
      <c r="I172" s="49" cm="1">
        <f t="array" aca="1" ref="I172" ca="1">_xlfn.IFS(Transactions[[#This Row],[Return Date]]&lt;=Transactions[[#This Row],[Due Date]],0,AND(Transactions[[#This Row],[Return Date]]="",TODAY()&lt;=Transactions[[#This Row],[Due Date]]),0,Transactions[[#This Row],[Return Date]]&gt;Transactions[[#This Row],[Due Date]],Transactions[[#This Row],[Return Date]]-Transactions[[#This Row],[Due Date]],AND(Transactions[[#This Row],[Return Date]]="",TODAY()&gt;Transactions[[#This Row],[Due Date]]),TODAY()-Transactions[[#This Row],[Due Date]])</f>
        <v>5</v>
      </c>
      <c r="J172" s="47">
        <f ca="1">Transactions[[#This Row],[Overdue Days]]</f>
        <v>5</v>
      </c>
    </row>
    <row r="173" spans="1:10">
      <c r="A173" s="2" t="s">
        <v>454</v>
      </c>
      <c r="B173" s="2" t="s">
        <v>95</v>
      </c>
      <c r="C173" s="2" t="str">
        <f>VLOOKUP(B173,Data!$A$2:$B$101,2,0)</f>
        <v>Belinda English</v>
      </c>
      <c r="D173" s="2" t="s">
        <v>284</v>
      </c>
      <c r="E173" s="2" t="str">
        <f>VLOOKUP(D173,Data!$D$2:$E$121,2,0)</f>
        <v>Key High Find</v>
      </c>
      <c r="F173" s="3">
        <v>45653</v>
      </c>
      <c r="G173" s="42">
        <f>Transactions[[#This Row],[Borrow Date]]+21</f>
        <v>45674</v>
      </c>
      <c r="H173" s="3" t="s">
        <v>748</v>
      </c>
      <c r="I173" s="49" t="e" cm="1">
        <f t="array" aca="1" ref="I173" ca="1">_xlfn.IFS(Transactions[[#This Row],[Return Date]]&lt;=Transactions[[#This Row],[Due Date]],0,AND(Transactions[[#This Row],[Return Date]]="",TODAY()&lt;=Transactions[[#This Row],[Due Date]]),0,Transactions[[#This Row],[Return Date]]&gt;Transactions[[#This Row],[Due Date]],Transactions[[#This Row],[Return Date]]-Transactions[[#This Row],[Due Date]],AND(Transactions[[#This Row],[Return Date]]="",TODAY()&gt;Transactions[[#This Row],[Due Date]]),TODAY()-Transactions[[#This Row],[Due Date]])</f>
        <v>#VALUE!</v>
      </c>
      <c r="J173" s="47" t="e">
        <f ca="1">Transactions[[#This Row],[Overdue Days]]</f>
        <v>#VALUE!</v>
      </c>
    </row>
    <row r="174" spans="1:10">
      <c r="A174" s="2" t="s">
        <v>466</v>
      </c>
      <c r="B174" s="2" t="s">
        <v>21</v>
      </c>
      <c r="C174" s="2" t="str">
        <f>VLOOKUP(B174,Data!$A$2:$B$101,2,0)</f>
        <v>Jesse Kennedy</v>
      </c>
      <c r="D174" s="2" t="s">
        <v>284</v>
      </c>
      <c r="E174" s="2" t="str">
        <f>VLOOKUP(D174,Data!$D$2:$E$121,2,0)</f>
        <v>Key High Find</v>
      </c>
      <c r="F174" s="3">
        <v>45578</v>
      </c>
      <c r="G174" s="42">
        <f>Transactions[[#This Row],[Borrow Date]]+21</f>
        <v>45599</v>
      </c>
      <c r="H174" s="3">
        <v>45602</v>
      </c>
      <c r="I174" s="49" cm="1">
        <f t="array" aca="1" ref="I174" ca="1">_xlfn.IFS(Transactions[[#This Row],[Return Date]]&lt;=Transactions[[#This Row],[Due Date]],0,AND(Transactions[[#This Row],[Return Date]]="",TODAY()&lt;=Transactions[[#This Row],[Due Date]]),0,Transactions[[#This Row],[Return Date]]&gt;Transactions[[#This Row],[Due Date]],Transactions[[#This Row],[Return Date]]-Transactions[[#This Row],[Due Date]],AND(Transactions[[#This Row],[Return Date]]="",TODAY()&gt;Transactions[[#This Row],[Due Date]]),TODAY()-Transactions[[#This Row],[Due Date]])</f>
        <v>3</v>
      </c>
      <c r="J174" s="47">
        <f ca="1">Transactions[[#This Row],[Overdue Days]]</f>
        <v>3</v>
      </c>
    </row>
    <row r="175" spans="1:10">
      <c r="A175" s="2" t="s">
        <v>535</v>
      </c>
      <c r="B175" s="2" t="s">
        <v>59</v>
      </c>
      <c r="C175" s="2" t="str">
        <f>VLOOKUP(B175,Data!$A$2:$B$101,2,0)</f>
        <v>Amy Shaw</v>
      </c>
      <c r="D175" s="2" t="s">
        <v>284</v>
      </c>
      <c r="E175" s="2" t="str">
        <f>VLOOKUP(D175,Data!$D$2:$E$121,2,0)</f>
        <v>Key High Find</v>
      </c>
      <c r="F175" s="3">
        <v>45543</v>
      </c>
      <c r="G175" s="42">
        <f>Transactions[[#This Row],[Borrow Date]]+21</f>
        <v>45564</v>
      </c>
      <c r="H175" s="3">
        <v>45565</v>
      </c>
      <c r="I175" s="49" cm="1">
        <f t="array" aca="1" ref="I175" ca="1">_xlfn.IFS(Transactions[[#This Row],[Return Date]]&lt;=Transactions[[#This Row],[Due Date]],0,AND(Transactions[[#This Row],[Return Date]]="",TODAY()&lt;=Transactions[[#This Row],[Due Date]]),0,Transactions[[#This Row],[Return Date]]&gt;Transactions[[#This Row],[Due Date]],Transactions[[#This Row],[Return Date]]-Transactions[[#This Row],[Due Date]],AND(Transactions[[#This Row],[Return Date]]="",TODAY()&gt;Transactions[[#This Row],[Due Date]]),TODAY()-Transactions[[#This Row],[Due Date]])</f>
        <v>1</v>
      </c>
      <c r="J175" s="47">
        <f ca="1">Transactions[[#This Row],[Overdue Days]]</f>
        <v>1</v>
      </c>
    </row>
    <row r="176" spans="1:10">
      <c r="A176" s="2" t="s">
        <v>513</v>
      </c>
      <c r="B176" s="2" t="s">
        <v>30</v>
      </c>
      <c r="C176" s="2" t="str">
        <f>VLOOKUP(B176,Data!$A$2:$B$101,2,0)</f>
        <v>Tiffany Salazar</v>
      </c>
      <c r="D176" s="2" t="s">
        <v>285</v>
      </c>
      <c r="E176" s="2" t="str">
        <f>VLOOKUP(D176,Data!$D$2:$E$121,2,0)</f>
        <v>Oil Full Attack</v>
      </c>
      <c r="F176" s="3">
        <v>45545</v>
      </c>
      <c r="G176" s="42">
        <f>Transactions[[#This Row],[Borrow Date]]+21</f>
        <v>45566</v>
      </c>
      <c r="H176" s="3">
        <v>45571</v>
      </c>
      <c r="I176" s="49" cm="1">
        <f t="array" aca="1" ref="I176" ca="1">_xlfn.IFS(Transactions[[#This Row],[Return Date]]&lt;=Transactions[[#This Row],[Due Date]],0,AND(Transactions[[#This Row],[Return Date]]="",TODAY()&lt;=Transactions[[#This Row],[Due Date]]),0,Transactions[[#This Row],[Return Date]]&gt;Transactions[[#This Row],[Due Date]],Transactions[[#This Row],[Return Date]]-Transactions[[#This Row],[Due Date]],AND(Transactions[[#This Row],[Return Date]]="",TODAY()&gt;Transactions[[#This Row],[Due Date]]),TODAY()-Transactions[[#This Row],[Due Date]])</f>
        <v>5</v>
      </c>
      <c r="J176" s="47">
        <f ca="1">Transactions[[#This Row],[Overdue Days]]</f>
        <v>5</v>
      </c>
    </row>
    <row r="177" spans="1:10">
      <c r="A177" s="2" t="s">
        <v>465</v>
      </c>
      <c r="B177" s="2" t="s">
        <v>24</v>
      </c>
      <c r="C177" s="2" t="str">
        <f>VLOOKUP(B177,Data!$A$2:$B$101,2,0)</f>
        <v>Catherine Morris</v>
      </c>
      <c r="D177" s="2" t="s">
        <v>286</v>
      </c>
      <c r="E177" s="2" t="str">
        <f>VLOOKUP(D177,Data!$D$2:$E$121,2,0)</f>
        <v>Soon Work</v>
      </c>
      <c r="F177" s="3">
        <v>45616</v>
      </c>
      <c r="G177" s="42">
        <f>Transactions[[#This Row],[Borrow Date]]+21</f>
        <v>45637</v>
      </c>
      <c r="H177" s="3">
        <v>45634</v>
      </c>
      <c r="I177" s="49" cm="1">
        <f t="array" aca="1" ref="I177" ca="1">_xlfn.IFS(Transactions[[#This Row],[Return Date]]&lt;=Transactions[[#This Row],[Due Date]],0,AND(Transactions[[#This Row],[Return Date]]="",TODAY()&lt;=Transactions[[#This Row],[Due Date]]),0,Transactions[[#This Row],[Return Date]]&gt;Transactions[[#This Row],[Due Date]],Transactions[[#This Row],[Return Date]]-Transactions[[#This Row],[Due Date]],AND(Transactions[[#This Row],[Return Date]]="",TODAY()&gt;Transactions[[#This Row],[Due Date]]),TODAY()-Transactions[[#This Row],[Due Date]])</f>
        <v>0</v>
      </c>
      <c r="J177" s="47">
        <f ca="1">Transactions[[#This Row],[Overdue Days]]</f>
        <v>0</v>
      </c>
    </row>
    <row r="178" spans="1:10">
      <c r="A178" s="2" t="s">
        <v>486</v>
      </c>
      <c r="B178" s="2" t="s">
        <v>28</v>
      </c>
      <c r="C178" s="2" t="str">
        <f>VLOOKUP(B178,Data!$A$2:$B$101,2,0)</f>
        <v>Nathaniel Bates</v>
      </c>
      <c r="D178" s="2" t="s">
        <v>286</v>
      </c>
      <c r="E178" s="2" t="str">
        <f>VLOOKUP(D178,Data!$D$2:$E$121,2,0)</f>
        <v>Soon Work</v>
      </c>
      <c r="F178" s="3">
        <v>45617</v>
      </c>
      <c r="G178" s="42">
        <f>Transactions[[#This Row],[Borrow Date]]+21</f>
        <v>45638</v>
      </c>
      <c r="H178" s="3">
        <v>45639</v>
      </c>
      <c r="I178" s="49" cm="1">
        <f t="array" aca="1" ref="I178" ca="1">_xlfn.IFS(Transactions[[#This Row],[Return Date]]&lt;=Transactions[[#This Row],[Due Date]],0,AND(Transactions[[#This Row],[Return Date]]="",TODAY()&lt;=Transactions[[#This Row],[Due Date]]),0,Transactions[[#This Row],[Return Date]]&gt;Transactions[[#This Row],[Due Date]],Transactions[[#This Row],[Return Date]]-Transactions[[#This Row],[Due Date]],AND(Transactions[[#This Row],[Return Date]]="",TODAY()&gt;Transactions[[#This Row],[Due Date]]),TODAY()-Transactions[[#This Row],[Due Date]])</f>
        <v>1</v>
      </c>
      <c r="J178" s="47">
        <f ca="1">Transactions[[#This Row],[Overdue Days]]</f>
        <v>1</v>
      </c>
    </row>
    <row r="179" spans="1:10">
      <c r="A179" s="2" t="s">
        <v>455</v>
      </c>
      <c r="B179" s="2" t="s">
        <v>34</v>
      </c>
      <c r="C179" s="2" t="str">
        <f>VLOOKUP(B179,Data!$A$2:$B$101,2,0)</f>
        <v>Tammy Tucker</v>
      </c>
      <c r="D179" s="2" t="s">
        <v>287</v>
      </c>
      <c r="E179" s="2" t="str">
        <f>VLOOKUP(D179,Data!$D$2:$E$121,2,0)</f>
        <v>Much Beyond</v>
      </c>
      <c r="F179" s="3">
        <v>45566</v>
      </c>
      <c r="G179" s="42">
        <f>Transactions[[#This Row],[Borrow Date]]+21</f>
        <v>45587</v>
      </c>
      <c r="H179" s="3">
        <v>45591</v>
      </c>
      <c r="I179" s="49" cm="1">
        <f t="array" aca="1" ref="I179" ca="1">_xlfn.IFS(Transactions[[#This Row],[Return Date]]&lt;=Transactions[[#This Row],[Due Date]],0,AND(Transactions[[#This Row],[Return Date]]="",TODAY()&lt;=Transactions[[#This Row],[Due Date]]),0,Transactions[[#This Row],[Return Date]]&gt;Transactions[[#This Row],[Due Date]],Transactions[[#This Row],[Return Date]]-Transactions[[#This Row],[Due Date]],AND(Transactions[[#This Row],[Return Date]]="",TODAY()&gt;Transactions[[#This Row],[Due Date]]),TODAY()-Transactions[[#This Row],[Due Date]])</f>
        <v>4</v>
      </c>
      <c r="J179" s="47">
        <f ca="1">Transactions[[#This Row],[Overdue Days]]</f>
        <v>4</v>
      </c>
    </row>
    <row r="180" spans="1:10">
      <c r="A180" s="2" t="s">
        <v>497</v>
      </c>
      <c r="B180" s="2" t="s">
        <v>92</v>
      </c>
      <c r="C180" s="2" t="str">
        <f>VLOOKUP(B180,Data!$A$2:$B$101,2,0)</f>
        <v>Tracy Peters</v>
      </c>
      <c r="D180" s="2" t="s">
        <v>287</v>
      </c>
      <c r="E180" s="2" t="str">
        <f>VLOOKUP(D180,Data!$D$2:$E$121,2,0)</f>
        <v>Much Beyond</v>
      </c>
      <c r="F180" s="3">
        <v>45303</v>
      </c>
      <c r="G180" s="42">
        <f>Transactions[[#This Row],[Borrow Date]]+21</f>
        <v>45324</v>
      </c>
      <c r="H180" s="3">
        <v>45324</v>
      </c>
      <c r="I180" s="49" cm="1">
        <f t="array" aca="1" ref="I180" ca="1">_xlfn.IFS(Transactions[[#This Row],[Return Date]]&lt;=Transactions[[#This Row],[Due Date]],0,AND(Transactions[[#This Row],[Return Date]]="",TODAY()&lt;=Transactions[[#This Row],[Due Date]]),0,Transactions[[#This Row],[Return Date]]&gt;Transactions[[#This Row],[Due Date]],Transactions[[#This Row],[Return Date]]-Transactions[[#This Row],[Due Date]],AND(Transactions[[#This Row],[Return Date]]="",TODAY()&gt;Transactions[[#This Row],[Due Date]]),TODAY()-Transactions[[#This Row],[Due Date]])</f>
        <v>0</v>
      </c>
      <c r="J180" s="47">
        <f ca="1">Transactions[[#This Row],[Overdue Days]]</f>
        <v>0</v>
      </c>
    </row>
    <row r="181" spans="1:10">
      <c r="A181" s="2" t="s">
        <v>520</v>
      </c>
      <c r="B181" s="2" t="s">
        <v>82</v>
      </c>
      <c r="C181" s="2" t="str">
        <f>VLOOKUP(B181,Data!$A$2:$B$101,2,0)</f>
        <v>Jeanette Cunningham</v>
      </c>
      <c r="D181" s="2" t="s">
        <v>287</v>
      </c>
      <c r="E181" s="2" t="str">
        <f>VLOOKUP(D181,Data!$D$2:$E$121,2,0)</f>
        <v>Much Beyond</v>
      </c>
      <c r="F181" s="3">
        <v>45442</v>
      </c>
      <c r="G181" s="42">
        <f>Transactions[[#This Row],[Borrow Date]]+21</f>
        <v>45463</v>
      </c>
      <c r="H181" s="3">
        <v>45465</v>
      </c>
      <c r="I181" s="49" cm="1">
        <f t="array" aca="1" ref="I181" ca="1">_xlfn.IFS(Transactions[[#This Row],[Return Date]]&lt;=Transactions[[#This Row],[Due Date]],0,AND(Transactions[[#This Row],[Return Date]]="",TODAY()&lt;=Transactions[[#This Row],[Due Date]]),0,Transactions[[#This Row],[Return Date]]&gt;Transactions[[#This Row],[Due Date]],Transactions[[#This Row],[Return Date]]-Transactions[[#This Row],[Due Date]],AND(Transactions[[#This Row],[Return Date]]="",TODAY()&gt;Transactions[[#This Row],[Due Date]]),TODAY()-Transactions[[#This Row],[Due Date]])</f>
        <v>2</v>
      </c>
      <c r="J181" s="47">
        <f ca="1">Transactions[[#This Row],[Overdue Days]]</f>
        <v>2</v>
      </c>
    </row>
    <row r="182" spans="1:10">
      <c r="A182" s="2" t="s">
        <v>570</v>
      </c>
      <c r="B182" s="2" t="s">
        <v>79</v>
      </c>
      <c r="C182" s="2" t="str">
        <f>VLOOKUP(B182,Data!$A$2:$B$101,2,0)</f>
        <v>Christopher Fleming</v>
      </c>
      <c r="D182" s="2" t="s">
        <v>287</v>
      </c>
      <c r="E182" s="2" t="str">
        <f>VLOOKUP(D182,Data!$D$2:$E$121,2,0)</f>
        <v>Much Beyond</v>
      </c>
      <c r="F182" s="3">
        <v>45388</v>
      </c>
      <c r="G182" s="42">
        <f>Transactions[[#This Row],[Borrow Date]]+21</f>
        <v>45409</v>
      </c>
      <c r="H182" s="3">
        <v>45407</v>
      </c>
      <c r="I182" s="49" cm="1">
        <f t="array" aca="1" ref="I182" ca="1">_xlfn.IFS(Transactions[[#This Row],[Return Date]]&lt;=Transactions[[#This Row],[Due Date]],0,AND(Transactions[[#This Row],[Return Date]]="",TODAY()&lt;=Transactions[[#This Row],[Due Date]]),0,Transactions[[#This Row],[Return Date]]&gt;Transactions[[#This Row],[Due Date]],Transactions[[#This Row],[Return Date]]-Transactions[[#This Row],[Due Date]],AND(Transactions[[#This Row],[Return Date]]="",TODAY()&gt;Transactions[[#This Row],[Due Date]]),TODAY()-Transactions[[#This Row],[Due Date]])</f>
        <v>0</v>
      </c>
      <c r="J182" s="47">
        <f ca="1">Transactions[[#This Row],[Overdue Days]]</f>
        <v>0</v>
      </c>
    </row>
    <row r="183" spans="1:10">
      <c r="A183" s="2" t="s">
        <v>592</v>
      </c>
      <c r="B183" s="2" t="s">
        <v>86</v>
      </c>
      <c r="C183" s="2" t="str">
        <f>VLOOKUP(B183,Data!$A$2:$B$101,2,0)</f>
        <v>Christian Murphy</v>
      </c>
      <c r="D183" s="2" t="s">
        <v>288</v>
      </c>
      <c r="E183" s="2" t="str">
        <f>VLOOKUP(D183,Data!$D$2:$E$121,2,0)</f>
        <v>Boy</v>
      </c>
      <c r="F183" s="3">
        <v>45571</v>
      </c>
      <c r="G183" s="42">
        <f>Transactions[[#This Row],[Borrow Date]]+21</f>
        <v>45592</v>
      </c>
      <c r="H183" s="3">
        <v>45588</v>
      </c>
      <c r="I183" s="49" cm="1">
        <f t="array" aca="1" ref="I183" ca="1">_xlfn.IFS(Transactions[[#This Row],[Return Date]]&lt;=Transactions[[#This Row],[Due Date]],0,AND(Transactions[[#This Row],[Return Date]]="",TODAY()&lt;=Transactions[[#This Row],[Due Date]]),0,Transactions[[#This Row],[Return Date]]&gt;Transactions[[#This Row],[Due Date]],Transactions[[#This Row],[Return Date]]-Transactions[[#This Row],[Due Date]],AND(Transactions[[#This Row],[Return Date]]="",TODAY()&gt;Transactions[[#This Row],[Due Date]]),TODAY()-Transactions[[#This Row],[Due Date]])</f>
        <v>0</v>
      </c>
      <c r="J183" s="47">
        <f ca="1">Transactions[[#This Row],[Overdue Days]]</f>
        <v>0</v>
      </c>
    </row>
    <row r="184" spans="1:10">
      <c r="A184" s="2" t="s">
        <v>625</v>
      </c>
      <c r="B184" s="2" t="s">
        <v>43</v>
      </c>
      <c r="C184" s="2" t="str">
        <f>VLOOKUP(B184,Data!$A$2:$B$101,2,0)</f>
        <v>Dustin Hall DDS</v>
      </c>
      <c r="D184" s="2" t="s">
        <v>288</v>
      </c>
      <c r="E184" s="2" t="str">
        <f>VLOOKUP(D184,Data!$D$2:$E$121,2,0)</f>
        <v>Boy</v>
      </c>
      <c r="F184" s="3">
        <v>45617</v>
      </c>
      <c r="G184" s="42">
        <f>Transactions[[#This Row],[Borrow Date]]+21</f>
        <v>45638</v>
      </c>
      <c r="H184" s="3">
        <v>45637</v>
      </c>
      <c r="I184" s="49" cm="1">
        <f t="array" aca="1" ref="I184" ca="1">_xlfn.IFS(Transactions[[#This Row],[Return Date]]&lt;=Transactions[[#This Row],[Due Date]],0,AND(Transactions[[#This Row],[Return Date]]="",TODAY()&lt;=Transactions[[#This Row],[Due Date]]),0,Transactions[[#This Row],[Return Date]]&gt;Transactions[[#This Row],[Due Date]],Transactions[[#This Row],[Return Date]]-Transactions[[#This Row],[Due Date]],AND(Transactions[[#This Row],[Return Date]]="",TODAY()&gt;Transactions[[#This Row],[Due Date]]),TODAY()-Transactions[[#This Row],[Due Date]])</f>
        <v>0</v>
      </c>
      <c r="J184" s="47">
        <f ca="1">Transactions[[#This Row],[Overdue Days]]</f>
        <v>0</v>
      </c>
    </row>
    <row r="185" spans="1:10">
      <c r="A185" s="2" t="s">
        <v>638</v>
      </c>
      <c r="B185" s="2" t="s">
        <v>53</v>
      </c>
      <c r="C185" s="2" t="str">
        <f>VLOOKUP(B185,Data!$A$2:$B$101,2,0)</f>
        <v>Zachary Harvey</v>
      </c>
      <c r="D185" s="2" t="s">
        <v>288</v>
      </c>
      <c r="E185" s="2" t="str">
        <f>VLOOKUP(D185,Data!$D$2:$E$121,2,0)</f>
        <v>Boy</v>
      </c>
      <c r="F185" s="3">
        <v>45442</v>
      </c>
      <c r="G185" s="42">
        <f>Transactions[[#This Row],[Borrow Date]]+21</f>
        <v>45463</v>
      </c>
      <c r="H185" s="3">
        <v>45464</v>
      </c>
      <c r="I185" s="49" cm="1">
        <f t="array" aca="1" ref="I185" ca="1">_xlfn.IFS(Transactions[[#This Row],[Return Date]]&lt;=Transactions[[#This Row],[Due Date]],0,AND(Transactions[[#This Row],[Return Date]]="",TODAY()&lt;=Transactions[[#This Row],[Due Date]]),0,Transactions[[#This Row],[Return Date]]&gt;Transactions[[#This Row],[Due Date]],Transactions[[#This Row],[Return Date]]-Transactions[[#This Row],[Due Date]],AND(Transactions[[#This Row],[Return Date]]="",TODAY()&gt;Transactions[[#This Row],[Due Date]]),TODAY()-Transactions[[#This Row],[Due Date]])</f>
        <v>1</v>
      </c>
      <c r="J185" s="47">
        <f ca="1">Transactions[[#This Row],[Overdue Days]]</f>
        <v>1</v>
      </c>
    </row>
    <row r="186" spans="1:10">
      <c r="A186" s="2" t="s">
        <v>652</v>
      </c>
      <c r="B186" s="2" t="s">
        <v>37</v>
      </c>
      <c r="C186" s="2" t="str">
        <f>VLOOKUP(B186,Data!$A$2:$B$101,2,0)</f>
        <v>Donna Craig</v>
      </c>
      <c r="D186" s="2" t="s">
        <v>288</v>
      </c>
      <c r="E186" s="2" t="str">
        <f>VLOOKUP(D186,Data!$D$2:$E$121,2,0)</f>
        <v>Boy</v>
      </c>
      <c r="F186" s="3">
        <v>45487</v>
      </c>
      <c r="G186" s="42">
        <f>Transactions[[#This Row],[Borrow Date]]+21</f>
        <v>45508</v>
      </c>
      <c r="H186" s="3">
        <v>45504</v>
      </c>
      <c r="I186" s="49" cm="1">
        <f t="array" aca="1" ref="I186" ca="1">_xlfn.IFS(Transactions[[#This Row],[Return Date]]&lt;=Transactions[[#This Row],[Due Date]],0,AND(Transactions[[#This Row],[Return Date]]="",TODAY()&lt;=Transactions[[#This Row],[Due Date]]),0,Transactions[[#This Row],[Return Date]]&gt;Transactions[[#This Row],[Due Date]],Transactions[[#This Row],[Return Date]]-Transactions[[#This Row],[Due Date]],AND(Transactions[[#This Row],[Return Date]]="",TODAY()&gt;Transactions[[#This Row],[Due Date]]),TODAY()-Transactions[[#This Row],[Due Date]])</f>
        <v>0</v>
      </c>
      <c r="J186" s="47">
        <f ca="1">Transactions[[#This Row],[Overdue Days]]</f>
        <v>0</v>
      </c>
    </row>
    <row r="187" spans="1:10">
      <c r="A187" s="2" t="s">
        <v>458</v>
      </c>
      <c r="B187" s="2" t="s">
        <v>23</v>
      </c>
      <c r="C187" s="2" t="str">
        <f>VLOOKUP(B187,Data!$A$2:$B$101,2,0)</f>
        <v>Ashley Henry</v>
      </c>
      <c r="D187" s="2" t="s">
        <v>289</v>
      </c>
      <c r="E187" s="2" t="str">
        <f>VLOOKUP(D187,Data!$D$2:$E$121,2,0)</f>
        <v>Painting</v>
      </c>
      <c r="F187" s="3">
        <v>45560</v>
      </c>
      <c r="G187" s="42">
        <f>Transactions[[#This Row],[Borrow Date]]+21</f>
        <v>45581</v>
      </c>
      <c r="H187" s="3">
        <v>45575</v>
      </c>
      <c r="I187" s="49" cm="1">
        <f t="array" aca="1" ref="I187" ca="1">_xlfn.IFS(Transactions[[#This Row],[Return Date]]&lt;=Transactions[[#This Row],[Due Date]],0,AND(Transactions[[#This Row],[Return Date]]="",TODAY()&lt;=Transactions[[#This Row],[Due Date]]),0,Transactions[[#This Row],[Return Date]]&gt;Transactions[[#This Row],[Due Date]],Transactions[[#This Row],[Return Date]]-Transactions[[#This Row],[Due Date]],AND(Transactions[[#This Row],[Return Date]]="",TODAY()&gt;Transactions[[#This Row],[Due Date]]),TODAY()-Transactions[[#This Row],[Due Date]])</f>
        <v>0</v>
      </c>
      <c r="J187" s="47">
        <f ca="1">Transactions[[#This Row],[Overdue Days]]</f>
        <v>0</v>
      </c>
    </row>
    <row r="188" spans="1:10">
      <c r="A188" s="2" t="s">
        <v>469</v>
      </c>
      <c r="B188" s="2" t="s">
        <v>80</v>
      </c>
      <c r="C188" s="2" t="str">
        <f>VLOOKUP(B188,Data!$A$2:$B$101,2,0)</f>
        <v>Gabriella Gonzales</v>
      </c>
      <c r="D188" s="2" t="s">
        <v>289</v>
      </c>
      <c r="E188" s="2" t="str">
        <f>VLOOKUP(D188,Data!$D$2:$E$121,2,0)</f>
        <v>Painting</v>
      </c>
      <c r="F188" s="3">
        <v>45421</v>
      </c>
      <c r="G188" s="42">
        <f>Transactions[[#This Row],[Borrow Date]]+21</f>
        <v>45442</v>
      </c>
      <c r="H188" s="3">
        <v>45438</v>
      </c>
      <c r="I188" s="49" cm="1">
        <f t="array" aca="1" ref="I188" ca="1">_xlfn.IFS(Transactions[[#This Row],[Return Date]]&lt;=Transactions[[#This Row],[Due Date]],0,AND(Transactions[[#This Row],[Return Date]]="",TODAY()&lt;=Transactions[[#This Row],[Due Date]]),0,Transactions[[#This Row],[Return Date]]&gt;Transactions[[#This Row],[Due Date]],Transactions[[#This Row],[Return Date]]-Transactions[[#This Row],[Due Date]],AND(Transactions[[#This Row],[Return Date]]="",TODAY()&gt;Transactions[[#This Row],[Due Date]]),TODAY()-Transactions[[#This Row],[Due Date]])</f>
        <v>0</v>
      </c>
      <c r="J188" s="47">
        <f ca="1">Transactions[[#This Row],[Overdue Days]]</f>
        <v>0</v>
      </c>
    </row>
    <row r="189" spans="1:10">
      <c r="A189" s="2" t="s">
        <v>509</v>
      </c>
      <c r="B189" s="2" t="s">
        <v>99</v>
      </c>
      <c r="C189" s="2" t="str">
        <f>VLOOKUP(B189,Data!$A$2:$B$101,2,0)</f>
        <v>Lisa White</v>
      </c>
      <c r="D189" s="2" t="s">
        <v>289</v>
      </c>
      <c r="E189" s="2" t="str">
        <f>VLOOKUP(D189,Data!$D$2:$E$121,2,0)</f>
        <v>Painting</v>
      </c>
      <c r="F189" s="3">
        <v>45293</v>
      </c>
      <c r="G189" s="42">
        <f>Transactions[[#This Row],[Borrow Date]]+21</f>
        <v>45314</v>
      </c>
      <c r="H189" s="3">
        <v>45308</v>
      </c>
      <c r="I189" s="49" cm="1">
        <f t="array" aca="1" ref="I189" ca="1">_xlfn.IFS(Transactions[[#This Row],[Return Date]]&lt;=Transactions[[#This Row],[Due Date]],0,AND(Transactions[[#This Row],[Return Date]]="",TODAY()&lt;=Transactions[[#This Row],[Due Date]]),0,Transactions[[#This Row],[Return Date]]&gt;Transactions[[#This Row],[Due Date]],Transactions[[#This Row],[Return Date]]-Transactions[[#This Row],[Due Date]],AND(Transactions[[#This Row],[Return Date]]="",TODAY()&gt;Transactions[[#This Row],[Due Date]]),TODAY()-Transactions[[#This Row],[Due Date]])</f>
        <v>0</v>
      </c>
      <c r="J189" s="47">
        <f ca="1">Transactions[[#This Row],[Overdue Days]]</f>
        <v>0</v>
      </c>
    </row>
    <row r="190" spans="1:10">
      <c r="A190" s="2" t="s">
        <v>517</v>
      </c>
      <c r="B190" s="2" t="s">
        <v>62</v>
      </c>
      <c r="C190" s="2" t="str">
        <f>VLOOKUP(B190,Data!$A$2:$B$101,2,0)</f>
        <v>Chelsea Brown</v>
      </c>
      <c r="D190" s="2" t="s">
        <v>289</v>
      </c>
      <c r="E190" s="2" t="str">
        <f>VLOOKUP(D190,Data!$D$2:$E$121,2,0)</f>
        <v>Painting</v>
      </c>
      <c r="F190" s="3">
        <v>45554</v>
      </c>
      <c r="G190" s="42">
        <f>Transactions[[#This Row],[Borrow Date]]+21</f>
        <v>45575</v>
      </c>
      <c r="H190" s="3">
        <v>45572</v>
      </c>
      <c r="I190" s="49" cm="1">
        <f t="array" aca="1" ref="I190" ca="1">_xlfn.IFS(Transactions[[#This Row],[Return Date]]&lt;=Transactions[[#This Row],[Due Date]],0,AND(Transactions[[#This Row],[Return Date]]="",TODAY()&lt;=Transactions[[#This Row],[Due Date]]),0,Transactions[[#This Row],[Return Date]]&gt;Transactions[[#This Row],[Due Date]],Transactions[[#This Row],[Return Date]]-Transactions[[#This Row],[Due Date]],AND(Transactions[[#This Row],[Return Date]]="",TODAY()&gt;Transactions[[#This Row],[Due Date]]),TODAY()-Transactions[[#This Row],[Due Date]])</f>
        <v>0</v>
      </c>
      <c r="J190" s="47">
        <f ca="1">Transactions[[#This Row],[Overdue Days]]</f>
        <v>0</v>
      </c>
    </row>
    <row r="191" spans="1:10">
      <c r="A191" s="2" t="s">
        <v>561</v>
      </c>
      <c r="B191" s="2" t="s">
        <v>90</v>
      </c>
      <c r="C191" s="2" t="str">
        <f>VLOOKUP(B191,Data!$A$2:$B$101,2,0)</f>
        <v>Edward Price</v>
      </c>
      <c r="D191" s="2" t="s">
        <v>289</v>
      </c>
      <c r="E191" s="2" t="str">
        <f>VLOOKUP(D191,Data!$D$2:$E$121,2,0)</f>
        <v>Painting</v>
      </c>
      <c r="F191" s="3">
        <v>45463</v>
      </c>
      <c r="G191" s="42">
        <f>Transactions[[#This Row],[Borrow Date]]+21</f>
        <v>45484</v>
      </c>
      <c r="H191" s="3">
        <v>45483</v>
      </c>
      <c r="I191" s="49" cm="1">
        <f t="array" aca="1" ref="I191" ca="1">_xlfn.IFS(Transactions[[#This Row],[Return Date]]&lt;=Transactions[[#This Row],[Due Date]],0,AND(Transactions[[#This Row],[Return Date]]="",TODAY()&lt;=Transactions[[#This Row],[Due Date]]),0,Transactions[[#This Row],[Return Date]]&gt;Transactions[[#This Row],[Due Date]],Transactions[[#This Row],[Return Date]]-Transactions[[#This Row],[Due Date]],AND(Transactions[[#This Row],[Return Date]]="",TODAY()&gt;Transactions[[#This Row],[Due Date]]),TODAY()-Transactions[[#This Row],[Due Date]])</f>
        <v>0</v>
      </c>
      <c r="J191" s="47">
        <f ca="1">Transactions[[#This Row],[Overdue Days]]</f>
        <v>0</v>
      </c>
    </row>
    <row r="192" spans="1:10">
      <c r="A192" s="2" t="s">
        <v>512</v>
      </c>
      <c r="B192" s="2" t="s">
        <v>13</v>
      </c>
      <c r="C192" s="2" t="str">
        <f>VLOOKUP(B192,Data!$A$2:$B$101,2,0)</f>
        <v>Tracy Sullivan</v>
      </c>
      <c r="D192" s="2" t="s">
        <v>290</v>
      </c>
      <c r="E192" s="2" t="str">
        <f>VLOOKUP(D192,Data!$D$2:$E$121,2,0)</f>
        <v>Anyone Story Far</v>
      </c>
      <c r="F192" s="3">
        <v>45653</v>
      </c>
      <c r="G192" s="42">
        <f>Transactions[[#This Row],[Borrow Date]]+21</f>
        <v>45674</v>
      </c>
      <c r="H192" s="3" t="s">
        <v>748</v>
      </c>
      <c r="I192" s="49" t="e" cm="1">
        <f t="array" aca="1" ref="I192" ca="1">_xlfn.IFS(Transactions[[#This Row],[Return Date]]&lt;=Transactions[[#This Row],[Due Date]],0,AND(Transactions[[#This Row],[Return Date]]="",TODAY()&lt;=Transactions[[#This Row],[Due Date]]),0,Transactions[[#This Row],[Return Date]]&gt;Transactions[[#This Row],[Due Date]],Transactions[[#This Row],[Return Date]]-Transactions[[#This Row],[Due Date]],AND(Transactions[[#This Row],[Return Date]]="",TODAY()&gt;Transactions[[#This Row],[Due Date]]),TODAY()-Transactions[[#This Row],[Due Date]])</f>
        <v>#VALUE!</v>
      </c>
      <c r="J192" s="47" t="e">
        <f ca="1">Transactions[[#This Row],[Overdue Days]]</f>
        <v>#VALUE!</v>
      </c>
    </row>
    <row r="193" spans="1:10">
      <c r="A193" s="2" t="s">
        <v>580</v>
      </c>
      <c r="B193" s="2" t="s">
        <v>24</v>
      </c>
      <c r="C193" s="2" t="str">
        <f>VLOOKUP(B193,Data!$A$2:$B$101,2,0)</f>
        <v>Catherine Morris</v>
      </c>
      <c r="D193" s="2" t="s">
        <v>290</v>
      </c>
      <c r="E193" s="2" t="str">
        <f>VLOOKUP(D193,Data!$D$2:$E$121,2,0)</f>
        <v>Anyone Story Far</v>
      </c>
      <c r="F193" s="3">
        <v>45385</v>
      </c>
      <c r="G193" s="42">
        <f>Transactions[[#This Row],[Borrow Date]]+21</f>
        <v>45406</v>
      </c>
      <c r="H193" s="3">
        <v>45402</v>
      </c>
      <c r="I193" s="49" cm="1">
        <f t="array" aca="1" ref="I193" ca="1">_xlfn.IFS(Transactions[[#This Row],[Return Date]]&lt;=Transactions[[#This Row],[Due Date]],0,AND(Transactions[[#This Row],[Return Date]]="",TODAY()&lt;=Transactions[[#This Row],[Due Date]]),0,Transactions[[#This Row],[Return Date]]&gt;Transactions[[#This Row],[Due Date]],Transactions[[#This Row],[Return Date]]-Transactions[[#This Row],[Due Date]],AND(Transactions[[#This Row],[Return Date]]="",TODAY()&gt;Transactions[[#This Row],[Due Date]]),TODAY()-Transactions[[#This Row],[Due Date]])</f>
        <v>0</v>
      </c>
      <c r="J193" s="47">
        <f ca="1">Transactions[[#This Row],[Overdue Days]]</f>
        <v>0</v>
      </c>
    </row>
    <row r="194" spans="1:10">
      <c r="A194" s="2" t="s">
        <v>613</v>
      </c>
      <c r="B194" s="2" t="s">
        <v>33</v>
      </c>
      <c r="C194" s="2" t="str">
        <f>VLOOKUP(B194,Data!$A$2:$B$101,2,0)</f>
        <v>Jason Oconnor</v>
      </c>
      <c r="D194" s="2" t="s">
        <v>290</v>
      </c>
      <c r="E194" s="2" t="str">
        <f>VLOOKUP(D194,Data!$D$2:$E$121,2,0)</f>
        <v>Anyone Story Far</v>
      </c>
      <c r="F194" s="3">
        <v>45538</v>
      </c>
      <c r="G194" s="42">
        <f>Transactions[[#This Row],[Borrow Date]]+21</f>
        <v>45559</v>
      </c>
      <c r="H194" s="3">
        <v>45561</v>
      </c>
      <c r="I194" s="49" cm="1">
        <f t="array" aca="1" ref="I194" ca="1">_xlfn.IFS(Transactions[[#This Row],[Return Date]]&lt;=Transactions[[#This Row],[Due Date]],0,AND(Transactions[[#This Row],[Return Date]]="",TODAY()&lt;=Transactions[[#This Row],[Due Date]]),0,Transactions[[#This Row],[Return Date]]&gt;Transactions[[#This Row],[Due Date]],Transactions[[#This Row],[Return Date]]-Transactions[[#This Row],[Due Date]],AND(Transactions[[#This Row],[Return Date]]="",TODAY()&gt;Transactions[[#This Row],[Due Date]]),TODAY()-Transactions[[#This Row],[Due Date]])</f>
        <v>2</v>
      </c>
      <c r="J194" s="47">
        <f ca="1">Transactions[[#This Row],[Overdue Days]]</f>
        <v>2</v>
      </c>
    </row>
    <row r="195" spans="1:10">
      <c r="A195" s="2" t="s">
        <v>635</v>
      </c>
      <c r="B195" s="2" t="s">
        <v>78</v>
      </c>
      <c r="C195" s="2" t="str">
        <f>VLOOKUP(B195,Data!$A$2:$B$101,2,0)</f>
        <v>Thomas Flores</v>
      </c>
      <c r="D195" s="2" t="s">
        <v>290</v>
      </c>
      <c r="E195" s="2" t="str">
        <f>VLOOKUP(D195,Data!$D$2:$E$121,2,0)</f>
        <v>Anyone Story Far</v>
      </c>
      <c r="F195" s="3">
        <v>45585</v>
      </c>
      <c r="G195" s="42">
        <f>Transactions[[#This Row],[Borrow Date]]+21</f>
        <v>45606</v>
      </c>
      <c r="H195" s="3">
        <v>45605</v>
      </c>
      <c r="I195" s="49" cm="1">
        <f t="array" aca="1" ref="I195" ca="1">_xlfn.IFS(Transactions[[#This Row],[Return Date]]&lt;=Transactions[[#This Row],[Due Date]],0,AND(Transactions[[#This Row],[Return Date]]="",TODAY()&lt;=Transactions[[#This Row],[Due Date]]),0,Transactions[[#This Row],[Return Date]]&gt;Transactions[[#This Row],[Due Date]],Transactions[[#This Row],[Return Date]]-Transactions[[#This Row],[Due Date]],AND(Transactions[[#This Row],[Return Date]]="",TODAY()&gt;Transactions[[#This Row],[Due Date]]),TODAY()-Transactions[[#This Row],[Due Date]])</f>
        <v>0</v>
      </c>
      <c r="J195" s="47">
        <f ca="1">Transactions[[#This Row],[Overdue Days]]</f>
        <v>0</v>
      </c>
    </row>
    <row r="196" spans="1:10">
      <c r="A196" s="2" t="s">
        <v>501</v>
      </c>
      <c r="B196" s="2" t="s">
        <v>94</v>
      </c>
      <c r="C196" s="2" t="str">
        <f>VLOOKUP(B196,Data!$A$2:$B$101,2,0)</f>
        <v>Jeremy Phillips</v>
      </c>
      <c r="D196" s="2" t="s">
        <v>291</v>
      </c>
      <c r="E196" s="2" t="str">
        <f>VLOOKUP(D196,Data!$D$2:$E$121,2,0)</f>
        <v>Idea Southern Better</v>
      </c>
      <c r="F196" s="3">
        <v>45301</v>
      </c>
      <c r="G196" s="42">
        <f>Transactions[[#This Row],[Borrow Date]]+21</f>
        <v>45322</v>
      </c>
      <c r="H196" s="3">
        <v>45321</v>
      </c>
      <c r="I196" s="49" cm="1">
        <f t="array" aca="1" ref="I196" ca="1">_xlfn.IFS(Transactions[[#This Row],[Return Date]]&lt;=Transactions[[#This Row],[Due Date]],0,AND(Transactions[[#This Row],[Return Date]]="",TODAY()&lt;=Transactions[[#This Row],[Due Date]]),0,Transactions[[#This Row],[Return Date]]&gt;Transactions[[#This Row],[Due Date]],Transactions[[#This Row],[Return Date]]-Transactions[[#This Row],[Due Date]],AND(Transactions[[#This Row],[Return Date]]="",TODAY()&gt;Transactions[[#This Row],[Due Date]]),TODAY()-Transactions[[#This Row],[Due Date]])</f>
        <v>0</v>
      </c>
      <c r="J196" s="47">
        <f ca="1">Transactions[[#This Row],[Overdue Days]]</f>
        <v>0</v>
      </c>
    </row>
    <row r="197" spans="1:10">
      <c r="A197" s="2" t="s">
        <v>508</v>
      </c>
      <c r="B197" s="2" t="s">
        <v>81</v>
      </c>
      <c r="C197" s="2" t="str">
        <f>VLOOKUP(B197,Data!$A$2:$B$101,2,0)</f>
        <v>Latoya Tucker</v>
      </c>
      <c r="D197" s="2" t="s">
        <v>291</v>
      </c>
      <c r="E197" s="2" t="str">
        <f>VLOOKUP(D197,Data!$D$2:$E$121,2,0)</f>
        <v>Idea Southern Better</v>
      </c>
      <c r="F197" s="3">
        <v>45540</v>
      </c>
      <c r="G197" s="42">
        <f>Transactions[[#This Row],[Borrow Date]]+21</f>
        <v>45561</v>
      </c>
      <c r="H197" s="3">
        <v>45562</v>
      </c>
      <c r="I197" s="49" cm="1">
        <f t="array" aca="1" ref="I197" ca="1">_xlfn.IFS(Transactions[[#This Row],[Return Date]]&lt;=Transactions[[#This Row],[Due Date]],0,AND(Transactions[[#This Row],[Return Date]]="",TODAY()&lt;=Transactions[[#This Row],[Due Date]]),0,Transactions[[#This Row],[Return Date]]&gt;Transactions[[#This Row],[Due Date]],Transactions[[#This Row],[Return Date]]-Transactions[[#This Row],[Due Date]],AND(Transactions[[#This Row],[Return Date]]="",TODAY()&gt;Transactions[[#This Row],[Due Date]]),TODAY()-Transactions[[#This Row],[Due Date]])</f>
        <v>1</v>
      </c>
      <c r="J197" s="47">
        <f ca="1">Transactions[[#This Row],[Overdue Days]]</f>
        <v>1</v>
      </c>
    </row>
    <row r="198" spans="1:10">
      <c r="A198" s="2" t="s">
        <v>732</v>
      </c>
      <c r="B198" s="2" t="s">
        <v>44</v>
      </c>
      <c r="C198" s="2" t="str">
        <f>VLOOKUP(B198,Data!$A$2:$B$101,2,0)</f>
        <v>Ryan Clayton</v>
      </c>
      <c r="D198" s="2" t="s">
        <v>291</v>
      </c>
      <c r="E198" s="2" t="str">
        <f>VLOOKUP(D198,Data!$D$2:$E$121,2,0)</f>
        <v>Idea Southern Better</v>
      </c>
      <c r="F198" s="3">
        <v>45491</v>
      </c>
      <c r="G198" s="42">
        <f>Transactions[[#This Row],[Borrow Date]]+21</f>
        <v>45512</v>
      </c>
      <c r="H198" s="3">
        <v>45515</v>
      </c>
      <c r="I198" s="49" cm="1">
        <f t="array" aca="1" ref="I198" ca="1">_xlfn.IFS(Transactions[[#This Row],[Return Date]]&lt;=Transactions[[#This Row],[Due Date]],0,AND(Transactions[[#This Row],[Return Date]]="",TODAY()&lt;=Transactions[[#This Row],[Due Date]]),0,Transactions[[#This Row],[Return Date]]&gt;Transactions[[#This Row],[Due Date]],Transactions[[#This Row],[Return Date]]-Transactions[[#This Row],[Due Date]],AND(Transactions[[#This Row],[Return Date]]="",TODAY()&gt;Transactions[[#This Row],[Due Date]]),TODAY()-Transactions[[#This Row],[Due Date]])</f>
        <v>3</v>
      </c>
      <c r="J198" s="47">
        <f ca="1">Transactions[[#This Row],[Overdue Days]]</f>
        <v>3</v>
      </c>
    </row>
    <row r="199" spans="1:10">
      <c r="A199" s="2" t="s">
        <v>453</v>
      </c>
      <c r="B199" s="2" t="s">
        <v>29</v>
      </c>
      <c r="C199" s="2" t="str">
        <f>VLOOKUP(B199,Data!$A$2:$B$101,2,0)</f>
        <v>Amy Willis</v>
      </c>
      <c r="D199" s="2" t="s">
        <v>292</v>
      </c>
      <c r="E199" s="2" t="str">
        <f>VLOOKUP(D199,Data!$D$2:$E$121,2,0)</f>
        <v>Enough Assume Beat Visit</v>
      </c>
      <c r="F199" s="3">
        <v>45329</v>
      </c>
      <c r="G199" s="42">
        <f>Transactions[[#This Row],[Borrow Date]]+21</f>
        <v>45350</v>
      </c>
      <c r="H199" s="3">
        <v>45346</v>
      </c>
      <c r="I199" s="49" cm="1">
        <f t="array" aca="1" ref="I199" ca="1">_xlfn.IFS(Transactions[[#This Row],[Return Date]]&lt;=Transactions[[#This Row],[Due Date]],0,AND(Transactions[[#This Row],[Return Date]]="",TODAY()&lt;=Transactions[[#This Row],[Due Date]]),0,Transactions[[#This Row],[Return Date]]&gt;Transactions[[#This Row],[Due Date]],Transactions[[#This Row],[Return Date]]-Transactions[[#This Row],[Due Date]],AND(Transactions[[#This Row],[Return Date]]="",TODAY()&gt;Transactions[[#This Row],[Due Date]]),TODAY()-Transactions[[#This Row],[Due Date]])</f>
        <v>0</v>
      </c>
      <c r="J199" s="47">
        <f ca="1">Transactions[[#This Row],[Overdue Days]]</f>
        <v>0</v>
      </c>
    </row>
    <row r="200" spans="1:10">
      <c r="A200" s="2" t="s">
        <v>500</v>
      </c>
      <c r="B200" s="2" t="s">
        <v>97</v>
      </c>
      <c r="C200" s="2" t="str">
        <f>VLOOKUP(B200,Data!$A$2:$B$101,2,0)</f>
        <v>Amber Wright</v>
      </c>
      <c r="D200" s="2" t="s">
        <v>292</v>
      </c>
      <c r="E200" s="2" t="str">
        <f>VLOOKUP(D200,Data!$D$2:$E$121,2,0)</f>
        <v>Enough Assume Beat Visit</v>
      </c>
      <c r="F200" s="3">
        <v>45653</v>
      </c>
      <c r="G200" s="42">
        <f>Transactions[[#This Row],[Borrow Date]]+21</f>
        <v>45674</v>
      </c>
      <c r="H200" s="3" t="s">
        <v>748</v>
      </c>
      <c r="I200" s="49" t="e" cm="1">
        <f t="array" aca="1" ref="I200" ca="1">_xlfn.IFS(Transactions[[#This Row],[Return Date]]&lt;=Transactions[[#This Row],[Due Date]],0,AND(Transactions[[#This Row],[Return Date]]="",TODAY()&lt;=Transactions[[#This Row],[Due Date]]),0,Transactions[[#This Row],[Return Date]]&gt;Transactions[[#This Row],[Due Date]],Transactions[[#This Row],[Return Date]]-Transactions[[#This Row],[Due Date]],AND(Transactions[[#This Row],[Return Date]]="",TODAY()&gt;Transactions[[#This Row],[Due Date]]),TODAY()-Transactions[[#This Row],[Due Date]])</f>
        <v>#VALUE!</v>
      </c>
      <c r="J200" s="47" t="e">
        <f ca="1">Transactions[[#This Row],[Overdue Days]]</f>
        <v>#VALUE!</v>
      </c>
    </row>
    <row r="201" spans="1:10">
      <c r="A201" s="2" t="s">
        <v>681</v>
      </c>
      <c r="B201" s="2" t="s">
        <v>52</v>
      </c>
      <c r="C201" s="2" t="str">
        <f>VLOOKUP(B201,Data!$A$2:$B$101,2,0)</f>
        <v>Steven Weiss</v>
      </c>
      <c r="D201" s="2" t="s">
        <v>292</v>
      </c>
      <c r="E201" s="2" t="str">
        <f>VLOOKUP(D201,Data!$D$2:$E$121,2,0)</f>
        <v>Enough Assume Beat Visit</v>
      </c>
      <c r="F201" s="3">
        <v>45617</v>
      </c>
      <c r="G201" s="42">
        <f>Transactions[[#This Row],[Borrow Date]]+21</f>
        <v>45638</v>
      </c>
      <c r="H201" s="3">
        <v>45634</v>
      </c>
      <c r="I201" s="49" cm="1">
        <f t="array" aca="1" ref="I201" ca="1">_xlfn.IFS(Transactions[[#This Row],[Return Date]]&lt;=Transactions[[#This Row],[Due Date]],0,AND(Transactions[[#This Row],[Return Date]]="",TODAY()&lt;=Transactions[[#This Row],[Due Date]]),0,Transactions[[#This Row],[Return Date]]&gt;Transactions[[#This Row],[Due Date]],Transactions[[#This Row],[Return Date]]-Transactions[[#This Row],[Due Date]],AND(Transactions[[#This Row],[Return Date]]="",TODAY()&gt;Transactions[[#This Row],[Due Date]]),TODAY()-Transactions[[#This Row],[Due Date]])</f>
        <v>0</v>
      </c>
      <c r="J201" s="47">
        <f ca="1">Transactions[[#This Row],[Overdue Days]]</f>
        <v>0</v>
      </c>
    </row>
    <row r="202" spans="1:10">
      <c r="A202" s="2" t="s">
        <v>533</v>
      </c>
      <c r="B202" s="2" t="s">
        <v>7</v>
      </c>
      <c r="C202" s="2" t="str">
        <f>VLOOKUP(B202,Data!$A$2:$B$101,2,0)</f>
        <v>William Wolfe</v>
      </c>
      <c r="D202" s="2" t="s">
        <v>293</v>
      </c>
      <c r="E202" s="2" t="str">
        <f>VLOOKUP(D202,Data!$D$2:$E$121,2,0)</f>
        <v>Seat Mrs Phone</v>
      </c>
      <c r="F202" s="3">
        <v>45350</v>
      </c>
      <c r="G202" s="42">
        <f>Transactions[[#This Row],[Borrow Date]]+21</f>
        <v>45371</v>
      </c>
      <c r="H202" s="3">
        <v>45374</v>
      </c>
      <c r="I202" s="49" cm="1">
        <f t="array" aca="1" ref="I202" ca="1">_xlfn.IFS(Transactions[[#This Row],[Return Date]]&lt;=Transactions[[#This Row],[Due Date]],0,AND(Transactions[[#This Row],[Return Date]]="",TODAY()&lt;=Transactions[[#This Row],[Due Date]]),0,Transactions[[#This Row],[Return Date]]&gt;Transactions[[#This Row],[Due Date]],Transactions[[#This Row],[Return Date]]-Transactions[[#This Row],[Due Date]],AND(Transactions[[#This Row],[Return Date]]="",TODAY()&gt;Transactions[[#This Row],[Due Date]]),TODAY()-Transactions[[#This Row],[Due Date]])</f>
        <v>3</v>
      </c>
      <c r="J202" s="47">
        <f ca="1">Transactions[[#This Row],[Overdue Days]]</f>
        <v>3</v>
      </c>
    </row>
    <row r="203" spans="1:10">
      <c r="A203" s="2" t="s">
        <v>731</v>
      </c>
      <c r="B203" s="2" t="s">
        <v>39</v>
      </c>
      <c r="C203" s="2" t="str">
        <f>VLOOKUP(B203,Data!$A$2:$B$101,2,0)</f>
        <v>Hailey Brown</v>
      </c>
      <c r="D203" s="2" t="s">
        <v>293</v>
      </c>
      <c r="E203" s="2" t="str">
        <f>VLOOKUP(D203,Data!$D$2:$E$121,2,0)</f>
        <v>Seat Mrs Phone</v>
      </c>
      <c r="F203" s="3">
        <v>45305</v>
      </c>
      <c r="G203" s="42">
        <f>Transactions[[#This Row],[Borrow Date]]+21</f>
        <v>45326</v>
      </c>
      <c r="H203" s="3">
        <v>45325</v>
      </c>
      <c r="I203" s="49" cm="1">
        <f t="array" aca="1" ref="I203" ca="1">_xlfn.IFS(Transactions[[#This Row],[Return Date]]&lt;=Transactions[[#This Row],[Due Date]],0,AND(Transactions[[#This Row],[Return Date]]="",TODAY()&lt;=Transactions[[#This Row],[Due Date]]),0,Transactions[[#This Row],[Return Date]]&gt;Transactions[[#This Row],[Due Date]],Transactions[[#This Row],[Return Date]]-Transactions[[#This Row],[Due Date]],AND(Transactions[[#This Row],[Return Date]]="",TODAY()&gt;Transactions[[#This Row],[Due Date]]),TODAY()-Transactions[[#This Row],[Due Date]])</f>
        <v>0</v>
      </c>
      <c r="J203" s="47">
        <f ca="1">Transactions[[#This Row],[Overdue Days]]</f>
        <v>0</v>
      </c>
    </row>
    <row r="204" spans="1:10">
      <c r="A204" s="2" t="s">
        <v>449</v>
      </c>
      <c r="B204" s="2" t="s">
        <v>93</v>
      </c>
      <c r="C204" s="2" t="str">
        <f>VLOOKUP(B204,Data!$A$2:$B$101,2,0)</f>
        <v>John Chandler</v>
      </c>
      <c r="D204" s="2" t="s">
        <v>294</v>
      </c>
      <c r="E204" s="2" t="str">
        <f>VLOOKUP(D204,Data!$D$2:$E$121,2,0)</f>
        <v>Situation Provide Word Lead</v>
      </c>
      <c r="F204" s="3">
        <v>45446</v>
      </c>
      <c r="G204" s="42">
        <f>Transactions[[#This Row],[Borrow Date]]+21</f>
        <v>45467</v>
      </c>
      <c r="H204" s="3">
        <v>45463</v>
      </c>
      <c r="I204" s="49" cm="1">
        <f t="array" aca="1" ref="I204" ca="1">_xlfn.IFS(Transactions[[#This Row],[Return Date]]&lt;=Transactions[[#This Row],[Due Date]],0,AND(Transactions[[#This Row],[Return Date]]="",TODAY()&lt;=Transactions[[#This Row],[Due Date]]),0,Transactions[[#This Row],[Return Date]]&gt;Transactions[[#This Row],[Due Date]],Transactions[[#This Row],[Return Date]]-Transactions[[#This Row],[Due Date]],AND(Transactions[[#This Row],[Return Date]]="",TODAY()&gt;Transactions[[#This Row],[Due Date]]),TODAY()-Transactions[[#This Row],[Due Date]])</f>
        <v>0</v>
      </c>
      <c r="J204" s="47">
        <f ca="1">Transactions[[#This Row],[Overdue Days]]</f>
        <v>0</v>
      </c>
    </row>
    <row r="205" spans="1:10">
      <c r="A205" s="2" t="s">
        <v>488</v>
      </c>
      <c r="B205" s="2" t="s">
        <v>30</v>
      </c>
      <c r="C205" s="2" t="str">
        <f>VLOOKUP(B205,Data!$A$2:$B$101,2,0)</f>
        <v>Tiffany Salazar</v>
      </c>
      <c r="D205" s="2" t="s">
        <v>294</v>
      </c>
      <c r="E205" s="2" t="str">
        <f>VLOOKUP(D205,Data!$D$2:$E$121,2,0)</f>
        <v>Situation Provide Word Lead</v>
      </c>
      <c r="F205" s="3">
        <v>45624</v>
      </c>
      <c r="G205" s="42">
        <f>Transactions[[#This Row],[Borrow Date]]+21</f>
        <v>45645</v>
      </c>
      <c r="H205" s="3">
        <v>45647</v>
      </c>
      <c r="I205" s="49" cm="1">
        <f t="array" aca="1" ref="I205" ca="1">_xlfn.IFS(Transactions[[#This Row],[Return Date]]&lt;=Transactions[[#This Row],[Due Date]],0,AND(Transactions[[#This Row],[Return Date]]="",TODAY()&lt;=Transactions[[#This Row],[Due Date]]),0,Transactions[[#This Row],[Return Date]]&gt;Transactions[[#This Row],[Due Date]],Transactions[[#This Row],[Return Date]]-Transactions[[#This Row],[Due Date]],AND(Transactions[[#This Row],[Return Date]]="",TODAY()&gt;Transactions[[#This Row],[Due Date]]),TODAY()-Transactions[[#This Row],[Due Date]])</f>
        <v>2</v>
      </c>
      <c r="J205" s="47">
        <f ca="1">Transactions[[#This Row],[Overdue Days]]</f>
        <v>2</v>
      </c>
    </row>
    <row r="206" spans="1:10">
      <c r="A206" s="2" t="s">
        <v>530</v>
      </c>
      <c r="B206" s="2" t="s">
        <v>51</v>
      </c>
      <c r="C206" s="2" t="str">
        <f>VLOOKUP(B206,Data!$A$2:$B$101,2,0)</f>
        <v>Charles Hayes</v>
      </c>
      <c r="D206" s="2" t="s">
        <v>294</v>
      </c>
      <c r="E206" s="2" t="str">
        <f>VLOOKUP(D206,Data!$D$2:$E$121,2,0)</f>
        <v>Situation Provide Word Lead</v>
      </c>
      <c r="F206" s="3">
        <v>45303</v>
      </c>
      <c r="G206" s="42">
        <f>Transactions[[#This Row],[Borrow Date]]+21</f>
        <v>45324</v>
      </c>
      <c r="H206" s="3">
        <v>45326</v>
      </c>
      <c r="I206" s="49" cm="1">
        <f t="array" aca="1" ref="I206" ca="1">_xlfn.IFS(Transactions[[#This Row],[Return Date]]&lt;=Transactions[[#This Row],[Due Date]],0,AND(Transactions[[#This Row],[Return Date]]="",TODAY()&lt;=Transactions[[#This Row],[Due Date]]),0,Transactions[[#This Row],[Return Date]]&gt;Transactions[[#This Row],[Due Date]],Transactions[[#This Row],[Return Date]]-Transactions[[#This Row],[Due Date]],AND(Transactions[[#This Row],[Return Date]]="",TODAY()&gt;Transactions[[#This Row],[Due Date]]),TODAY()-Transactions[[#This Row],[Due Date]])</f>
        <v>2</v>
      </c>
      <c r="J206" s="47">
        <f ca="1">Transactions[[#This Row],[Overdue Days]]</f>
        <v>2</v>
      </c>
    </row>
    <row r="207" spans="1:10">
      <c r="A207" s="2" t="s">
        <v>700</v>
      </c>
      <c r="B207" s="2" t="s">
        <v>34</v>
      </c>
      <c r="C207" s="2" t="str">
        <f>VLOOKUP(B207,Data!$A$2:$B$101,2,0)</f>
        <v>Tammy Tucker</v>
      </c>
      <c r="D207" s="2" t="s">
        <v>294</v>
      </c>
      <c r="E207" s="2" t="str">
        <f>VLOOKUP(D207,Data!$D$2:$E$121,2,0)</f>
        <v>Situation Provide Word Lead</v>
      </c>
      <c r="F207" s="3">
        <v>45306</v>
      </c>
      <c r="G207" s="42">
        <f>Transactions[[#This Row],[Borrow Date]]+21</f>
        <v>45327</v>
      </c>
      <c r="H207" s="3">
        <v>45322</v>
      </c>
      <c r="I207" s="49" cm="1">
        <f t="array" aca="1" ref="I207" ca="1">_xlfn.IFS(Transactions[[#This Row],[Return Date]]&lt;=Transactions[[#This Row],[Due Date]],0,AND(Transactions[[#This Row],[Return Date]]="",TODAY()&lt;=Transactions[[#This Row],[Due Date]]),0,Transactions[[#This Row],[Return Date]]&gt;Transactions[[#This Row],[Due Date]],Transactions[[#This Row],[Return Date]]-Transactions[[#This Row],[Due Date]],AND(Transactions[[#This Row],[Return Date]]="",TODAY()&gt;Transactions[[#This Row],[Due Date]]),TODAY()-Transactions[[#This Row],[Due Date]])</f>
        <v>0</v>
      </c>
      <c r="J207" s="47">
        <f ca="1">Transactions[[#This Row],[Overdue Days]]</f>
        <v>0</v>
      </c>
    </row>
    <row r="208" spans="1:10">
      <c r="A208" s="2" t="s">
        <v>546</v>
      </c>
      <c r="B208" s="2" t="s">
        <v>14</v>
      </c>
      <c r="C208" s="2" t="str">
        <f>VLOOKUP(B208,Data!$A$2:$B$101,2,0)</f>
        <v>Marie Buckley</v>
      </c>
      <c r="D208" s="2" t="s">
        <v>295</v>
      </c>
      <c r="E208" s="2" t="str">
        <f>VLOOKUP(D208,Data!$D$2:$E$121,2,0)</f>
        <v>Arrive Interview Center</v>
      </c>
      <c r="F208" s="3">
        <v>45489</v>
      </c>
      <c r="G208" s="42">
        <f>Transactions[[#This Row],[Borrow Date]]+21</f>
        <v>45510</v>
      </c>
      <c r="H208" s="3">
        <v>45510</v>
      </c>
      <c r="I208" s="49" cm="1">
        <f t="array" aca="1" ref="I208" ca="1">_xlfn.IFS(Transactions[[#This Row],[Return Date]]&lt;=Transactions[[#This Row],[Due Date]],0,AND(Transactions[[#This Row],[Return Date]]="",TODAY()&lt;=Transactions[[#This Row],[Due Date]]),0,Transactions[[#This Row],[Return Date]]&gt;Transactions[[#This Row],[Due Date]],Transactions[[#This Row],[Return Date]]-Transactions[[#This Row],[Due Date]],AND(Transactions[[#This Row],[Return Date]]="",TODAY()&gt;Transactions[[#This Row],[Due Date]]),TODAY()-Transactions[[#This Row],[Due Date]])</f>
        <v>0</v>
      </c>
      <c r="J208" s="47">
        <f ca="1">Transactions[[#This Row],[Overdue Days]]</f>
        <v>0</v>
      </c>
    </row>
    <row r="209" spans="1:10">
      <c r="A209" s="2" t="s">
        <v>582</v>
      </c>
      <c r="B209" s="2" t="s">
        <v>46</v>
      </c>
      <c r="C209" s="2" t="str">
        <f>VLOOKUP(B209,Data!$A$2:$B$101,2,0)</f>
        <v>Nichole Davis</v>
      </c>
      <c r="D209" s="2" t="s">
        <v>295</v>
      </c>
      <c r="E209" s="2" t="str">
        <f>VLOOKUP(D209,Data!$D$2:$E$121,2,0)</f>
        <v>Arrive Interview Center</v>
      </c>
      <c r="F209" s="3">
        <v>45503</v>
      </c>
      <c r="G209" s="42">
        <f>Transactions[[#This Row],[Borrow Date]]+21</f>
        <v>45524</v>
      </c>
      <c r="H209" s="3">
        <v>45519</v>
      </c>
      <c r="I209" s="49" cm="1">
        <f t="array" aca="1" ref="I209" ca="1">_xlfn.IFS(Transactions[[#This Row],[Return Date]]&lt;=Transactions[[#This Row],[Due Date]],0,AND(Transactions[[#This Row],[Return Date]]="",TODAY()&lt;=Transactions[[#This Row],[Due Date]]),0,Transactions[[#This Row],[Return Date]]&gt;Transactions[[#This Row],[Due Date]],Transactions[[#This Row],[Return Date]]-Transactions[[#This Row],[Due Date]],AND(Transactions[[#This Row],[Return Date]]="",TODAY()&gt;Transactions[[#This Row],[Due Date]]),TODAY()-Transactions[[#This Row],[Due Date]])</f>
        <v>0</v>
      </c>
      <c r="J209" s="47">
        <f ca="1">Transactions[[#This Row],[Overdue Days]]</f>
        <v>0</v>
      </c>
    </row>
    <row r="210" spans="1:10">
      <c r="A210" s="2" t="s">
        <v>585</v>
      </c>
      <c r="B210" s="2" t="s">
        <v>28</v>
      </c>
      <c r="C210" s="2" t="str">
        <f>VLOOKUP(B210,Data!$A$2:$B$101,2,0)</f>
        <v>Nathaniel Bates</v>
      </c>
      <c r="D210" s="2" t="s">
        <v>296</v>
      </c>
      <c r="E210" s="2" t="str">
        <f>VLOOKUP(D210,Data!$D$2:$E$121,2,0)</f>
        <v>Close Truth</v>
      </c>
      <c r="F210" s="3">
        <v>45401</v>
      </c>
      <c r="G210" s="42">
        <f>Transactions[[#This Row],[Borrow Date]]+21</f>
        <v>45422</v>
      </c>
      <c r="H210" s="3">
        <v>45426</v>
      </c>
      <c r="I210" s="49" cm="1">
        <f t="array" aca="1" ref="I210" ca="1">_xlfn.IFS(Transactions[[#This Row],[Return Date]]&lt;=Transactions[[#This Row],[Due Date]],0,AND(Transactions[[#This Row],[Return Date]]="",TODAY()&lt;=Transactions[[#This Row],[Due Date]]),0,Transactions[[#This Row],[Return Date]]&gt;Transactions[[#This Row],[Due Date]],Transactions[[#This Row],[Return Date]]-Transactions[[#This Row],[Due Date]],AND(Transactions[[#This Row],[Return Date]]="",TODAY()&gt;Transactions[[#This Row],[Due Date]]),TODAY()-Transactions[[#This Row],[Due Date]])</f>
        <v>4</v>
      </c>
      <c r="J210" s="47">
        <f ca="1">Transactions[[#This Row],[Overdue Days]]</f>
        <v>4</v>
      </c>
    </row>
    <row r="211" spans="1:10">
      <c r="A211" s="2" t="s">
        <v>498</v>
      </c>
      <c r="B211" s="2" t="s">
        <v>32</v>
      </c>
      <c r="C211" s="2" t="str">
        <f>VLOOKUP(B211,Data!$A$2:$B$101,2,0)</f>
        <v>Jose Cox</v>
      </c>
      <c r="D211" s="2" t="s">
        <v>297</v>
      </c>
      <c r="E211" s="2" t="str">
        <f>VLOOKUP(D211,Data!$D$2:$E$121,2,0)</f>
        <v>Defense</v>
      </c>
      <c r="F211" s="3">
        <v>45381</v>
      </c>
      <c r="G211" s="42">
        <f>Transactions[[#This Row],[Borrow Date]]+21</f>
        <v>45402</v>
      </c>
      <c r="H211" s="3">
        <v>45401</v>
      </c>
      <c r="I211" s="49" cm="1">
        <f t="array" aca="1" ref="I211" ca="1">_xlfn.IFS(Transactions[[#This Row],[Return Date]]&lt;=Transactions[[#This Row],[Due Date]],0,AND(Transactions[[#This Row],[Return Date]]="",TODAY()&lt;=Transactions[[#This Row],[Due Date]]),0,Transactions[[#This Row],[Return Date]]&gt;Transactions[[#This Row],[Due Date]],Transactions[[#This Row],[Return Date]]-Transactions[[#This Row],[Due Date]],AND(Transactions[[#This Row],[Return Date]]="",TODAY()&gt;Transactions[[#This Row],[Due Date]]),TODAY()-Transactions[[#This Row],[Due Date]])</f>
        <v>0</v>
      </c>
      <c r="J211" s="47">
        <f ca="1">Transactions[[#This Row],[Overdue Days]]</f>
        <v>0</v>
      </c>
    </row>
    <row r="212" spans="1:10">
      <c r="A212" s="2" t="s">
        <v>575</v>
      </c>
      <c r="B212" s="2" t="s">
        <v>8</v>
      </c>
      <c r="C212" s="2" t="str">
        <f>VLOOKUP(B212,Data!$A$2:$B$101,2,0)</f>
        <v>Nicholas Wyatt</v>
      </c>
      <c r="D212" s="2" t="s">
        <v>297</v>
      </c>
      <c r="E212" s="2" t="str">
        <f>VLOOKUP(D212,Data!$D$2:$E$121,2,0)</f>
        <v>Defense</v>
      </c>
      <c r="F212" s="3">
        <v>45536</v>
      </c>
      <c r="G212" s="42">
        <f>Transactions[[#This Row],[Borrow Date]]+21</f>
        <v>45557</v>
      </c>
      <c r="H212" s="3">
        <v>45561</v>
      </c>
      <c r="I212" s="49" cm="1">
        <f t="array" aca="1" ref="I212" ca="1">_xlfn.IFS(Transactions[[#This Row],[Return Date]]&lt;=Transactions[[#This Row],[Due Date]],0,AND(Transactions[[#This Row],[Return Date]]="",TODAY()&lt;=Transactions[[#This Row],[Due Date]]),0,Transactions[[#This Row],[Return Date]]&gt;Transactions[[#This Row],[Due Date]],Transactions[[#This Row],[Return Date]]-Transactions[[#This Row],[Due Date]],AND(Transactions[[#This Row],[Return Date]]="",TODAY()&gt;Transactions[[#This Row],[Due Date]]),TODAY()-Transactions[[#This Row],[Due Date]])</f>
        <v>4</v>
      </c>
      <c r="J212" s="47">
        <f ca="1">Transactions[[#This Row],[Overdue Days]]</f>
        <v>4</v>
      </c>
    </row>
    <row r="213" spans="1:10">
      <c r="A213" s="2" t="s">
        <v>593</v>
      </c>
      <c r="B213" s="2" t="s">
        <v>65</v>
      </c>
      <c r="C213" s="2" t="str">
        <f>VLOOKUP(B213,Data!$A$2:$B$101,2,0)</f>
        <v>Maria Villarreal</v>
      </c>
      <c r="D213" s="2" t="s">
        <v>297</v>
      </c>
      <c r="E213" s="2" t="str">
        <f>VLOOKUP(D213,Data!$D$2:$E$121,2,0)</f>
        <v>Defense</v>
      </c>
      <c r="F213" s="3">
        <v>45653</v>
      </c>
      <c r="G213" s="42">
        <f>Transactions[[#This Row],[Borrow Date]]+21</f>
        <v>45674</v>
      </c>
      <c r="H213" s="3" t="s">
        <v>748</v>
      </c>
      <c r="I213" s="49" t="e" cm="1">
        <f t="array" aca="1" ref="I213" ca="1">_xlfn.IFS(Transactions[[#This Row],[Return Date]]&lt;=Transactions[[#This Row],[Due Date]],0,AND(Transactions[[#This Row],[Return Date]]="",TODAY()&lt;=Transactions[[#This Row],[Due Date]]),0,Transactions[[#This Row],[Return Date]]&gt;Transactions[[#This Row],[Due Date]],Transactions[[#This Row],[Return Date]]-Transactions[[#This Row],[Due Date]],AND(Transactions[[#This Row],[Return Date]]="",TODAY()&gt;Transactions[[#This Row],[Due Date]]),TODAY()-Transactions[[#This Row],[Due Date]])</f>
        <v>#VALUE!</v>
      </c>
      <c r="J213" s="47" t="e">
        <f ca="1">Transactions[[#This Row],[Overdue Days]]</f>
        <v>#VALUE!</v>
      </c>
    </row>
    <row r="214" spans="1:10">
      <c r="A214" s="2" t="s">
        <v>634</v>
      </c>
      <c r="B214" s="2" t="s">
        <v>9</v>
      </c>
      <c r="C214" s="2" t="str">
        <f>VLOOKUP(B214,Data!$A$2:$B$101,2,0)</f>
        <v>Alisha Miller</v>
      </c>
      <c r="D214" s="2" t="s">
        <v>297</v>
      </c>
      <c r="E214" s="2" t="str">
        <f>VLOOKUP(D214,Data!$D$2:$E$121,2,0)</f>
        <v>Defense</v>
      </c>
      <c r="F214" s="3">
        <v>45535</v>
      </c>
      <c r="G214" s="42">
        <f>Transactions[[#This Row],[Borrow Date]]+21</f>
        <v>45556</v>
      </c>
      <c r="H214" s="3">
        <v>45554</v>
      </c>
      <c r="I214" s="49" cm="1">
        <f t="array" aca="1" ref="I214" ca="1">_xlfn.IFS(Transactions[[#This Row],[Return Date]]&lt;=Transactions[[#This Row],[Due Date]],0,AND(Transactions[[#This Row],[Return Date]]="",TODAY()&lt;=Transactions[[#This Row],[Due Date]]),0,Transactions[[#This Row],[Return Date]]&gt;Transactions[[#This Row],[Due Date]],Transactions[[#This Row],[Return Date]]-Transactions[[#This Row],[Due Date]],AND(Transactions[[#This Row],[Return Date]]="",TODAY()&gt;Transactions[[#This Row],[Due Date]]),TODAY()-Transactions[[#This Row],[Due Date]])</f>
        <v>0</v>
      </c>
      <c r="J214" s="47">
        <f ca="1">Transactions[[#This Row],[Overdue Days]]</f>
        <v>0</v>
      </c>
    </row>
    <row r="215" spans="1:10">
      <c r="A215" s="2" t="s">
        <v>597</v>
      </c>
      <c r="B215" s="2" t="s">
        <v>48</v>
      </c>
      <c r="C215" s="2" t="str">
        <f>VLOOKUP(B215,Data!$A$2:$B$101,2,0)</f>
        <v>Erica Malone</v>
      </c>
      <c r="D215" s="2" t="s">
        <v>298</v>
      </c>
      <c r="E215" s="2" t="str">
        <f>VLOOKUP(D215,Data!$D$2:$E$121,2,0)</f>
        <v>Economy Officer Shoulder</v>
      </c>
      <c r="F215" s="3">
        <v>45603</v>
      </c>
      <c r="G215" s="42">
        <f>Transactions[[#This Row],[Borrow Date]]+21</f>
        <v>45624</v>
      </c>
      <c r="H215" s="3">
        <v>45627</v>
      </c>
      <c r="I215" s="49" cm="1">
        <f t="array" aca="1" ref="I215" ca="1">_xlfn.IFS(Transactions[[#This Row],[Return Date]]&lt;=Transactions[[#This Row],[Due Date]],0,AND(Transactions[[#This Row],[Return Date]]="",TODAY()&lt;=Transactions[[#This Row],[Due Date]]),0,Transactions[[#This Row],[Return Date]]&gt;Transactions[[#This Row],[Due Date]],Transactions[[#This Row],[Return Date]]-Transactions[[#This Row],[Due Date]],AND(Transactions[[#This Row],[Return Date]]="",TODAY()&gt;Transactions[[#This Row],[Due Date]]),TODAY()-Transactions[[#This Row],[Due Date]])</f>
        <v>3</v>
      </c>
      <c r="J215" s="47">
        <f ca="1">Transactions[[#This Row],[Overdue Days]]</f>
        <v>3</v>
      </c>
    </row>
    <row r="216" spans="1:10">
      <c r="A216" s="2" t="s">
        <v>722</v>
      </c>
      <c r="B216" s="2" t="s">
        <v>28</v>
      </c>
      <c r="C216" s="2" t="str">
        <f>VLOOKUP(B216,Data!$A$2:$B$101,2,0)</f>
        <v>Nathaniel Bates</v>
      </c>
      <c r="D216" s="2" t="s">
        <v>298</v>
      </c>
      <c r="E216" s="2" t="str">
        <f>VLOOKUP(D216,Data!$D$2:$E$121,2,0)</f>
        <v>Economy Officer Shoulder</v>
      </c>
      <c r="F216" s="3">
        <v>45650</v>
      </c>
      <c r="G216" s="42">
        <f>Transactions[[#This Row],[Borrow Date]]+21</f>
        <v>45671</v>
      </c>
      <c r="H216" s="3" t="s">
        <v>748</v>
      </c>
      <c r="I216" s="49" t="e" cm="1">
        <f t="array" aca="1" ref="I216" ca="1">_xlfn.IFS(Transactions[[#This Row],[Return Date]]&lt;=Transactions[[#This Row],[Due Date]],0,AND(Transactions[[#This Row],[Return Date]]="",TODAY()&lt;=Transactions[[#This Row],[Due Date]]),0,Transactions[[#This Row],[Return Date]]&gt;Transactions[[#This Row],[Due Date]],Transactions[[#This Row],[Return Date]]-Transactions[[#This Row],[Due Date]],AND(Transactions[[#This Row],[Return Date]]="",TODAY()&gt;Transactions[[#This Row],[Due Date]]),TODAY()-Transactions[[#This Row],[Due Date]])</f>
        <v>#VALUE!</v>
      </c>
      <c r="J216" s="47" t="e">
        <f ca="1">Transactions[[#This Row],[Overdue Days]]</f>
        <v>#VALUE!</v>
      </c>
    </row>
    <row r="217" spans="1:10">
      <c r="A217" s="2" t="s">
        <v>553</v>
      </c>
      <c r="B217" s="2" t="s">
        <v>81</v>
      </c>
      <c r="C217" s="2" t="str">
        <f>VLOOKUP(B217,Data!$A$2:$B$101,2,0)</f>
        <v>Latoya Tucker</v>
      </c>
      <c r="D217" s="2" t="s">
        <v>299</v>
      </c>
      <c r="E217" s="2" t="str">
        <f>VLOOKUP(D217,Data!$D$2:$E$121,2,0)</f>
        <v>During Authority Structure</v>
      </c>
      <c r="F217" s="3">
        <v>45528</v>
      </c>
      <c r="G217" s="42">
        <f>Transactions[[#This Row],[Borrow Date]]+21</f>
        <v>45549</v>
      </c>
      <c r="I217" s="49" cm="1">
        <f t="array" aca="1" ref="I217" ca="1">_xlfn.IFS(Transactions[[#This Row],[Return Date]]&lt;=Transactions[[#This Row],[Due Date]],0,AND(Transactions[[#This Row],[Return Date]]="",TODAY()&lt;=Transactions[[#This Row],[Due Date]]),0,Transactions[[#This Row],[Return Date]]&gt;Transactions[[#This Row],[Due Date]],Transactions[[#This Row],[Return Date]]-Transactions[[#This Row],[Due Date]],AND(Transactions[[#This Row],[Return Date]]="",TODAY()&gt;Transactions[[#This Row],[Due Date]]),TODAY()-Transactions[[#This Row],[Due Date]])</f>
        <v>0</v>
      </c>
      <c r="J217" s="47">
        <f ca="1">Transactions[[#This Row],[Overdue Days]]</f>
        <v>0</v>
      </c>
    </row>
    <row r="218" spans="1:10">
      <c r="A218" s="2" t="s">
        <v>562</v>
      </c>
      <c r="B218" s="2" t="s">
        <v>54</v>
      </c>
      <c r="C218" s="2" t="str">
        <f>VLOOKUP(B218,Data!$A$2:$B$101,2,0)</f>
        <v>Christina Edwards</v>
      </c>
      <c r="D218" s="2" t="s">
        <v>299</v>
      </c>
      <c r="E218" s="2" t="str">
        <f>VLOOKUP(D218,Data!$D$2:$E$121,2,0)</f>
        <v>During Authority Structure</v>
      </c>
      <c r="F218" s="3">
        <v>45443</v>
      </c>
      <c r="G218" s="42">
        <f>Transactions[[#This Row],[Borrow Date]]+21</f>
        <v>45464</v>
      </c>
      <c r="I218" s="49" cm="1">
        <f t="array" aca="1" ref="I218" ca="1">_xlfn.IFS(Transactions[[#This Row],[Return Date]]&lt;=Transactions[[#This Row],[Due Date]],0,AND(Transactions[[#This Row],[Return Date]]="",TODAY()&lt;=Transactions[[#This Row],[Due Date]]),0,Transactions[[#This Row],[Return Date]]&gt;Transactions[[#This Row],[Due Date]],Transactions[[#This Row],[Return Date]]-Transactions[[#This Row],[Due Date]],AND(Transactions[[#This Row],[Return Date]]="",TODAY()&gt;Transactions[[#This Row],[Due Date]]),TODAY()-Transactions[[#This Row],[Due Date]])</f>
        <v>0</v>
      </c>
      <c r="J218" s="47">
        <f ca="1">Transactions[[#This Row],[Overdue Days]]</f>
        <v>0</v>
      </c>
    </row>
    <row r="219" spans="1:10">
      <c r="A219" s="2" t="s">
        <v>665</v>
      </c>
      <c r="B219" s="2" t="s">
        <v>49</v>
      </c>
      <c r="C219" s="2" t="str">
        <f>VLOOKUP(B219,Data!$A$2:$B$101,2,0)</f>
        <v>Marcus Navarro</v>
      </c>
      <c r="D219" s="2" t="s">
        <v>299</v>
      </c>
      <c r="E219" s="2" t="str">
        <f>VLOOKUP(D219,Data!$D$2:$E$121,2,0)</f>
        <v>During Authority Structure</v>
      </c>
      <c r="F219" s="3">
        <v>45541</v>
      </c>
      <c r="G219" s="42">
        <f>Transactions[[#This Row],[Borrow Date]]+21</f>
        <v>45562</v>
      </c>
      <c r="I219" s="49" cm="1">
        <f t="array" aca="1" ref="I219" ca="1">_xlfn.IFS(Transactions[[#This Row],[Return Date]]&lt;=Transactions[[#This Row],[Due Date]],0,AND(Transactions[[#This Row],[Return Date]]="",TODAY()&lt;=Transactions[[#This Row],[Due Date]]),0,Transactions[[#This Row],[Return Date]]&gt;Transactions[[#This Row],[Due Date]],Transactions[[#This Row],[Return Date]]-Transactions[[#This Row],[Due Date]],AND(Transactions[[#This Row],[Return Date]]="",TODAY()&gt;Transactions[[#This Row],[Due Date]]),TODAY()-Transactions[[#This Row],[Due Date]])</f>
        <v>0</v>
      </c>
      <c r="J219" s="47">
        <f ca="1">Transactions[[#This Row],[Overdue Days]]</f>
        <v>0</v>
      </c>
    </row>
    <row r="220" spans="1:10">
      <c r="A220" s="2" t="s">
        <v>695</v>
      </c>
      <c r="B220" s="2" t="s">
        <v>89</v>
      </c>
      <c r="C220" s="2" t="str">
        <f>VLOOKUP(B220,Data!$A$2:$B$101,2,0)</f>
        <v>Cheyenne Garcia</v>
      </c>
      <c r="D220" s="2" t="s">
        <v>299</v>
      </c>
      <c r="E220" s="2" t="str">
        <f>VLOOKUP(D220,Data!$D$2:$E$121,2,0)</f>
        <v>During Authority Structure</v>
      </c>
      <c r="F220" s="3">
        <v>45304</v>
      </c>
      <c r="G220" s="42">
        <f>Transactions[[#This Row],[Borrow Date]]+21</f>
        <v>45325</v>
      </c>
      <c r="I220" s="49" cm="1">
        <f t="array" aca="1" ref="I220" ca="1">_xlfn.IFS(Transactions[[#This Row],[Return Date]]&lt;=Transactions[[#This Row],[Due Date]],0,AND(Transactions[[#This Row],[Return Date]]="",TODAY()&lt;=Transactions[[#This Row],[Due Date]]),0,Transactions[[#This Row],[Return Date]]&gt;Transactions[[#This Row],[Due Date]],Transactions[[#This Row],[Return Date]]-Transactions[[#This Row],[Due Date]],AND(Transactions[[#This Row],[Return Date]]="",TODAY()&gt;Transactions[[#This Row],[Due Date]]),TODAY()-Transactions[[#This Row],[Due Date]])</f>
        <v>0</v>
      </c>
      <c r="J220" s="47">
        <f ca="1">Transactions[[#This Row],[Overdue Days]]</f>
        <v>0</v>
      </c>
    </row>
    <row r="221" spans="1:10">
      <c r="A221" s="2" t="s">
        <v>699</v>
      </c>
      <c r="B221" s="2" t="s">
        <v>70</v>
      </c>
      <c r="C221" s="2" t="str">
        <f>VLOOKUP(B221,Data!$A$2:$B$101,2,0)</f>
        <v>Kimberly Cooper</v>
      </c>
      <c r="D221" s="2" t="s">
        <v>299</v>
      </c>
      <c r="E221" s="2" t="str">
        <f>VLOOKUP(D221,Data!$D$2:$E$121,2,0)</f>
        <v>During Authority Structure</v>
      </c>
      <c r="F221" s="3">
        <v>45529</v>
      </c>
      <c r="G221" s="42">
        <f>Transactions[[#This Row],[Borrow Date]]+21</f>
        <v>45550</v>
      </c>
      <c r="I221" s="49" cm="1">
        <f t="array" aca="1" ref="I221" ca="1">_xlfn.IFS(Transactions[[#This Row],[Return Date]]&lt;=Transactions[[#This Row],[Due Date]],0,AND(Transactions[[#This Row],[Return Date]]="",TODAY()&lt;=Transactions[[#This Row],[Due Date]]),0,Transactions[[#This Row],[Return Date]]&gt;Transactions[[#This Row],[Due Date]],Transactions[[#This Row],[Return Date]]-Transactions[[#This Row],[Due Date]],AND(Transactions[[#This Row],[Return Date]]="",TODAY()&gt;Transactions[[#This Row],[Due Date]]),TODAY()-Transactions[[#This Row],[Due Date]])</f>
        <v>0</v>
      </c>
      <c r="J221" s="47">
        <f ca="1">Transactions[[#This Row],[Overdue Days]]</f>
        <v>0</v>
      </c>
    </row>
    <row r="222" spans="1:10">
      <c r="A222" s="2" t="s">
        <v>524</v>
      </c>
      <c r="B222" s="2" t="s">
        <v>81</v>
      </c>
      <c r="C222" s="2" t="str">
        <f>VLOOKUP(B222,Data!$A$2:$B$101,2,0)</f>
        <v>Latoya Tucker</v>
      </c>
      <c r="D222" s="2" t="s">
        <v>300</v>
      </c>
      <c r="E222" s="2" t="str">
        <f>VLOOKUP(D222,Data!$D$2:$E$121,2,0)</f>
        <v>Especially Third If</v>
      </c>
      <c r="F222" s="3">
        <v>45415</v>
      </c>
      <c r="G222" s="42">
        <f>Transactions[[#This Row],[Borrow Date]]+21</f>
        <v>45436</v>
      </c>
      <c r="H222" s="3">
        <v>45433</v>
      </c>
      <c r="I222" s="49" cm="1">
        <f t="array" aca="1" ref="I222" ca="1">_xlfn.IFS(Transactions[[#This Row],[Return Date]]&lt;=Transactions[[#This Row],[Due Date]],0,AND(Transactions[[#This Row],[Return Date]]="",TODAY()&lt;=Transactions[[#This Row],[Due Date]]),0,Transactions[[#This Row],[Return Date]]&gt;Transactions[[#This Row],[Due Date]],Transactions[[#This Row],[Return Date]]-Transactions[[#This Row],[Due Date]],AND(Transactions[[#This Row],[Return Date]]="",TODAY()&gt;Transactions[[#This Row],[Due Date]]),TODAY()-Transactions[[#This Row],[Due Date]])</f>
        <v>0</v>
      </c>
      <c r="J222" s="47">
        <f ca="1">Transactions[[#This Row],[Overdue Days]]</f>
        <v>0</v>
      </c>
    </row>
    <row r="223" spans="1:10">
      <c r="A223" s="2" t="s">
        <v>693</v>
      </c>
      <c r="B223" s="2" t="s">
        <v>7</v>
      </c>
      <c r="C223" s="2" t="str">
        <f>VLOOKUP(B223,Data!$A$2:$B$101,2,0)</f>
        <v>William Wolfe</v>
      </c>
      <c r="D223" s="2" t="s">
        <v>300</v>
      </c>
      <c r="E223" s="2" t="str">
        <f>VLOOKUP(D223,Data!$D$2:$E$121,2,0)</f>
        <v>Especially Third If</v>
      </c>
      <c r="F223" s="3">
        <v>45598</v>
      </c>
      <c r="G223" s="42">
        <f>Transactions[[#This Row],[Borrow Date]]+21</f>
        <v>45619</v>
      </c>
      <c r="H223" s="3">
        <v>45613</v>
      </c>
      <c r="I223" s="49" cm="1">
        <f t="array" aca="1" ref="I223" ca="1">_xlfn.IFS(Transactions[[#This Row],[Return Date]]&lt;=Transactions[[#This Row],[Due Date]],0,AND(Transactions[[#This Row],[Return Date]]="",TODAY()&lt;=Transactions[[#This Row],[Due Date]]),0,Transactions[[#This Row],[Return Date]]&gt;Transactions[[#This Row],[Due Date]],Transactions[[#This Row],[Return Date]]-Transactions[[#This Row],[Due Date]],AND(Transactions[[#This Row],[Return Date]]="",TODAY()&gt;Transactions[[#This Row],[Due Date]]),TODAY()-Transactions[[#This Row],[Due Date]])</f>
        <v>0</v>
      </c>
      <c r="J223" s="47">
        <f ca="1">Transactions[[#This Row],[Overdue Days]]</f>
        <v>0</v>
      </c>
    </row>
    <row r="224" spans="1:10">
      <c r="A224" s="2" t="s">
        <v>729</v>
      </c>
      <c r="B224" s="2" t="s">
        <v>88</v>
      </c>
      <c r="C224" s="2" t="str">
        <f>VLOOKUP(B224,Data!$A$2:$B$101,2,0)</f>
        <v>Collin Mcdonald</v>
      </c>
      <c r="D224" s="2" t="s">
        <v>300</v>
      </c>
      <c r="E224" s="2" t="str">
        <f>VLOOKUP(D224,Data!$D$2:$E$121,2,0)</f>
        <v>Especially Third If</v>
      </c>
      <c r="F224" s="3">
        <v>45516</v>
      </c>
      <c r="G224" s="42">
        <f>Transactions[[#This Row],[Borrow Date]]+21</f>
        <v>45537</v>
      </c>
      <c r="H224" s="3">
        <v>45542</v>
      </c>
      <c r="I224" s="49" cm="1">
        <f t="array" aca="1" ref="I224" ca="1">_xlfn.IFS(Transactions[[#This Row],[Return Date]]&lt;=Transactions[[#This Row],[Due Date]],0,AND(Transactions[[#This Row],[Return Date]]="",TODAY()&lt;=Transactions[[#This Row],[Due Date]]),0,Transactions[[#This Row],[Return Date]]&gt;Transactions[[#This Row],[Due Date]],Transactions[[#This Row],[Return Date]]-Transactions[[#This Row],[Due Date]],AND(Transactions[[#This Row],[Return Date]]="",TODAY()&gt;Transactions[[#This Row],[Due Date]]),TODAY()-Transactions[[#This Row],[Due Date]])</f>
        <v>5</v>
      </c>
      <c r="J224" s="47">
        <f ca="1">Transactions[[#This Row],[Overdue Days]]</f>
        <v>5</v>
      </c>
    </row>
    <row r="225" spans="1:10">
      <c r="A225" s="2" t="s">
        <v>539</v>
      </c>
      <c r="B225" s="2" t="s">
        <v>8</v>
      </c>
      <c r="C225" s="2" t="str">
        <f>VLOOKUP(B225,Data!$A$2:$B$101,2,0)</f>
        <v>Nicholas Wyatt</v>
      </c>
      <c r="D225" s="2" t="s">
        <v>301</v>
      </c>
      <c r="E225" s="2" t="str">
        <f>VLOOKUP(D225,Data!$D$2:$E$121,2,0)</f>
        <v>Save Against</v>
      </c>
      <c r="F225" s="3">
        <v>45597</v>
      </c>
      <c r="G225" s="42">
        <f>Transactions[[#This Row],[Borrow Date]]+21</f>
        <v>45618</v>
      </c>
      <c r="H225" s="3">
        <v>45616</v>
      </c>
      <c r="I225" s="49" cm="1">
        <f t="array" aca="1" ref="I225" ca="1">_xlfn.IFS(Transactions[[#This Row],[Return Date]]&lt;=Transactions[[#This Row],[Due Date]],0,AND(Transactions[[#This Row],[Return Date]]="",TODAY()&lt;=Transactions[[#This Row],[Due Date]]),0,Transactions[[#This Row],[Return Date]]&gt;Transactions[[#This Row],[Due Date]],Transactions[[#This Row],[Return Date]]-Transactions[[#This Row],[Due Date]],AND(Transactions[[#This Row],[Return Date]]="",TODAY()&gt;Transactions[[#This Row],[Due Date]]),TODAY()-Transactions[[#This Row],[Due Date]])</f>
        <v>0</v>
      </c>
      <c r="J225" s="47">
        <f ca="1">Transactions[[#This Row],[Overdue Days]]</f>
        <v>0</v>
      </c>
    </row>
    <row r="226" spans="1:10">
      <c r="A226" s="2" t="s">
        <v>610</v>
      </c>
      <c r="B226" s="2" t="s">
        <v>88</v>
      </c>
      <c r="C226" s="2" t="str">
        <f>VLOOKUP(B226,Data!$A$2:$B$101,2,0)</f>
        <v>Collin Mcdonald</v>
      </c>
      <c r="D226" s="2" t="s">
        <v>301</v>
      </c>
      <c r="E226" s="2" t="str">
        <f>VLOOKUP(D226,Data!$D$2:$E$121,2,0)</f>
        <v>Save Against</v>
      </c>
      <c r="F226" s="3">
        <v>45517</v>
      </c>
      <c r="G226" s="42">
        <f>Transactions[[#This Row],[Borrow Date]]+21</f>
        <v>45538</v>
      </c>
      <c r="H226" s="3">
        <v>45535</v>
      </c>
      <c r="I226" s="49" cm="1">
        <f t="array" aca="1" ref="I226" ca="1">_xlfn.IFS(Transactions[[#This Row],[Return Date]]&lt;=Transactions[[#This Row],[Due Date]],0,AND(Transactions[[#This Row],[Return Date]]="",TODAY()&lt;=Transactions[[#This Row],[Due Date]]),0,Transactions[[#This Row],[Return Date]]&gt;Transactions[[#This Row],[Due Date]],Transactions[[#This Row],[Return Date]]-Transactions[[#This Row],[Due Date]],AND(Transactions[[#This Row],[Return Date]]="",TODAY()&gt;Transactions[[#This Row],[Due Date]]),TODAY()-Transactions[[#This Row],[Due Date]])</f>
        <v>0</v>
      </c>
      <c r="J226" s="47">
        <f ca="1">Transactions[[#This Row],[Overdue Days]]</f>
        <v>0</v>
      </c>
    </row>
    <row r="227" spans="1:10">
      <c r="A227" s="2" t="s">
        <v>725</v>
      </c>
      <c r="B227" s="2" t="s">
        <v>43</v>
      </c>
      <c r="C227" s="2" t="str">
        <f>VLOOKUP(B227,Data!$A$2:$B$101,2,0)</f>
        <v>Dustin Hall DDS</v>
      </c>
      <c r="D227" s="2" t="s">
        <v>301</v>
      </c>
      <c r="E227" s="2" t="str">
        <f>VLOOKUP(D227,Data!$D$2:$E$121,2,0)</f>
        <v>Save Against</v>
      </c>
      <c r="F227" s="3">
        <v>45559</v>
      </c>
      <c r="G227" s="42">
        <f>Transactions[[#This Row],[Borrow Date]]+21</f>
        <v>45580</v>
      </c>
      <c r="H227" s="3">
        <v>45580</v>
      </c>
      <c r="I227" s="49" cm="1">
        <f t="array" aca="1" ref="I227" ca="1">_xlfn.IFS(Transactions[[#This Row],[Return Date]]&lt;=Transactions[[#This Row],[Due Date]],0,AND(Transactions[[#This Row],[Return Date]]="",TODAY()&lt;=Transactions[[#This Row],[Due Date]]),0,Transactions[[#This Row],[Return Date]]&gt;Transactions[[#This Row],[Due Date]],Transactions[[#This Row],[Return Date]]-Transactions[[#This Row],[Due Date]],AND(Transactions[[#This Row],[Return Date]]="",TODAY()&gt;Transactions[[#This Row],[Due Date]]),TODAY()-Transactions[[#This Row],[Due Date]])</f>
        <v>0</v>
      </c>
      <c r="J227" s="47">
        <f ca="1">Transactions[[#This Row],[Overdue Days]]</f>
        <v>0</v>
      </c>
    </row>
    <row r="228" spans="1:10">
      <c r="A228" s="2" t="s">
        <v>736</v>
      </c>
      <c r="B228" s="2" t="s">
        <v>40</v>
      </c>
      <c r="C228" s="2" t="str">
        <f>VLOOKUP(B228,Data!$A$2:$B$101,2,0)</f>
        <v>Yvonne Morgan</v>
      </c>
      <c r="D228" s="2" t="s">
        <v>301</v>
      </c>
      <c r="E228" s="2" t="str">
        <f>VLOOKUP(D228,Data!$D$2:$E$121,2,0)</f>
        <v>Save Against</v>
      </c>
      <c r="F228" s="3">
        <v>45421</v>
      </c>
      <c r="G228" s="42">
        <f>Transactions[[#This Row],[Borrow Date]]+21</f>
        <v>45442</v>
      </c>
      <c r="H228" s="3">
        <v>45439</v>
      </c>
      <c r="I228" s="49" cm="1">
        <f t="array" aca="1" ref="I228" ca="1">_xlfn.IFS(Transactions[[#This Row],[Return Date]]&lt;=Transactions[[#This Row],[Due Date]],0,AND(Transactions[[#This Row],[Return Date]]="",TODAY()&lt;=Transactions[[#This Row],[Due Date]]),0,Transactions[[#This Row],[Return Date]]&gt;Transactions[[#This Row],[Due Date]],Transactions[[#This Row],[Return Date]]-Transactions[[#This Row],[Due Date]],AND(Transactions[[#This Row],[Return Date]]="",TODAY()&gt;Transactions[[#This Row],[Due Date]]),TODAY()-Transactions[[#This Row],[Due Date]])</f>
        <v>0</v>
      </c>
      <c r="J228" s="47">
        <f ca="1">Transactions[[#This Row],[Overdue Days]]</f>
        <v>0</v>
      </c>
    </row>
    <row r="229" spans="1:10">
      <c r="A229" s="2" t="s">
        <v>532</v>
      </c>
      <c r="B229" s="2" t="s">
        <v>22</v>
      </c>
      <c r="C229" s="2" t="str">
        <f>VLOOKUP(B229,Data!$A$2:$B$101,2,0)</f>
        <v>David Lopez</v>
      </c>
      <c r="D229" s="2" t="s">
        <v>302</v>
      </c>
      <c r="E229" s="2" t="str">
        <f>VLOOKUP(D229,Data!$D$2:$E$121,2,0)</f>
        <v>Star Law</v>
      </c>
      <c r="F229" s="3">
        <v>45336</v>
      </c>
      <c r="G229" s="42">
        <f>Transactions[[#This Row],[Borrow Date]]+21</f>
        <v>45357</v>
      </c>
      <c r="H229" s="3">
        <v>45353</v>
      </c>
      <c r="I229" s="49" cm="1">
        <f t="array" aca="1" ref="I229" ca="1">_xlfn.IFS(Transactions[[#This Row],[Return Date]]&lt;=Transactions[[#This Row],[Due Date]],0,AND(Transactions[[#This Row],[Return Date]]="",TODAY()&lt;=Transactions[[#This Row],[Due Date]]),0,Transactions[[#This Row],[Return Date]]&gt;Transactions[[#This Row],[Due Date]],Transactions[[#This Row],[Return Date]]-Transactions[[#This Row],[Due Date]],AND(Transactions[[#This Row],[Return Date]]="",TODAY()&gt;Transactions[[#This Row],[Due Date]]),TODAY()-Transactions[[#This Row],[Due Date]])</f>
        <v>0</v>
      </c>
      <c r="J229" s="47">
        <f ca="1">Transactions[[#This Row],[Overdue Days]]</f>
        <v>0</v>
      </c>
    </row>
    <row r="230" spans="1:10">
      <c r="A230" s="2" t="s">
        <v>545</v>
      </c>
      <c r="B230" s="2" t="s">
        <v>32</v>
      </c>
      <c r="C230" s="2" t="str">
        <f>VLOOKUP(B230,Data!$A$2:$B$101,2,0)</f>
        <v>Jose Cox</v>
      </c>
      <c r="D230" s="2" t="s">
        <v>302</v>
      </c>
      <c r="E230" s="2" t="str">
        <f>VLOOKUP(D230,Data!$D$2:$E$121,2,0)</f>
        <v>Star Law</v>
      </c>
      <c r="F230" s="3">
        <v>45369</v>
      </c>
      <c r="G230" s="42">
        <f>Transactions[[#This Row],[Borrow Date]]+21</f>
        <v>45390</v>
      </c>
      <c r="H230" s="3">
        <v>45388</v>
      </c>
      <c r="I230" s="49" cm="1">
        <f t="array" aca="1" ref="I230" ca="1">_xlfn.IFS(Transactions[[#This Row],[Return Date]]&lt;=Transactions[[#This Row],[Due Date]],0,AND(Transactions[[#This Row],[Return Date]]="",TODAY()&lt;=Transactions[[#This Row],[Due Date]]),0,Transactions[[#This Row],[Return Date]]&gt;Transactions[[#This Row],[Due Date]],Transactions[[#This Row],[Return Date]]-Transactions[[#This Row],[Due Date]],AND(Transactions[[#This Row],[Return Date]]="",TODAY()&gt;Transactions[[#This Row],[Due Date]]),TODAY()-Transactions[[#This Row],[Due Date]])</f>
        <v>0</v>
      </c>
      <c r="J230" s="47">
        <f ca="1">Transactions[[#This Row],[Overdue Days]]</f>
        <v>0</v>
      </c>
    </row>
    <row r="231" spans="1:10">
      <c r="A231" s="2" t="s">
        <v>565</v>
      </c>
      <c r="B231" s="2" t="s">
        <v>33</v>
      </c>
      <c r="C231" s="2" t="str">
        <f>VLOOKUP(B231,Data!$A$2:$B$101,2,0)</f>
        <v>Jason Oconnor</v>
      </c>
      <c r="D231" s="2" t="s">
        <v>302</v>
      </c>
      <c r="E231" s="2" t="str">
        <f>VLOOKUP(D231,Data!$D$2:$E$121,2,0)</f>
        <v>Star Law</v>
      </c>
      <c r="F231" s="3">
        <v>45580</v>
      </c>
      <c r="G231" s="42">
        <f>Transactions[[#This Row],[Borrow Date]]+21</f>
        <v>45601</v>
      </c>
      <c r="H231" s="3">
        <v>45599</v>
      </c>
      <c r="I231" s="49" cm="1">
        <f t="array" aca="1" ref="I231" ca="1">_xlfn.IFS(Transactions[[#This Row],[Return Date]]&lt;=Transactions[[#This Row],[Due Date]],0,AND(Transactions[[#This Row],[Return Date]]="",TODAY()&lt;=Transactions[[#This Row],[Due Date]]),0,Transactions[[#This Row],[Return Date]]&gt;Transactions[[#This Row],[Due Date]],Transactions[[#This Row],[Return Date]]-Transactions[[#This Row],[Due Date]],AND(Transactions[[#This Row],[Return Date]]="",TODAY()&gt;Transactions[[#This Row],[Due Date]]),TODAY()-Transactions[[#This Row],[Due Date]])</f>
        <v>0</v>
      </c>
      <c r="J231" s="47">
        <f ca="1">Transactions[[#This Row],[Overdue Days]]</f>
        <v>0</v>
      </c>
    </row>
    <row r="232" spans="1:10">
      <c r="A232" s="2" t="s">
        <v>591</v>
      </c>
      <c r="B232" s="2" t="s">
        <v>34</v>
      </c>
      <c r="C232" s="2" t="str">
        <f>VLOOKUP(B232,Data!$A$2:$B$101,2,0)</f>
        <v>Tammy Tucker</v>
      </c>
      <c r="D232" s="2" t="s">
        <v>303</v>
      </c>
      <c r="E232" s="2" t="str">
        <f>VLOOKUP(D232,Data!$D$2:$E$121,2,0)</f>
        <v>Another Personal First</v>
      </c>
      <c r="F232" s="3">
        <v>45504</v>
      </c>
      <c r="G232" s="42">
        <f>Transactions[[#This Row],[Borrow Date]]+21</f>
        <v>45525</v>
      </c>
      <c r="H232" s="3">
        <v>45530</v>
      </c>
      <c r="I232" s="49" cm="1">
        <f t="array" aca="1" ref="I232" ca="1">_xlfn.IFS(Transactions[[#This Row],[Return Date]]&lt;=Transactions[[#This Row],[Due Date]],0,AND(Transactions[[#This Row],[Return Date]]="",TODAY()&lt;=Transactions[[#This Row],[Due Date]]),0,Transactions[[#This Row],[Return Date]]&gt;Transactions[[#This Row],[Due Date]],Transactions[[#This Row],[Return Date]]-Transactions[[#This Row],[Due Date]],AND(Transactions[[#This Row],[Return Date]]="",TODAY()&gt;Transactions[[#This Row],[Due Date]]),TODAY()-Transactions[[#This Row],[Due Date]])</f>
        <v>5</v>
      </c>
      <c r="J232" s="47">
        <f ca="1">Transactions[[#This Row],[Overdue Days]]</f>
        <v>5</v>
      </c>
    </row>
    <row r="233" spans="1:10">
      <c r="A233" s="2" t="s">
        <v>688</v>
      </c>
      <c r="B233" s="2" t="s">
        <v>7</v>
      </c>
      <c r="C233" s="2" t="str">
        <f>VLOOKUP(B233,Data!$A$2:$B$101,2,0)</f>
        <v>William Wolfe</v>
      </c>
      <c r="D233" s="2" t="s">
        <v>303</v>
      </c>
      <c r="E233" s="2" t="str">
        <f>VLOOKUP(D233,Data!$D$2:$E$121,2,0)</f>
        <v>Another Personal First</v>
      </c>
      <c r="F233" s="3">
        <v>45371</v>
      </c>
      <c r="G233" s="42">
        <f>Transactions[[#This Row],[Borrow Date]]+21</f>
        <v>45392</v>
      </c>
      <c r="H233" s="3">
        <v>45396</v>
      </c>
      <c r="I233" s="49" cm="1">
        <f t="array" aca="1" ref="I233" ca="1">_xlfn.IFS(Transactions[[#This Row],[Return Date]]&lt;=Transactions[[#This Row],[Due Date]],0,AND(Transactions[[#This Row],[Return Date]]="",TODAY()&lt;=Transactions[[#This Row],[Due Date]]),0,Transactions[[#This Row],[Return Date]]&gt;Transactions[[#This Row],[Due Date]],Transactions[[#This Row],[Return Date]]-Transactions[[#This Row],[Due Date]],AND(Transactions[[#This Row],[Return Date]]="",TODAY()&gt;Transactions[[#This Row],[Due Date]]),TODAY()-Transactions[[#This Row],[Due Date]])</f>
        <v>4</v>
      </c>
      <c r="J233" s="47">
        <f ca="1">Transactions[[#This Row],[Overdue Days]]</f>
        <v>4</v>
      </c>
    </row>
    <row r="234" spans="1:10">
      <c r="A234" s="2" t="s">
        <v>705</v>
      </c>
      <c r="B234" s="2" t="s">
        <v>37</v>
      </c>
      <c r="C234" s="2" t="str">
        <f>VLOOKUP(B234,Data!$A$2:$B$101,2,0)</f>
        <v>Donna Craig</v>
      </c>
      <c r="D234" s="2" t="s">
        <v>303</v>
      </c>
      <c r="E234" s="2" t="str">
        <f>VLOOKUP(D234,Data!$D$2:$E$121,2,0)</f>
        <v>Another Personal First</v>
      </c>
      <c r="F234" s="3">
        <v>45324</v>
      </c>
      <c r="G234" s="42">
        <f>Transactions[[#This Row],[Borrow Date]]+21</f>
        <v>45345</v>
      </c>
      <c r="H234" s="3">
        <v>45350</v>
      </c>
      <c r="I234" s="49" cm="1">
        <f t="array" aca="1" ref="I234" ca="1">_xlfn.IFS(Transactions[[#This Row],[Return Date]]&lt;=Transactions[[#This Row],[Due Date]],0,AND(Transactions[[#This Row],[Return Date]]="",TODAY()&lt;=Transactions[[#This Row],[Due Date]]),0,Transactions[[#This Row],[Return Date]]&gt;Transactions[[#This Row],[Due Date]],Transactions[[#This Row],[Return Date]]-Transactions[[#This Row],[Due Date]],AND(Transactions[[#This Row],[Return Date]]="",TODAY()&gt;Transactions[[#This Row],[Due Date]]),TODAY()-Transactions[[#This Row],[Due Date]])</f>
        <v>5</v>
      </c>
      <c r="J234" s="47">
        <f ca="1">Transactions[[#This Row],[Overdue Days]]</f>
        <v>5</v>
      </c>
    </row>
    <row r="235" spans="1:10">
      <c r="A235" s="2" t="s">
        <v>724</v>
      </c>
      <c r="B235" s="2" t="s">
        <v>59</v>
      </c>
      <c r="C235" s="2" t="str">
        <f>VLOOKUP(B235,Data!$A$2:$B$101,2,0)</f>
        <v>Amy Shaw</v>
      </c>
      <c r="D235" s="2" t="s">
        <v>304</v>
      </c>
      <c r="E235" s="2" t="str">
        <f>VLOOKUP(D235,Data!$D$2:$E$121,2,0)</f>
        <v>Seem Head Employee</v>
      </c>
      <c r="F235" s="3">
        <v>45650</v>
      </c>
      <c r="G235" s="42">
        <f>Transactions[[#This Row],[Borrow Date]]+21</f>
        <v>45671</v>
      </c>
      <c r="H235" s="3" t="s">
        <v>748</v>
      </c>
      <c r="I235" s="49" t="e" cm="1">
        <f t="array" aca="1" ref="I235" ca="1">_xlfn.IFS(Transactions[[#This Row],[Return Date]]&lt;=Transactions[[#This Row],[Due Date]],0,AND(Transactions[[#This Row],[Return Date]]="",TODAY()&lt;=Transactions[[#This Row],[Due Date]]),0,Transactions[[#This Row],[Return Date]]&gt;Transactions[[#This Row],[Due Date]],Transactions[[#This Row],[Return Date]]-Transactions[[#This Row],[Due Date]],AND(Transactions[[#This Row],[Return Date]]="",TODAY()&gt;Transactions[[#This Row],[Due Date]]),TODAY()-Transactions[[#This Row],[Due Date]])</f>
        <v>#VALUE!</v>
      </c>
      <c r="J235" s="47" t="e">
        <f ca="1">Transactions[[#This Row],[Overdue Days]]</f>
        <v>#VALUE!</v>
      </c>
    </row>
    <row r="236" spans="1:10">
      <c r="A236" s="2" t="s">
        <v>506</v>
      </c>
      <c r="B236" s="2" t="s">
        <v>28</v>
      </c>
      <c r="C236" s="2" t="str">
        <f>VLOOKUP(B236,Data!$A$2:$B$101,2,0)</f>
        <v>Nathaniel Bates</v>
      </c>
      <c r="D236" s="2" t="s">
        <v>305</v>
      </c>
      <c r="E236" s="2" t="str">
        <f>VLOOKUP(D236,Data!$D$2:$E$121,2,0)</f>
        <v>Significant Student Up</v>
      </c>
      <c r="F236" s="3">
        <v>45595</v>
      </c>
      <c r="G236" s="42">
        <f>Transactions[[#This Row],[Borrow Date]]+21</f>
        <v>45616</v>
      </c>
      <c r="H236" s="3">
        <v>45614</v>
      </c>
      <c r="I236" s="49" cm="1">
        <f t="array" aca="1" ref="I236" ca="1">_xlfn.IFS(Transactions[[#This Row],[Return Date]]&lt;=Transactions[[#This Row],[Due Date]],0,AND(Transactions[[#This Row],[Return Date]]="",TODAY()&lt;=Transactions[[#This Row],[Due Date]]),0,Transactions[[#This Row],[Return Date]]&gt;Transactions[[#This Row],[Due Date]],Transactions[[#This Row],[Return Date]]-Transactions[[#This Row],[Due Date]],AND(Transactions[[#This Row],[Return Date]]="",TODAY()&gt;Transactions[[#This Row],[Due Date]]),TODAY()-Transactions[[#This Row],[Due Date]])</f>
        <v>0</v>
      </c>
      <c r="J236" s="47">
        <f ca="1">Transactions[[#This Row],[Overdue Days]]</f>
        <v>0</v>
      </c>
    </row>
    <row r="237" spans="1:10">
      <c r="A237" s="2" t="s">
        <v>614</v>
      </c>
      <c r="B237" s="2" t="s">
        <v>12</v>
      </c>
      <c r="C237" s="2" t="str">
        <f>VLOOKUP(B237,Data!$A$2:$B$101,2,0)</f>
        <v>Jeffrey Garrett</v>
      </c>
      <c r="D237" s="2" t="s">
        <v>305</v>
      </c>
      <c r="E237" s="2" t="str">
        <f>VLOOKUP(D237,Data!$D$2:$E$121,2,0)</f>
        <v>Significant Student Up</v>
      </c>
      <c r="F237" s="3">
        <v>45372</v>
      </c>
      <c r="G237" s="42">
        <f>Transactions[[#This Row],[Borrow Date]]+21</f>
        <v>45393</v>
      </c>
      <c r="H237" s="3">
        <v>45394</v>
      </c>
      <c r="I237" s="49" cm="1">
        <f t="array" aca="1" ref="I237" ca="1">_xlfn.IFS(Transactions[[#This Row],[Return Date]]&lt;=Transactions[[#This Row],[Due Date]],0,AND(Transactions[[#This Row],[Return Date]]="",TODAY()&lt;=Transactions[[#This Row],[Due Date]]),0,Transactions[[#This Row],[Return Date]]&gt;Transactions[[#This Row],[Due Date]],Transactions[[#This Row],[Return Date]]-Transactions[[#This Row],[Due Date]],AND(Transactions[[#This Row],[Return Date]]="",TODAY()&gt;Transactions[[#This Row],[Due Date]]),TODAY()-Transactions[[#This Row],[Due Date]])</f>
        <v>1</v>
      </c>
      <c r="J237" s="47">
        <f ca="1">Transactions[[#This Row],[Overdue Days]]</f>
        <v>1</v>
      </c>
    </row>
    <row r="238" spans="1:10">
      <c r="A238" s="2" t="s">
        <v>674</v>
      </c>
      <c r="B238" s="2" t="s">
        <v>39</v>
      </c>
      <c r="C238" s="2" t="str">
        <f>VLOOKUP(B238,Data!$A$2:$B$101,2,0)</f>
        <v>Hailey Brown</v>
      </c>
      <c r="D238" s="2" t="s">
        <v>305</v>
      </c>
      <c r="E238" s="2" t="str">
        <f>VLOOKUP(D238,Data!$D$2:$E$121,2,0)</f>
        <v>Significant Student Up</v>
      </c>
      <c r="F238" s="3">
        <v>45305</v>
      </c>
      <c r="G238" s="42">
        <f>Transactions[[#This Row],[Borrow Date]]+21</f>
        <v>45326</v>
      </c>
      <c r="H238" s="3">
        <v>45322</v>
      </c>
      <c r="I238" s="49" cm="1">
        <f t="array" aca="1" ref="I238" ca="1">_xlfn.IFS(Transactions[[#This Row],[Return Date]]&lt;=Transactions[[#This Row],[Due Date]],0,AND(Transactions[[#This Row],[Return Date]]="",TODAY()&lt;=Transactions[[#This Row],[Due Date]]),0,Transactions[[#This Row],[Return Date]]&gt;Transactions[[#This Row],[Due Date]],Transactions[[#This Row],[Return Date]]-Transactions[[#This Row],[Due Date]],AND(Transactions[[#This Row],[Return Date]]="",TODAY()&gt;Transactions[[#This Row],[Due Date]]),TODAY()-Transactions[[#This Row],[Due Date]])</f>
        <v>0</v>
      </c>
      <c r="J238" s="47">
        <f ca="1">Transactions[[#This Row],[Overdue Days]]</f>
        <v>0</v>
      </c>
    </row>
    <row r="239" spans="1:10">
      <c r="A239" s="2" t="s">
        <v>642</v>
      </c>
      <c r="B239" s="2" t="s">
        <v>24</v>
      </c>
      <c r="C239" s="2" t="str">
        <f>VLOOKUP(B239,Data!$A$2:$B$101,2,0)</f>
        <v>Catherine Morris</v>
      </c>
      <c r="D239" s="2" t="s">
        <v>306</v>
      </c>
      <c r="E239" s="2" t="str">
        <f>VLOOKUP(D239,Data!$D$2:$E$121,2,0)</f>
        <v>Hour Wall Nice</v>
      </c>
      <c r="F239" s="3">
        <v>45307</v>
      </c>
      <c r="G239" s="42">
        <f>Transactions[[#This Row],[Borrow Date]]+21</f>
        <v>45328</v>
      </c>
      <c r="H239" s="3">
        <v>45331</v>
      </c>
      <c r="I239" s="49" cm="1">
        <f t="array" aca="1" ref="I239" ca="1">_xlfn.IFS(Transactions[[#This Row],[Return Date]]&lt;=Transactions[[#This Row],[Due Date]],0,AND(Transactions[[#This Row],[Return Date]]="",TODAY()&lt;=Transactions[[#This Row],[Due Date]]),0,Transactions[[#This Row],[Return Date]]&gt;Transactions[[#This Row],[Due Date]],Transactions[[#This Row],[Return Date]]-Transactions[[#This Row],[Due Date]],AND(Transactions[[#This Row],[Return Date]]="",TODAY()&gt;Transactions[[#This Row],[Due Date]]),TODAY()-Transactions[[#This Row],[Due Date]])</f>
        <v>3</v>
      </c>
      <c r="J239" s="47">
        <f ca="1">Transactions[[#This Row],[Overdue Days]]</f>
        <v>3</v>
      </c>
    </row>
    <row r="240" spans="1:10">
      <c r="A240" s="2" t="s">
        <v>655</v>
      </c>
      <c r="B240" s="2" t="s">
        <v>66</v>
      </c>
      <c r="C240" s="2" t="str">
        <f>VLOOKUP(B240,Data!$A$2:$B$101,2,0)</f>
        <v>Travis Stevens</v>
      </c>
      <c r="D240" s="2" t="s">
        <v>306</v>
      </c>
      <c r="E240" s="2" t="str">
        <f>VLOOKUP(D240,Data!$D$2:$E$121,2,0)</f>
        <v>Hour Wall Nice</v>
      </c>
      <c r="F240" s="3">
        <v>45612</v>
      </c>
      <c r="G240" s="42">
        <f>Transactions[[#This Row],[Borrow Date]]+21</f>
        <v>45633</v>
      </c>
      <c r="H240" s="3">
        <v>45638</v>
      </c>
      <c r="I240" s="49" cm="1">
        <f t="array" aca="1" ref="I240" ca="1">_xlfn.IFS(Transactions[[#This Row],[Return Date]]&lt;=Transactions[[#This Row],[Due Date]],0,AND(Transactions[[#This Row],[Return Date]]="",TODAY()&lt;=Transactions[[#This Row],[Due Date]]),0,Transactions[[#This Row],[Return Date]]&gt;Transactions[[#This Row],[Due Date]],Transactions[[#This Row],[Return Date]]-Transactions[[#This Row],[Due Date]],AND(Transactions[[#This Row],[Return Date]]="",TODAY()&gt;Transactions[[#This Row],[Due Date]]),TODAY()-Transactions[[#This Row],[Due Date]])</f>
        <v>5</v>
      </c>
      <c r="J240" s="47">
        <f ca="1">Transactions[[#This Row],[Overdue Days]]</f>
        <v>5</v>
      </c>
    </row>
    <row r="241" spans="1:10">
      <c r="A241" s="2" t="s">
        <v>745</v>
      </c>
      <c r="B241" s="2" t="s">
        <v>39</v>
      </c>
      <c r="C241" s="2" t="str">
        <f>VLOOKUP(B241,Data!$A$2:$B$101,2,0)</f>
        <v>Hailey Brown</v>
      </c>
      <c r="D241" s="2" t="s">
        <v>306</v>
      </c>
      <c r="E241" s="2" t="str">
        <f>VLOOKUP(D241,Data!$D$2:$E$121,2,0)</f>
        <v>Hour Wall Nice</v>
      </c>
      <c r="F241" s="3">
        <v>45333</v>
      </c>
      <c r="G241" s="42">
        <f>Transactions[[#This Row],[Borrow Date]]+21</f>
        <v>45354</v>
      </c>
      <c r="H241" s="3">
        <v>45353</v>
      </c>
      <c r="I241" s="49" cm="1">
        <f t="array" aca="1" ref="I241" ca="1">_xlfn.IFS(Transactions[[#This Row],[Return Date]]&lt;=Transactions[[#This Row],[Due Date]],0,AND(Transactions[[#This Row],[Return Date]]="",TODAY()&lt;=Transactions[[#This Row],[Due Date]]),0,Transactions[[#This Row],[Return Date]]&gt;Transactions[[#This Row],[Due Date]],Transactions[[#This Row],[Return Date]]-Transactions[[#This Row],[Due Date]],AND(Transactions[[#This Row],[Return Date]]="",TODAY()&gt;Transactions[[#This Row],[Due Date]]),TODAY()-Transactions[[#This Row],[Due Date]])</f>
        <v>0</v>
      </c>
      <c r="J241" s="47">
        <f ca="1">Transactions[[#This Row],[Overdue Days]]</f>
        <v>0</v>
      </c>
    </row>
    <row r="242" spans="1:10">
      <c r="A242" s="2" t="s">
        <v>549</v>
      </c>
      <c r="B242" s="2" t="s">
        <v>14</v>
      </c>
      <c r="C242" s="2" t="str">
        <f>VLOOKUP(B242,Data!$A$2:$B$101,2,0)</f>
        <v>Marie Buckley</v>
      </c>
      <c r="D242" s="2" t="s">
        <v>307</v>
      </c>
      <c r="E242" s="2" t="str">
        <f>VLOOKUP(D242,Data!$D$2:$E$121,2,0)</f>
        <v>Will Discover Market</v>
      </c>
      <c r="F242" s="3">
        <v>45473</v>
      </c>
      <c r="G242" s="42">
        <f>Transactions[[#This Row],[Borrow Date]]+21</f>
        <v>45494</v>
      </c>
      <c r="H242" s="3">
        <v>45490</v>
      </c>
      <c r="I242" s="49" cm="1">
        <f t="array" aca="1" ref="I242" ca="1">_xlfn.IFS(Transactions[[#This Row],[Return Date]]&lt;=Transactions[[#This Row],[Due Date]],0,AND(Transactions[[#This Row],[Return Date]]="",TODAY()&lt;=Transactions[[#This Row],[Due Date]]),0,Transactions[[#This Row],[Return Date]]&gt;Transactions[[#This Row],[Due Date]],Transactions[[#This Row],[Return Date]]-Transactions[[#This Row],[Due Date]],AND(Transactions[[#This Row],[Return Date]]="",TODAY()&gt;Transactions[[#This Row],[Due Date]]),TODAY()-Transactions[[#This Row],[Due Date]])</f>
        <v>0</v>
      </c>
      <c r="J242" s="47">
        <f ca="1">Transactions[[#This Row],[Overdue Days]]</f>
        <v>0</v>
      </c>
    </row>
    <row r="243" spans="1:10">
      <c r="A243" s="2" t="s">
        <v>563</v>
      </c>
      <c r="B243" s="2" t="s">
        <v>84</v>
      </c>
      <c r="C243" s="2" t="str">
        <f>VLOOKUP(B243,Data!$A$2:$B$101,2,0)</f>
        <v>Laura Rogers</v>
      </c>
      <c r="D243" s="2" t="s">
        <v>307</v>
      </c>
      <c r="E243" s="2" t="str">
        <f>VLOOKUP(D243,Data!$D$2:$E$121,2,0)</f>
        <v>Will Discover Market</v>
      </c>
      <c r="F243" s="3">
        <v>45479</v>
      </c>
      <c r="G243" s="42">
        <f>Transactions[[#This Row],[Borrow Date]]+21</f>
        <v>45500</v>
      </c>
      <c r="H243" s="3">
        <v>45496</v>
      </c>
      <c r="I243" s="49" cm="1">
        <f t="array" aca="1" ref="I243" ca="1">_xlfn.IFS(Transactions[[#This Row],[Return Date]]&lt;=Transactions[[#This Row],[Due Date]],0,AND(Transactions[[#This Row],[Return Date]]="",TODAY()&lt;=Transactions[[#This Row],[Due Date]]),0,Transactions[[#This Row],[Return Date]]&gt;Transactions[[#This Row],[Due Date]],Transactions[[#This Row],[Return Date]]-Transactions[[#This Row],[Due Date]],AND(Transactions[[#This Row],[Return Date]]="",TODAY()&gt;Transactions[[#This Row],[Due Date]]),TODAY()-Transactions[[#This Row],[Due Date]])</f>
        <v>0</v>
      </c>
      <c r="J243" s="47">
        <f ca="1">Transactions[[#This Row],[Overdue Days]]</f>
        <v>0</v>
      </c>
    </row>
    <row r="244" spans="1:10">
      <c r="A244" s="2" t="s">
        <v>566</v>
      </c>
      <c r="B244" s="2" t="s">
        <v>43</v>
      </c>
      <c r="C244" s="2" t="str">
        <f>VLOOKUP(B244,Data!$A$2:$B$101,2,0)</f>
        <v>Dustin Hall DDS</v>
      </c>
      <c r="D244" s="2" t="s">
        <v>307</v>
      </c>
      <c r="E244" s="2" t="str">
        <f>VLOOKUP(D244,Data!$D$2:$E$121,2,0)</f>
        <v>Will Discover Market</v>
      </c>
      <c r="F244" s="3">
        <v>45623</v>
      </c>
      <c r="G244" s="42">
        <f>Transactions[[#This Row],[Borrow Date]]+21</f>
        <v>45644</v>
      </c>
      <c r="H244" s="3">
        <v>45638</v>
      </c>
      <c r="I244" s="49" cm="1">
        <f t="array" aca="1" ref="I244" ca="1">_xlfn.IFS(Transactions[[#This Row],[Return Date]]&lt;=Transactions[[#This Row],[Due Date]],0,AND(Transactions[[#This Row],[Return Date]]="",TODAY()&lt;=Transactions[[#This Row],[Due Date]]),0,Transactions[[#This Row],[Return Date]]&gt;Transactions[[#This Row],[Due Date]],Transactions[[#This Row],[Return Date]]-Transactions[[#This Row],[Due Date]],AND(Transactions[[#This Row],[Return Date]]="",TODAY()&gt;Transactions[[#This Row],[Due Date]]),TODAY()-Transactions[[#This Row],[Due Date]])</f>
        <v>0</v>
      </c>
      <c r="J244" s="47">
        <f ca="1">Transactions[[#This Row],[Overdue Days]]</f>
        <v>0</v>
      </c>
    </row>
    <row r="245" spans="1:10">
      <c r="A245" s="2" t="s">
        <v>576</v>
      </c>
      <c r="B245" s="2" t="s">
        <v>62</v>
      </c>
      <c r="C245" s="2" t="str">
        <f>VLOOKUP(B245,Data!$A$2:$B$101,2,0)</f>
        <v>Chelsea Brown</v>
      </c>
      <c r="D245" s="2" t="s">
        <v>307</v>
      </c>
      <c r="E245" s="2" t="str">
        <f>VLOOKUP(D245,Data!$D$2:$E$121,2,0)</f>
        <v>Will Discover Market</v>
      </c>
      <c r="F245" s="3">
        <v>45607</v>
      </c>
      <c r="G245" s="42">
        <f>Transactions[[#This Row],[Borrow Date]]+21</f>
        <v>45628</v>
      </c>
      <c r="H245" s="3">
        <v>45627</v>
      </c>
      <c r="I245" s="49" cm="1">
        <f t="array" aca="1" ref="I245" ca="1">_xlfn.IFS(Transactions[[#This Row],[Return Date]]&lt;=Transactions[[#This Row],[Due Date]],0,AND(Transactions[[#This Row],[Return Date]]="",TODAY()&lt;=Transactions[[#This Row],[Due Date]]),0,Transactions[[#This Row],[Return Date]]&gt;Transactions[[#This Row],[Due Date]],Transactions[[#This Row],[Return Date]]-Transactions[[#This Row],[Due Date]],AND(Transactions[[#This Row],[Return Date]]="",TODAY()&gt;Transactions[[#This Row],[Due Date]]),TODAY()-Transactions[[#This Row],[Due Date]])</f>
        <v>0</v>
      </c>
      <c r="J245" s="47">
        <f ca="1">Transactions[[#This Row],[Overdue Days]]</f>
        <v>0</v>
      </c>
    </row>
    <row r="246" spans="1:10">
      <c r="A246" s="2" t="s">
        <v>632</v>
      </c>
      <c r="B246" s="2" t="s">
        <v>75</v>
      </c>
      <c r="C246" s="2" t="str">
        <f>VLOOKUP(B246,Data!$A$2:$B$101,2,0)</f>
        <v>Shane Garcia</v>
      </c>
      <c r="D246" s="2" t="s">
        <v>308</v>
      </c>
      <c r="E246" s="2" t="str">
        <f>VLOOKUP(D246,Data!$D$2:$E$121,2,0)</f>
        <v>Develop Around</v>
      </c>
      <c r="F246" s="3">
        <v>45624</v>
      </c>
      <c r="G246" s="42">
        <f>Transactions[[#This Row],[Borrow Date]]+21</f>
        <v>45645</v>
      </c>
      <c r="H246" s="3">
        <v>45639</v>
      </c>
      <c r="I246" s="49" cm="1">
        <f t="array" aca="1" ref="I246" ca="1">_xlfn.IFS(Transactions[[#This Row],[Return Date]]&lt;=Transactions[[#This Row],[Due Date]],0,AND(Transactions[[#This Row],[Return Date]]="",TODAY()&lt;=Transactions[[#This Row],[Due Date]]),0,Transactions[[#This Row],[Return Date]]&gt;Transactions[[#This Row],[Due Date]],Transactions[[#This Row],[Return Date]]-Transactions[[#This Row],[Due Date]],AND(Transactions[[#This Row],[Return Date]]="",TODAY()&gt;Transactions[[#This Row],[Due Date]]),TODAY()-Transactions[[#This Row],[Due Date]])</f>
        <v>0</v>
      </c>
      <c r="J246" s="47">
        <f ca="1">Transactions[[#This Row],[Overdue Days]]</f>
        <v>0</v>
      </c>
    </row>
    <row r="247" spans="1:10">
      <c r="A247" s="2" t="s">
        <v>662</v>
      </c>
      <c r="B247" s="2" t="s">
        <v>93</v>
      </c>
      <c r="C247" s="2" t="str">
        <f>VLOOKUP(B247,Data!$A$2:$B$101,2,0)</f>
        <v>John Chandler</v>
      </c>
      <c r="D247" s="2" t="s">
        <v>308</v>
      </c>
      <c r="E247" s="2" t="str">
        <f>VLOOKUP(D247,Data!$D$2:$E$121,2,0)</f>
        <v>Develop Around</v>
      </c>
      <c r="F247" s="3">
        <v>45345</v>
      </c>
      <c r="G247" s="42">
        <f>Transactions[[#This Row],[Borrow Date]]+21</f>
        <v>45366</v>
      </c>
      <c r="H247" s="3">
        <v>45363</v>
      </c>
      <c r="I247" s="49" cm="1">
        <f t="array" aca="1" ref="I247" ca="1">_xlfn.IFS(Transactions[[#This Row],[Return Date]]&lt;=Transactions[[#This Row],[Due Date]],0,AND(Transactions[[#This Row],[Return Date]]="",TODAY()&lt;=Transactions[[#This Row],[Due Date]]),0,Transactions[[#This Row],[Return Date]]&gt;Transactions[[#This Row],[Due Date]],Transactions[[#This Row],[Return Date]]-Transactions[[#This Row],[Due Date]],AND(Transactions[[#This Row],[Return Date]]="",TODAY()&gt;Transactions[[#This Row],[Due Date]]),TODAY()-Transactions[[#This Row],[Due Date]])</f>
        <v>0</v>
      </c>
      <c r="J247" s="47">
        <f ca="1">Transactions[[#This Row],[Overdue Days]]</f>
        <v>0</v>
      </c>
    </row>
    <row r="248" spans="1:10">
      <c r="A248" s="2" t="s">
        <v>741</v>
      </c>
      <c r="B248" s="2" t="s">
        <v>86</v>
      </c>
      <c r="C248" s="2" t="str">
        <f>VLOOKUP(B248,Data!$A$2:$B$101,2,0)</f>
        <v>Christian Murphy</v>
      </c>
      <c r="D248" s="2" t="s">
        <v>308</v>
      </c>
      <c r="E248" s="2" t="str">
        <f>VLOOKUP(D248,Data!$D$2:$E$121,2,0)</f>
        <v>Develop Around</v>
      </c>
      <c r="F248" s="3">
        <v>45453</v>
      </c>
      <c r="G248" s="42">
        <f>Transactions[[#This Row],[Borrow Date]]+21</f>
        <v>45474</v>
      </c>
      <c r="H248" s="3">
        <v>45474</v>
      </c>
      <c r="I248" s="49" cm="1">
        <f t="array" aca="1" ref="I248" ca="1">_xlfn.IFS(Transactions[[#This Row],[Return Date]]&lt;=Transactions[[#This Row],[Due Date]],0,AND(Transactions[[#This Row],[Return Date]]="",TODAY()&lt;=Transactions[[#This Row],[Due Date]]),0,Transactions[[#This Row],[Return Date]]&gt;Transactions[[#This Row],[Due Date]],Transactions[[#This Row],[Return Date]]-Transactions[[#This Row],[Due Date]],AND(Transactions[[#This Row],[Return Date]]="",TODAY()&gt;Transactions[[#This Row],[Due Date]]),TODAY()-Transactions[[#This Row],[Due Date]])</f>
        <v>0</v>
      </c>
      <c r="J248" s="47">
        <f ca="1">Transactions[[#This Row],[Overdue Days]]</f>
        <v>0</v>
      </c>
    </row>
    <row r="249" spans="1:10">
      <c r="A249" s="2" t="s">
        <v>474</v>
      </c>
      <c r="B249" s="2" t="s">
        <v>13</v>
      </c>
      <c r="C249" s="2" t="str">
        <f>VLOOKUP(B249,Data!$A$2:$B$101,2,0)</f>
        <v>Tracy Sullivan</v>
      </c>
      <c r="D249" s="2" t="s">
        <v>309</v>
      </c>
      <c r="E249" s="2" t="str">
        <f>VLOOKUP(D249,Data!$D$2:$E$121,2,0)</f>
        <v>College Coach Bad</v>
      </c>
      <c r="F249" s="3">
        <v>45556</v>
      </c>
      <c r="G249" s="42">
        <f>Transactions[[#This Row],[Borrow Date]]+21</f>
        <v>45577</v>
      </c>
      <c r="H249" s="3">
        <v>45577</v>
      </c>
      <c r="I249" s="49" cm="1">
        <f t="array" aca="1" ref="I249" ca="1">_xlfn.IFS(Transactions[[#This Row],[Return Date]]&lt;=Transactions[[#This Row],[Due Date]],0,AND(Transactions[[#This Row],[Return Date]]="",TODAY()&lt;=Transactions[[#This Row],[Due Date]]),0,Transactions[[#This Row],[Return Date]]&gt;Transactions[[#This Row],[Due Date]],Transactions[[#This Row],[Return Date]]-Transactions[[#This Row],[Due Date]],AND(Transactions[[#This Row],[Return Date]]="",TODAY()&gt;Transactions[[#This Row],[Due Date]]),TODAY()-Transactions[[#This Row],[Due Date]])</f>
        <v>0</v>
      </c>
      <c r="J249" s="47">
        <f ca="1">Transactions[[#This Row],[Overdue Days]]</f>
        <v>0</v>
      </c>
    </row>
    <row r="250" spans="1:10">
      <c r="A250" s="2" t="s">
        <v>627</v>
      </c>
      <c r="B250" s="2" t="s">
        <v>78</v>
      </c>
      <c r="C250" s="2" t="str">
        <f>VLOOKUP(B250,Data!$A$2:$B$101,2,0)</f>
        <v>Thomas Flores</v>
      </c>
      <c r="D250" s="2" t="s">
        <v>309</v>
      </c>
      <c r="E250" s="2" t="str">
        <f>VLOOKUP(D250,Data!$D$2:$E$121,2,0)</f>
        <v>College Coach Bad</v>
      </c>
      <c r="F250" s="3">
        <v>45304</v>
      </c>
      <c r="G250" s="42">
        <f>Transactions[[#This Row],[Borrow Date]]+21</f>
        <v>45325</v>
      </c>
      <c r="H250" s="3">
        <v>45322</v>
      </c>
      <c r="I250" s="49" cm="1">
        <f t="array" aca="1" ref="I250" ca="1">_xlfn.IFS(Transactions[[#This Row],[Return Date]]&lt;=Transactions[[#This Row],[Due Date]],0,AND(Transactions[[#This Row],[Return Date]]="",TODAY()&lt;=Transactions[[#This Row],[Due Date]]),0,Transactions[[#This Row],[Return Date]]&gt;Transactions[[#This Row],[Due Date]],Transactions[[#This Row],[Return Date]]-Transactions[[#This Row],[Due Date]],AND(Transactions[[#This Row],[Return Date]]="",TODAY()&gt;Transactions[[#This Row],[Due Date]]),TODAY()-Transactions[[#This Row],[Due Date]])</f>
        <v>0</v>
      </c>
      <c r="J250" s="47">
        <f ca="1">Transactions[[#This Row],[Overdue Days]]</f>
        <v>0</v>
      </c>
    </row>
    <row r="251" spans="1:10">
      <c r="A251" s="2" t="s">
        <v>601</v>
      </c>
      <c r="B251" s="2" t="s">
        <v>91</v>
      </c>
      <c r="C251" s="2" t="str">
        <f>VLOOKUP(B251,Data!$A$2:$B$101,2,0)</f>
        <v>Martin Walker</v>
      </c>
      <c r="D251" s="2" t="s">
        <v>310</v>
      </c>
      <c r="E251" s="2" t="str">
        <f>VLOOKUP(D251,Data!$D$2:$E$121,2,0)</f>
        <v>Write Class</v>
      </c>
      <c r="F251" s="3">
        <v>45492</v>
      </c>
      <c r="G251" s="42">
        <f>Transactions[[#This Row],[Borrow Date]]+21</f>
        <v>45513</v>
      </c>
      <c r="H251" s="3">
        <v>45508</v>
      </c>
      <c r="I251" s="49" cm="1">
        <f t="array" aca="1" ref="I251" ca="1">_xlfn.IFS(Transactions[[#This Row],[Return Date]]&lt;=Transactions[[#This Row],[Due Date]],0,AND(Transactions[[#This Row],[Return Date]]="",TODAY()&lt;=Transactions[[#This Row],[Due Date]]),0,Transactions[[#This Row],[Return Date]]&gt;Transactions[[#This Row],[Due Date]],Transactions[[#This Row],[Return Date]]-Transactions[[#This Row],[Due Date]],AND(Transactions[[#This Row],[Return Date]]="",TODAY()&gt;Transactions[[#This Row],[Due Date]]),TODAY()-Transactions[[#This Row],[Due Date]])</f>
        <v>0</v>
      </c>
      <c r="J251" s="47">
        <f ca="1">Transactions[[#This Row],[Overdue Days]]</f>
        <v>0</v>
      </c>
    </row>
    <row r="252" spans="1:10">
      <c r="A252" s="2" t="s">
        <v>630</v>
      </c>
      <c r="B252" s="2" t="s">
        <v>88</v>
      </c>
      <c r="C252" s="2" t="str">
        <f>VLOOKUP(B252,Data!$A$2:$B$101,2,0)</f>
        <v>Collin Mcdonald</v>
      </c>
      <c r="D252" s="2" t="s">
        <v>310</v>
      </c>
      <c r="E252" s="2" t="str">
        <f>VLOOKUP(D252,Data!$D$2:$E$121,2,0)</f>
        <v>Write Class</v>
      </c>
      <c r="F252" s="3">
        <v>45567</v>
      </c>
      <c r="G252" s="42">
        <f>Transactions[[#This Row],[Borrow Date]]+21</f>
        <v>45588</v>
      </c>
      <c r="H252" s="3">
        <v>45593</v>
      </c>
      <c r="I252" s="49" cm="1">
        <f t="array" aca="1" ref="I252" ca="1">_xlfn.IFS(Transactions[[#This Row],[Return Date]]&lt;=Transactions[[#This Row],[Due Date]],0,AND(Transactions[[#This Row],[Return Date]]="",TODAY()&lt;=Transactions[[#This Row],[Due Date]]),0,Transactions[[#This Row],[Return Date]]&gt;Transactions[[#This Row],[Due Date]],Transactions[[#This Row],[Return Date]]-Transactions[[#This Row],[Due Date]],AND(Transactions[[#This Row],[Return Date]]="",TODAY()&gt;Transactions[[#This Row],[Due Date]]),TODAY()-Transactions[[#This Row],[Due Date]])</f>
        <v>5</v>
      </c>
      <c r="J252" s="47">
        <f ca="1">Transactions[[#This Row],[Overdue Days]]</f>
        <v>5</v>
      </c>
    </row>
    <row r="253" spans="1:10">
      <c r="A253" s="2" t="s">
        <v>590</v>
      </c>
      <c r="B253" s="2" t="s">
        <v>31</v>
      </c>
      <c r="C253" s="2" t="str">
        <f>VLOOKUP(B253,Data!$A$2:$B$101,2,0)</f>
        <v>John Wright</v>
      </c>
      <c r="D253" s="2" t="s">
        <v>311</v>
      </c>
      <c r="E253" s="2" t="str">
        <f>VLOOKUP(D253,Data!$D$2:$E$121,2,0)</f>
        <v>Better Forward View</v>
      </c>
      <c r="F253" s="3">
        <v>45295</v>
      </c>
      <c r="G253" s="42">
        <f>Transactions[[#This Row],[Borrow Date]]+21</f>
        <v>45316</v>
      </c>
      <c r="H253" s="3">
        <v>45314</v>
      </c>
      <c r="I253" s="49" cm="1">
        <f t="array" aca="1" ref="I253" ca="1">_xlfn.IFS(Transactions[[#This Row],[Return Date]]&lt;=Transactions[[#This Row],[Due Date]],0,AND(Transactions[[#This Row],[Return Date]]="",TODAY()&lt;=Transactions[[#This Row],[Due Date]]),0,Transactions[[#This Row],[Return Date]]&gt;Transactions[[#This Row],[Due Date]],Transactions[[#This Row],[Return Date]]-Transactions[[#This Row],[Due Date]],AND(Transactions[[#This Row],[Return Date]]="",TODAY()&gt;Transactions[[#This Row],[Due Date]]),TODAY()-Transactions[[#This Row],[Due Date]])</f>
        <v>0</v>
      </c>
      <c r="J253" s="47">
        <f ca="1">Transactions[[#This Row],[Overdue Days]]</f>
        <v>0</v>
      </c>
    </row>
    <row r="254" spans="1:10">
      <c r="A254" s="2" t="s">
        <v>596</v>
      </c>
      <c r="B254" s="2" t="s">
        <v>79</v>
      </c>
      <c r="C254" s="2" t="str">
        <f>VLOOKUP(B254,Data!$A$2:$B$101,2,0)</f>
        <v>Christopher Fleming</v>
      </c>
      <c r="D254" s="2" t="s">
        <v>311</v>
      </c>
      <c r="E254" s="2" t="str">
        <f>VLOOKUP(D254,Data!$D$2:$E$121,2,0)</f>
        <v>Better Forward View</v>
      </c>
      <c r="F254" s="3">
        <v>45468</v>
      </c>
      <c r="G254" s="42">
        <f>Transactions[[#This Row],[Borrow Date]]+21</f>
        <v>45489</v>
      </c>
      <c r="H254" s="3">
        <v>45493</v>
      </c>
      <c r="I254" s="49" cm="1">
        <f t="array" aca="1" ref="I254" ca="1">_xlfn.IFS(Transactions[[#This Row],[Return Date]]&lt;=Transactions[[#This Row],[Due Date]],0,AND(Transactions[[#This Row],[Return Date]]="",TODAY()&lt;=Transactions[[#This Row],[Due Date]]),0,Transactions[[#This Row],[Return Date]]&gt;Transactions[[#This Row],[Due Date]],Transactions[[#This Row],[Return Date]]-Transactions[[#This Row],[Due Date]],AND(Transactions[[#This Row],[Return Date]]="",TODAY()&gt;Transactions[[#This Row],[Due Date]]),TODAY()-Transactions[[#This Row],[Due Date]])</f>
        <v>4</v>
      </c>
      <c r="J254" s="47">
        <f ca="1">Transactions[[#This Row],[Overdue Days]]</f>
        <v>4</v>
      </c>
    </row>
    <row r="255" spans="1:10">
      <c r="A255" s="2" t="s">
        <v>703</v>
      </c>
      <c r="B255" s="2" t="s">
        <v>83</v>
      </c>
      <c r="C255" s="2" t="str">
        <f>VLOOKUP(B255,Data!$A$2:$B$101,2,0)</f>
        <v>Joshua Ward</v>
      </c>
      <c r="D255" s="2" t="s">
        <v>311</v>
      </c>
      <c r="E255" s="2" t="str">
        <f>VLOOKUP(D255,Data!$D$2:$E$121,2,0)</f>
        <v>Better Forward View</v>
      </c>
      <c r="F255" s="3">
        <v>45301</v>
      </c>
      <c r="G255" s="42">
        <f>Transactions[[#This Row],[Borrow Date]]+21</f>
        <v>45322</v>
      </c>
      <c r="H255" s="3">
        <v>45322</v>
      </c>
      <c r="I255" s="49" cm="1">
        <f t="array" aca="1" ref="I255" ca="1">_xlfn.IFS(Transactions[[#This Row],[Return Date]]&lt;=Transactions[[#This Row],[Due Date]],0,AND(Transactions[[#This Row],[Return Date]]="",TODAY()&lt;=Transactions[[#This Row],[Due Date]]),0,Transactions[[#This Row],[Return Date]]&gt;Transactions[[#This Row],[Due Date]],Transactions[[#This Row],[Return Date]]-Transactions[[#This Row],[Due Date]],AND(Transactions[[#This Row],[Return Date]]="",TODAY()&gt;Transactions[[#This Row],[Due Date]]),TODAY()-Transactions[[#This Row],[Due Date]])</f>
        <v>0</v>
      </c>
      <c r="J255" s="47">
        <f ca="1">Transactions[[#This Row],[Overdue Days]]</f>
        <v>0</v>
      </c>
    </row>
    <row r="256" spans="1:10">
      <c r="A256" s="2" t="s">
        <v>715</v>
      </c>
      <c r="B256" s="2" t="s">
        <v>90</v>
      </c>
      <c r="C256" s="2" t="str">
        <f>VLOOKUP(B256,Data!$A$2:$B$101,2,0)</f>
        <v>Edward Price</v>
      </c>
      <c r="D256" s="2" t="s">
        <v>311</v>
      </c>
      <c r="E256" s="2" t="str">
        <f>VLOOKUP(D256,Data!$D$2:$E$121,2,0)</f>
        <v>Better Forward View</v>
      </c>
      <c r="F256" s="3">
        <v>45592</v>
      </c>
      <c r="G256" s="42">
        <f>Transactions[[#This Row],[Borrow Date]]+21</f>
        <v>45613</v>
      </c>
      <c r="H256" s="3">
        <v>45613</v>
      </c>
      <c r="I256" s="49" cm="1">
        <f t="array" aca="1" ref="I256" ca="1">_xlfn.IFS(Transactions[[#This Row],[Return Date]]&lt;=Transactions[[#This Row],[Due Date]],0,AND(Transactions[[#This Row],[Return Date]]="",TODAY()&lt;=Transactions[[#This Row],[Due Date]]),0,Transactions[[#This Row],[Return Date]]&gt;Transactions[[#This Row],[Due Date]],Transactions[[#This Row],[Return Date]]-Transactions[[#This Row],[Due Date]],AND(Transactions[[#This Row],[Return Date]]="",TODAY()&gt;Transactions[[#This Row],[Due Date]]),TODAY()-Transactions[[#This Row],[Due Date]])</f>
        <v>0</v>
      </c>
      <c r="J256" s="47">
        <f ca="1">Transactions[[#This Row],[Overdue Days]]</f>
        <v>0</v>
      </c>
    </row>
    <row r="257" spans="1:10">
      <c r="A257" s="2" t="s">
        <v>578</v>
      </c>
      <c r="B257" s="2" t="s">
        <v>12</v>
      </c>
      <c r="C257" s="2" t="str">
        <f>VLOOKUP(B257,Data!$A$2:$B$101,2,0)</f>
        <v>Jeffrey Garrett</v>
      </c>
      <c r="D257" s="2" t="s">
        <v>312</v>
      </c>
      <c r="E257" s="2" t="str">
        <f>VLOOKUP(D257,Data!$D$2:$E$121,2,0)</f>
        <v>Return Authority Question</v>
      </c>
      <c r="F257" s="3">
        <v>45547</v>
      </c>
      <c r="G257" s="42">
        <f>Transactions[[#This Row],[Borrow Date]]+21</f>
        <v>45568</v>
      </c>
      <c r="H257" s="3">
        <v>45570</v>
      </c>
      <c r="I257" s="49" cm="1">
        <f t="array" aca="1" ref="I257" ca="1">_xlfn.IFS(Transactions[[#This Row],[Return Date]]&lt;=Transactions[[#This Row],[Due Date]],0,AND(Transactions[[#This Row],[Return Date]]="",TODAY()&lt;=Transactions[[#This Row],[Due Date]]),0,Transactions[[#This Row],[Return Date]]&gt;Transactions[[#This Row],[Due Date]],Transactions[[#This Row],[Return Date]]-Transactions[[#This Row],[Due Date]],AND(Transactions[[#This Row],[Return Date]]="",TODAY()&gt;Transactions[[#This Row],[Due Date]]),TODAY()-Transactions[[#This Row],[Due Date]])</f>
        <v>2</v>
      </c>
      <c r="J257" s="47">
        <f ca="1">Transactions[[#This Row],[Overdue Days]]</f>
        <v>2</v>
      </c>
    </row>
    <row r="258" spans="1:10">
      <c r="A258" s="2" t="s">
        <v>719</v>
      </c>
      <c r="B258" s="2" t="s">
        <v>3</v>
      </c>
      <c r="C258" s="2" t="str">
        <f>VLOOKUP(B258,Data!$A$2:$B$101,2,0)</f>
        <v>Robert Patel</v>
      </c>
      <c r="D258" s="2" t="s">
        <v>312</v>
      </c>
      <c r="E258" s="2" t="str">
        <f>VLOOKUP(D258,Data!$D$2:$E$121,2,0)</f>
        <v>Return Authority Question</v>
      </c>
      <c r="F258" s="3">
        <v>45486</v>
      </c>
      <c r="G258" s="42">
        <f>Transactions[[#This Row],[Borrow Date]]+21</f>
        <v>45507</v>
      </c>
      <c r="H258" s="3">
        <v>45502</v>
      </c>
      <c r="I258" s="49" cm="1">
        <f t="array" aca="1" ref="I258" ca="1">_xlfn.IFS(Transactions[[#This Row],[Return Date]]&lt;=Transactions[[#This Row],[Due Date]],0,AND(Transactions[[#This Row],[Return Date]]="",TODAY()&lt;=Transactions[[#This Row],[Due Date]]),0,Transactions[[#This Row],[Return Date]]&gt;Transactions[[#This Row],[Due Date]],Transactions[[#This Row],[Return Date]]-Transactions[[#This Row],[Due Date]],AND(Transactions[[#This Row],[Return Date]]="",TODAY()&gt;Transactions[[#This Row],[Due Date]]),TODAY()-Transactions[[#This Row],[Due Date]])</f>
        <v>0</v>
      </c>
      <c r="J258" s="47">
        <f ca="1">Transactions[[#This Row],[Overdue Days]]</f>
        <v>0</v>
      </c>
    </row>
    <row r="259" spans="1:10">
      <c r="A259" s="2" t="s">
        <v>738</v>
      </c>
      <c r="B259" s="2" t="s">
        <v>8</v>
      </c>
      <c r="C259" s="2" t="str">
        <f>VLOOKUP(B259,Data!$A$2:$B$101,2,0)</f>
        <v>Nicholas Wyatt</v>
      </c>
      <c r="D259" s="2" t="s">
        <v>312</v>
      </c>
      <c r="E259" s="2" t="str">
        <f>VLOOKUP(D259,Data!$D$2:$E$121,2,0)</f>
        <v>Return Authority Question</v>
      </c>
      <c r="F259" s="3">
        <v>45568</v>
      </c>
      <c r="G259" s="42">
        <f>Transactions[[#This Row],[Borrow Date]]+21</f>
        <v>45589</v>
      </c>
      <c r="H259" s="3">
        <v>45586</v>
      </c>
      <c r="I259" s="49" cm="1">
        <f t="array" aca="1" ref="I259" ca="1">_xlfn.IFS(Transactions[[#This Row],[Return Date]]&lt;=Transactions[[#This Row],[Due Date]],0,AND(Transactions[[#This Row],[Return Date]]="",TODAY()&lt;=Transactions[[#This Row],[Due Date]]),0,Transactions[[#This Row],[Return Date]]&gt;Transactions[[#This Row],[Due Date]],Transactions[[#This Row],[Return Date]]-Transactions[[#This Row],[Due Date]],AND(Transactions[[#This Row],[Return Date]]="",TODAY()&gt;Transactions[[#This Row],[Due Date]]),TODAY()-Transactions[[#This Row],[Due Date]])</f>
        <v>0</v>
      </c>
      <c r="J259" s="47">
        <f ca="1">Transactions[[#This Row],[Overdue Days]]</f>
        <v>0</v>
      </c>
    </row>
    <row r="260" spans="1:10">
      <c r="A260" s="2" t="s">
        <v>544</v>
      </c>
      <c r="B260" s="2" t="s">
        <v>59</v>
      </c>
      <c r="C260" s="2" t="str">
        <f>VLOOKUP(B260,Data!$A$2:$B$101,2,0)</f>
        <v>Amy Shaw</v>
      </c>
      <c r="D260" s="2" t="s">
        <v>313</v>
      </c>
      <c r="E260" s="2" t="str">
        <f>VLOOKUP(D260,Data!$D$2:$E$121,2,0)</f>
        <v>Here Glass Believe</v>
      </c>
      <c r="F260" s="3">
        <v>45411</v>
      </c>
      <c r="G260" s="42">
        <f>Transactions[[#This Row],[Borrow Date]]+21</f>
        <v>45432</v>
      </c>
      <c r="H260" s="3">
        <v>45435</v>
      </c>
      <c r="I260" s="49" cm="1">
        <f t="array" aca="1" ref="I260" ca="1">_xlfn.IFS(Transactions[[#This Row],[Return Date]]&lt;=Transactions[[#This Row],[Due Date]],0,AND(Transactions[[#This Row],[Return Date]]="",TODAY()&lt;=Transactions[[#This Row],[Due Date]]),0,Transactions[[#This Row],[Return Date]]&gt;Transactions[[#This Row],[Due Date]],Transactions[[#This Row],[Return Date]]-Transactions[[#This Row],[Due Date]],AND(Transactions[[#This Row],[Return Date]]="",TODAY()&gt;Transactions[[#This Row],[Due Date]]),TODAY()-Transactions[[#This Row],[Due Date]])</f>
        <v>3</v>
      </c>
      <c r="J260" s="47">
        <f ca="1">Transactions[[#This Row],[Overdue Days]]</f>
        <v>3</v>
      </c>
    </row>
    <row r="261" spans="1:10">
      <c r="A261" s="2" t="s">
        <v>740</v>
      </c>
      <c r="B261" s="2" t="s">
        <v>49</v>
      </c>
      <c r="C261" s="2" t="str">
        <f>VLOOKUP(B261,Data!$A$2:$B$101,2,0)</f>
        <v>Marcus Navarro</v>
      </c>
      <c r="D261" s="2" t="s">
        <v>313</v>
      </c>
      <c r="E261" s="2" t="str">
        <f>VLOOKUP(D261,Data!$D$2:$E$121,2,0)</f>
        <v>Here Glass Believe</v>
      </c>
      <c r="F261" s="3">
        <v>45554</v>
      </c>
      <c r="G261" s="42">
        <f>Transactions[[#This Row],[Borrow Date]]+21</f>
        <v>45575</v>
      </c>
      <c r="H261" s="3">
        <v>45575</v>
      </c>
      <c r="I261" s="49" cm="1">
        <f t="array" aca="1" ref="I261" ca="1">_xlfn.IFS(Transactions[[#This Row],[Return Date]]&lt;=Transactions[[#This Row],[Due Date]],0,AND(Transactions[[#This Row],[Return Date]]="",TODAY()&lt;=Transactions[[#This Row],[Due Date]]),0,Transactions[[#This Row],[Return Date]]&gt;Transactions[[#This Row],[Due Date]],Transactions[[#This Row],[Return Date]]-Transactions[[#This Row],[Due Date]],AND(Transactions[[#This Row],[Return Date]]="",TODAY()&gt;Transactions[[#This Row],[Due Date]]),TODAY()-Transactions[[#This Row],[Due Date]])</f>
        <v>0</v>
      </c>
      <c r="J261" s="47">
        <f ca="1">Transactions[[#This Row],[Overdue Days]]</f>
        <v>0</v>
      </c>
    </row>
    <row r="262" spans="1:10">
      <c r="A262" s="2" t="s">
        <v>459</v>
      </c>
      <c r="B262" s="2" t="s">
        <v>33</v>
      </c>
      <c r="C262" s="2" t="str">
        <f>VLOOKUP(B262,Data!$A$2:$B$101,2,0)</f>
        <v>Jason Oconnor</v>
      </c>
      <c r="D262" s="2" t="s">
        <v>314</v>
      </c>
      <c r="E262" s="2" t="str">
        <f>VLOOKUP(D262,Data!$D$2:$E$121,2,0)</f>
        <v>Old Rich</v>
      </c>
      <c r="F262" s="3">
        <v>45366</v>
      </c>
      <c r="G262" s="42">
        <f>Transactions[[#This Row],[Borrow Date]]+21</f>
        <v>45387</v>
      </c>
      <c r="H262" s="3">
        <v>45392</v>
      </c>
      <c r="I262" s="49" cm="1">
        <f t="array" aca="1" ref="I262" ca="1">_xlfn.IFS(Transactions[[#This Row],[Return Date]]&lt;=Transactions[[#This Row],[Due Date]],0,AND(Transactions[[#This Row],[Return Date]]="",TODAY()&lt;=Transactions[[#This Row],[Due Date]]),0,Transactions[[#This Row],[Return Date]]&gt;Transactions[[#This Row],[Due Date]],Transactions[[#This Row],[Return Date]]-Transactions[[#This Row],[Due Date]],AND(Transactions[[#This Row],[Return Date]]="",TODAY()&gt;Transactions[[#This Row],[Due Date]]),TODAY()-Transactions[[#This Row],[Due Date]])</f>
        <v>5</v>
      </c>
      <c r="J262" s="47">
        <f ca="1">Transactions[[#This Row],[Overdue Days]]</f>
        <v>5</v>
      </c>
    </row>
    <row r="263" spans="1:10">
      <c r="A263" s="2" t="s">
        <v>730</v>
      </c>
      <c r="B263" s="2" t="s">
        <v>81</v>
      </c>
      <c r="C263" s="2" t="str">
        <f>VLOOKUP(B263,Data!$A$2:$B$101,2,0)</f>
        <v>Latoya Tucker</v>
      </c>
      <c r="D263" s="2" t="s">
        <v>314</v>
      </c>
      <c r="E263" s="2" t="str">
        <f>VLOOKUP(D263,Data!$D$2:$E$121,2,0)</f>
        <v>Old Rich</v>
      </c>
      <c r="F263" s="3">
        <v>45320</v>
      </c>
      <c r="G263" s="42">
        <f>Transactions[[#This Row],[Borrow Date]]+21</f>
        <v>45341</v>
      </c>
      <c r="H263" s="3">
        <v>45336</v>
      </c>
      <c r="I263" s="49" cm="1">
        <f t="array" aca="1" ref="I263" ca="1">_xlfn.IFS(Transactions[[#This Row],[Return Date]]&lt;=Transactions[[#This Row],[Due Date]],0,AND(Transactions[[#This Row],[Return Date]]="",TODAY()&lt;=Transactions[[#This Row],[Due Date]]),0,Transactions[[#This Row],[Return Date]]&gt;Transactions[[#This Row],[Due Date]],Transactions[[#This Row],[Return Date]]-Transactions[[#This Row],[Due Date]],AND(Transactions[[#This Row],[Return Date]]="",TODAY()&gt;Transactions[[#This Row],[Due Date]]),TODAY()-Transactions[[#This Row],[Due Date]])</f>
        <v>0</v>
      </c>
      <c r="J263" s="47">
        <f ca="1">Transactions[[#This Row],[Overdue Days]]</f>
        <v>0</v>
      </c>
    </row>
    <row r="264" spans="1:10">
      <c r="A264" s="2" t="s">
        <v>450</v>
      </c>
      <c r="B264" s="2" t="s">
        <v>72</v>
      </c>
      <c r="C264" s="2" t="str">
        <f>VLOOKUP(B264,Data!$A$2:$B$101,2,0)</f>
        <v>Stephanie Rodriguez</v>
      </c>
      <c r="D264" s="2" t="s">
        <v>315</v>
      </c>
      <c r="E264" s="2" t="str">
        <f>VLOOKUP(D264,Data!$D$2:$E$121,2,0)</f>
        <v>Somebody Opportunity</v>
      </c>
      <c r="F264" s="3">
        <v>45300</v>
      </c>
      <c r="G264" s="42">
        <f>Transactions[[#This Row],[Borrow Date]]+21</f>
        <v>45321</v>
      </c>
      <c r="H264" s="3">
        <v>45316</v>
      </c>
      <c r="I264" s="49" cm="1">
        <f t="array" aca="1" ref="I264" ca="1">_xlfn.IFS(Transactions[[#This Row],[Return Date]]&lt;=Transactions[[#This Row],[Due Date]],0,AND(Transactions[[#This Row],[Return Date]]="",TODAY()&lt;=Transactions[[#This Row],[Due Date]]),0,Transactions[[#This Row],[Return Date]]&gt;Transactions[[#This Row],[Due Date]],Transactions[[#This Row],[Return Date]]-Transactions[[#This Row],[Due Date]],AND(Transactions[[#This Row],[Return Date]]="",TODAY()&gt;Transactions[[#This Row],[Due Date]]),TODAY()-Transactions[[#This Row],[Due Date]])</f>
        <v>0</v>
      </c>
      <c r="J264" s="47">
        <f ca="1">Transactions[[#This Row],[Overdue Days]]</f>
        <v>0</v>
      </c>
    </row>
    <row r="265" spans="1:10">
      <c r="A265" s="2" t="s">
        <v>471</v>
      </c>
      <c r="B265" s="2" t="s">
        <v>61</v>
      </c>
      <c r="C265" s="2" t="str">
        <f>VLOOKUP(B265,Data!$A$2:$B$101,2,0)</f>
        <v>Scott Howell</v>
      </c>
      <c r="D265" s="2" t="s">
        <v>315</v>
      </c>
      <c r="E265" s="2" t="str">
        <f>VLOOKUP(D265,Data!$D$2:$E$121,2,0)</f>
        <v>Somebody Opportunity</v>
      </c>
      <c r="F265" s="3">
        <v>45340</v>
      </c>
      <c r="G265" s="42">
        <f>Transactions[[#This Row],[Borrow Date]]+21</f>
        <v>45361</v>
      </c>
      <c r="H265" s="3">
        <v>45366</v>
      </c>
      <c r="I265" s="49" cm="1">
        <f t="array" aca="1" ref="I265" ca="1">_xlfn.IFS(Transactions[[#This Row],[Return Date]]&lt;=Transactions[[#This Row],[Due Date]],0,AND(Transactions[[#This Row],[Return Date]]="",TODAY()&lt;=Transactions[[#This Row],[Due Date]]),0,Transactions[[#This Row],[Return Date]]&gt;Transactions[[#This Row],[Due Date]],Transactions[[#This Row],[Return Date]]-Transactions[[#This Row],[Due Date]],AND(Transactions[[#This Row],[Return Date]]="",TODAY()&gt;Transactions[[#This Row],[Due Date]]),TODAY()-Transactions[[#This Row],[Due Date]])</f>
        <v>5</v>
      </c>
      <c r="J265" s="47">
        <f ca="1">Transactions[[#This Row],[Overdue Days]]</f>
        <v>5</v>
      </c>
    </row>
    <row r="266" spans="1:10">
      <c r="A266" s="2" t="s">
        <v>473</v>
      </c>
      <c r="B266" s="2" t="s">
        <v>76</v>
      </c>
      <c r="C266" s="2" t="str">
        <f>VLOOKUP(B266,Data!$A$2:$B$101,2,0)</f>
        <v>Jennifer Robinson</v>
      </c>
      <c r="D266" s="2" t="s">
        <v>315</v>
      </c>
      <c r="E266" s="2" t="str">
        <f>VLOOKUP(D266,Data!$D$2:$E$121,2,0)</f>
        <v>Somebody Opportunity</v>
      </c>
      <c r="F266" s="3">
        <v>45559</v>
      </c>
      <c r="G266" s="42">
        <f>Transactions[[#This Row],[Borrow Date]]+21</f>
        <v>45580</v>
      </c>
      <c r="H266" s="3">
        <v>45576</v>
      </c>
      <c r="I266" s="49" cm="1">
        <f t="array" aca="1" ref="I266" ca="1">_xlfn.IFS(Transactions[[#This Row],[Return Date]]&lt;=Transactions[[#This Row],[Due Date]],0,AND(Transactions[[#This Row],[Return Date]]="",TODAY()&lt;=Transactions[[#This Row],[Due Date]]),0,Transactions[[#This Row],[Return Date]]&gt;Transactions[[#This Row],[Due Date]],Transactions[[#This Row],[Return Date]]-Transactions[[#This Row],[Due Date]],AND(Transactions[[#This Row],[Return Date]]="",TODAY()&gt;Transactions[[#This Row],[Due Date]]),TODAY()-Transactions[[#This Row],[Due Date]])</f>
        <v>0</v>
      </c>
      <c r="J266" s="47">
        <f ca="1">Transactions[[#This Row],[Overdue Days]]</f>
        <v>0</v>
      </c>
    </row>
    <row r="267" spans="1:10">
      <c r="A267" s="2" t="s">
        <v>515</v>
      </c>
      <c r="B267" s="2" t="s">
        <v>83</v>
      </c>
      <c r="C267" s="2" t="str">
        <f>VLOOKUP(B267,Data!$A$2:$B$101,2,0)</f>
        <v>Joshua Ward</v>
      </c>
      <c r="D267" s="2" t="s">
        <v>316</v>
      </c>
      <c r="E267" s="2" t="str">
        <f>VLOOKUP(D267,Data!$D$2:$E$121,2,0)</f>
        <v>Issue Act</v>
      </c>
      <c r="F267" s="3">
        <v>45613</v>
      </c>
      <c r="G267" s="42">
        <f>Transactions[[#This Row],[Borrow Date]]+21</f>
        <v>45634</v>
      </c>
      <c r="H267" s="3">
        <v>45639</v>
      </c>
      <c r="I267" s="49" cm="1">
        <f t="array" aca="1" ref="I267" ca="1">_xlfn.IFS(Transactions[[#This Row],[Return Date]]&lt;=Transactions[[#This Row],[Due Date]],0,AND(Transactions[[#This Row],[Return Date]]="",TODAY()&lt;=Transactions[[#This Row],[Due Date]]),0,Transactions[[#This Row],[Return Date]]&gt;Transactions[[#This Row],[Due Date]],Transactions[[#This Row],[Return Date]]-Transactions[[#This Row],[Due Date]],AND(Transactions[[#This Row],[Return Date]]="",TODAY()&gt;Transactions[[#This Row],[Due Date]]),TODAY()-Transactions[[#This Row],[Due Date]])</f>
        <v>5</v>
      </c>
      <c r="J267" s="47">
        <f ca="1">Transactions[[#This Row],[Overdue Days]]</f>
        <v>5</v>
      </c>
    </row>
    <row r="268" spans="1:10">
      <c r="A268" s="2" t="s">
        <v>555</v>
      </c>
      <c r="B268" s="2" t="s">
        <v>25</v>
      </c>
      <c r="C268" s="2" t="str">
        <f>VLOOKUP(B268,Data!$A$2:$B$101,2,0)</f>
        <v>Michael Mullins Jr.</v>
      </c>
      <c r="D268" s="2" t="s">
        <v>316</v>
      </c>
      <c r="E268" s="2" t="str">
        <f>VLOOKUP(D268,Data!$D$2:$E$121,2,0)</f>
        <v>Issue Act</v>
      </c>
      <c r="F268" s="3">
        <v>45423</v>
      </c>
      <c r="G268" s="42">
        <f>Transactions[[#This Row],[Borrow Date]]+21</f>
        <v>45444</v>
      </c>
      <c r="H268" s="3">
        <v>45445</v>
      </c>
      <c r="I268" s="49" cm="1">
        <f t="array" aca="1" ref="I268" ca="1">_xlfn.IFS(Transactions[[#This Row],[Return Date]]&lt;=Transactions[[#This Row],[Due Date]],0,AND(Transactions[[#This Row],[Return Date]]="",TODAY()&lt;=Transactions[[#This Row],[Due Date]]),0,Transactions[[#This Row],[Return Date]]&gt;Transactions[[#This Row],[Due Date]],Transactions[[#This Row],[Return Date]]-Transactions[[#This Row],[Due Date]],AND(Transactions[[#This Row],[Return Date]]="",TODAY()&gt;Transactions[[#This Row],[Due Date]]),TODAY()-Transactions[[#This Row],[Due Date]])</f>
        <v>1</v>
      </c>
      <c r="J268" s="47">
        <f ca="1">Transactions[[#This Row],[Overdue Days]]</f>
        <v>1</v>
      </c>
    </row>
    <row r="269" spans="1:10">
      <c r="A269" s="2" t="s">
        <v>571</v>
      </c>
      <c r="B269" s="2" t="s">
        <v>3</v>
      </c>
      <c r="C269" s="2" t="str">
        <f>VLOOKUP(B269,Data!$A$2:$B$101,2,0)</f>
        <v>Robert Patel</v>
      </c>
      <c r="D269" s="2" t="s">
        <v>317</v>
      </c>
      <c r="E269" s="2" t="str">
        <f>VLOOKUP(D269,Data!$D$2:$E$121,2,0)</f>
        <v>Mean Analysis Behind</v>
      </c>
      <c r="F269" s="3">
        <v>45464</v>
      </c>
      <c r="G269" s="42">
        <f>Transactions[[#This Row],[Borrow Date]]+21</f>
        <v>45485</v>
      </c>
      <c r="H269" s="3">
        <v>45484</v>
      </c>
      <c r="I269" s="49" cm="1">
        <f t="array" aca="1" ref="I269" ca="1">_xlfn.IFS(Transactions[[#This Row],[Return Date]]&lt;=Transactions[[#This Row],[Due Date]],0,AND(Transactions[[#This Row],[Return Date]]="",TODAY()&lt;=Transactions[[#This Row],[Due Date]]),0,Transactions[[#This Row],[Return Date]]&gt;Transactions[[#This Row],[Due Date]],Transactions[[#This Row],[Return Date]]-Transactions[[#This Row],[Due Date]],AND(Transactions[[#This Row],[Return Date]]="",TODAY()&gt;Transactions[[#This Row],[Due Date]]),TODAY()-Transactions[[#This Row],[Due Date]])</f>
        <v>0</v>
      </c>
      <c r="J269" s="47">
        <f ca="1">Transactions[[#This Row],[Overdue Days]]</f>
        <v>0</v>
      </c>
    </row>
    <row r="270" spans="1:10">
      <c r="A270" s="2" t="s">
        <v>637</v>
      </c>
      <c r="B270" s="2" t="s">
        <v>30</v>
      </c>
      <c r="C270" s="2" t="str">
        <f>VLOOKUP(B270,Data!$A$2:$B$101,2,0)</f>
        <v>Tiffany Salazar</v>
      </c>
      <c r="D270" s="2" t="s">
        <v>317</v>
      </c>
      <c r="E270" s="2" t="str">
        <f>VLOOKUP(D270,Data!$D$2:$E$121,2,0)</f>
        <v>Mean Analysis Behind</v>
      </c>
      <c r="F270" s="3">
        <v>45652</v>
      </c>
      <c r="G270" s="42">
        <f>Transactions[[#This Row],[Borrow Date]]+21</f>
        <v>45673</v>
      </c>
      <c r="H270" s="3" t="s">
        <v>748</v>
      </c>
      <c r="I270" s="49" t="e" cm="1">
        <f t="array" aca="1" ref="I270" ca="1">_xlfn.IFS(Transactions[[#This Row],[Return Date]]&lt;=Transactions[[#This Row],[Due Date]],0,AND(Transactions[[#This Row],[Return Date]]="",TODAY()&lt;=Transactions[[#This Row],[Due Date]]),0,Transactions[[#This Row],[Return Date]]&gt;Transactions[[#This Row],[Due Date]],Transactions[[#This Row],[Return Date]]-Transactions[[#This Row],[Due Date]],AND(Transactions[[#This Row],[Return Date]]="",TODAY()&gt;Transactions[[#This Row],[Due Date]]),TODAY()-Transactions[[#This Row],[Due Date]])</f>
        <v>#VALUE!</v>
      </c>
      <c r="J270" s="47" t="e">
        <f ca="1">Transactions[[#This Row],[Overdue Days]]</f>
        <v>#VALUE!</v>
      </c>
    </row>
    <row r="271" spans="1:10">
      <c r="A271" s="2" t="s">
        <v>692</v>
      </c>
      <c r="B271" s="2" t="s">
        <v>59</v>
      </c>
      <c r="C271" s="2" t="str">
        <f>VLOOKUP(B271,Data!$A$2:$B$101,2,0)</f>
        <v>Amy Shaw</v>
      </c>
      <c r="D271" s="2" t="s">
        <v>317</v>
      </c>
      <c r="E271" s="2" t="str">
        <f>VLOOKUP(D271,Data!$D$2:$E$121,2,0)</f>
        <v>Mean Analysis Behind</v>
      </c>
      <c r="F271" s="3">
        <v>45472</v>
      </c>
      <c r="G271" s="42">
        <f>Transactions[[#This Row],[Borrow Date]]+21</f>
        <v>45493</v>
      </c>
      <c r="H271" s="3">
        <v>45497</v>
      </c>
      <c r="I271" s="49" cm="1">
        <f t="array" aca="1" ref="I271" ca="1">_xlfn.IFS(Transactions[[#This Row],[Return Date]]&lt;=Transactions[[#This Row],[Due Date]],0,AND(Transactions[[#This Row],[Return Date]]="",TODAY()&lt;=Transactions[[#This Row],[Due Date]]),0,Transactions[[#This Row],[Return Date]]&gt;Transactions[[#This Row],[Due Date]],Transactions[[#This Row],[Return Date]]-Transactions[[#This Row],[Due Date]],AND(Transactions[[#This Row],[Return Date]]="",TODAY()&gt;Transactions[[#This Row],[Due Date]]),TODAY()-Transactions[[#This Row],[Due Date]])</f>
        <v>4</v>
      </c>
      <c r="J271" s="47">
        <f ca="1">Transactions[[#This Row],[Overdue Days]]</f>
        <v>4</v>
      </c>
    </row>
    <row r="272" spans="1:10">
      <c r="A272" s="2" t="s">
        <v>472</v>
      </c>
      <c r="B272" s="2" t="s">
        <v>90</v>
      </c>
      <c r="C272" s="2" t="str">
        <f>VLOOKUP(B272,Data!$A$2:$B$101,2,0)</f>
        <v>Edward Price</v>
      </c>
      <c r="D272" s="2" t="s">
        <v>318</v>
      </c>
      <c r="E272" s="2" t="str">
        <f>VLOOKUP(D272,Data!$D$2:$E$121,2,0)</f>
        <v>Radio Wait Available Author</v>
      </c>
      <c r="F272" s="3">
        <v>45380</v>
      </c>
      <c r="G272" s="42">
        <f>Transactions[[#This Row],[Borrow Date]]+21</f>
        <v>45401</v>
      </c>
      <c r="H272" s="3">
        <v>45403</v>
      </c>
      <c r="I272" s="49" cm="1">
        <f t="array" aca="1" ref="I272" ca="1">_xlfn.IFS(Transactions[[#This Row],[Return Date]]&lt;=Transactions[[#This Row],[Due Date]],0,AND(Transactions[[#This Row],[Return Date]]="",TODAY()&lt;=Transactions[[#This Row],[Due Date]]),0,Transactions[[#This Row],[Return Date]]&gt;Transactions[[#This Row],[Due Date]],Transactions[[#This Row],[Return Date]]-Transactions[[#This Row],[Due Date]],AND(Transactions[[#This Row],[Return Date]]="",TODAY()&gt;Transactions[[#This Row],[Due Date]]),TODAY()-Transactions[[#This Row],[Due Date]])</f>
        <v>2</v>
      </c>
      <c r="J272" s="47">
        <f ca="1">Transactions[[#This Row],[Overdue Days]]</f>
        <v>2</v>
      </c>
    </row>
    <row r="273" spans="1:10">
      <c r="A273" s="2" t="s">
        <v>495</v>
      </c>
      <c r="B273" s="2" t="s">
        <v>6</v>
      </c>
      <c r="C273" s="2" t="str">
        <f>VLOOKUP(B273,Data!$A$2:$B$101,2,0)</f>
        <v>Sandra Fields</v>
      </c>
      <c r="D273" s="2" t="s">
        <v>318</v>
      </c>
      <c r="E273" s="2" t="str">
        <f>VLOOKUP(D273,Data!$D$2:$E$121,2,0)</f>
        <v>Radio Wait Available Author</v>
      </c>
      <c r="F273" s="3">
        <v>45328</v>
      </c>
      <c r="G273" s="42">
        <f>Transactions[[#This Row],[Borrow Date]]+21</f>
        <v>45349</v>
      </c>
      <c r="H273" s="3">
        <v>45346</v>
      </c>
      <c r="I273" s="49" cm="1">
        <f t="array" aca="1" ref="I273" ca="1">_xlfn.IFS(Transactions[[#This Row],[Return Date]]&lt;=Transactions[[#This Row],[Due Date]],0,AND(Transactions[[#This Row],[Return Date]]="",TODAY()&lt;=Transactions[[#This Row],[Due Date]]),0,Transactions[[#This Row],[Return Date]]&gt;Transactions[[#This Row],[Due Date]],Transactions[[#This Row],[Return Date]]-Transactions[[#This Row],[Due Date]],AND(Transactions[[#This Row],[Return Date]]="",TODAY()&gt;Transactions[[#This Row],[Due Date]]),TODAY()-Transactions[[#This Row],[Due Date]])</f>
        <v>0</v>
      </c>
      <c r="J273" s="47">
        <f ca="1">Transactions[[#This Row],[Overdue Days]]</f>
        <v>0</v>
      </c>
    </row>
    <row r="274" spans="1:10">
      <c r="A274" s="2" t="s">
        <v>702</v>
      </c>
      <c r="B274" s="2" t="s">
        <v>73</v>
      </c>
      <c r="C274" s="2" t="str">
        <f>VLOOKUP(B274,Data!$A$2:$B$101,2,0)</f>
        <v>Stephanie Wells</v>
      </c>
      <c r="D274" s="2" t="s">
        <v>318</v>
      </c>
      <c r="E274" s="2" t="str">
        <f>VLOOKUP(D274,Data!$D$2:$E$121,2,0)</f>
        <v>Radio Wait Available Author</v>
      </c>
      <c r="F274" s="3">
        <v>45427</v>
      </c>
      <c r="G274" s="42">
        <f>Transactions[[#This Row],[Borrow Date]]+21</f>
        <v>45448</v>
      </c>
      <c r="H274" s="3">
        <v>45442</v>
      </c>
      <c r="I274" s="49" cm="1">
        <f t="array" aca="1" ref="I274" ca="1">_xlfn.IFS(Transactions[[#This Row],[Return Date]]&lt;=Transactions[[#This Row],[Due Date]],0,AND(Transactions[[#This Row],[Return Date]]="",TODAY()&lt;=Transactions[[#This Row],[Due Date]]),0,Transactions[[#This Row],[Return Date]]&gt;Transactions[[#This Row],[Due Date]],Transactions[[#This Row],[Return Date]]-Transactions[[#This Row],[Due Date]],AND(Transactions[[#This Row],[Return Date]]="",TODAY()&gt;Transactions[[#This Row],[Due Date]]),TODAY()-Transactions[[#This Row],[Due Date]])</f>
        <v>0</v>
      </c>
      <c r="J274" s="47">
        <f ca="1">Transactions[[#This Row],[Overdue Days]]</f>
        <v>0</v>
      </c>
    </row>
    <row r="275" spans="1:10">
      <c r="A275" s="2" t="s">
        <v>721</v>
      </c>
      <c r="B275" s="2" t="s">
        <v>5</v>
      </c>
      <c r="C275" s="2" t="str">
        <f>VLOOKUP(B275,Data!$A$2:$B$101,2,0)</f>
        <v>Tina Willis</v>
      </c>
      <c r="D275" s="2" t="s">
        <v>318</v>
      </c>
      <c r="E275" s="2" t="str">
        <f>VLOOKUP(D275,Data!$D$2:$E$121,2,0)</f>
        <v>Radio Wait Available Author</v>
      </c>
      <c r="F275" s="3">
        <v>45542</v>
      </c>
      <c r="G275" s="42">
        <f>Transactions[[#This Row],[Borrow Date]]+21</f>
        <v>45563</v>
      </c>
      <c r="H275" s="3">
        <v>45557</v>
      </c>
      <c r="I275" s="49" cm="1">
        <f t="array" aca="1" ref="I275" ca="1">_xlfn.IFS(Transactions[[#This Row],[Return Date]]&lt;=Transactions[[#This Row],[Due Date]],0,AND(Transactions[[#This Row],[Return Date]]="",TODAY()&lt;=Transactions[[#This Row],[Due Date]]),0,Transactions[[#This Row],[Return Date]]&gt;Transactions[[#This Row],[Due Date]],Transactions[[#This Row],[Return Date]]-Transactions[[#This Row],[Due Date]],AND(Transactions[[#This Row],[Return Date]]="",TODAY()&gt;Transactions[[#This Row],[Due Date]]),TODAY()-Transactions[[#This Row],[Due Date]])</f>
        <v>0</v>
      </c>
      <c r="J275" s="47">
        <f ca="1">Transactions[[#This Row],[Overdue Days]]</f>
        <v>0</v>
      </c>
    </row>
    <row r="276" spans="1:10">
      <c r="A276" s="2" t="s">
        <v>567</v>
      </c>
      <c r="B276" s="2" t="s">
        <v>2</v>
      </c>
      <c r="C276" s="2" t="str">
        <f>VLOOKUP(B276,Data!$A$2:$B$101,2,0)</f>
        <v>Frank Clark Jr.</v>
      </c>
      <c r="D276" s="2" t="s">
        <v>319</v>
      </c>
      <c r="E276" s="2" t="str">
        <f>VLOOKUP(D276,Data!$D$2:$E$121,2,0)</f>
        <v>Hold Five Mission</v>
      </c>
      <c r="F276" s="3">
        <v>45653</v>
      </c>
      <c r="G276" s="42">
        <f>Transactions[[#This Row],[Borrow Date]]+21</f>
        <v>45674</v>
      </c>
      <c r="H276" s="3" t="s">
        <v>748</v>
      </c>
      <c r="I276" s="49" t="e" cm="1">
        <f t="array" aca="1" ref="I276" ca="1">_xlfn.IFS(Transactions[[#This Row],[Return Date]]&lt;=Transactions[[#This Row],[Due Date]],0,AND(Transactions[[#This Row],[Return Date]]="",TODAY()&lt;=Transactions[[#This Row],[Due Date]]),0,Transactions[[#This Row],[Return Date]]&gt;Transactions[[#This Row],[Due Date]],Transactions[[#This Row],[Return Date]]-Transactions[[#This Row],[Due Date]],AND(Transactions[[#This Row],[Return Date]]="",TODAY()&gt;Transactions[[#This Row],[Due Date]]),TODAY()-Transactions[[#This Row],[Due Date]])</f>
        <v>#VALUE!</v>
      </c>
      <c r="J276" s="47" t="e">
        <f ca="1">Transactions[[#This Row],[Overdue Days]]</f>
        <v>#VALUE!</v>
      </c>
    </row>
    <row r="277" spans="1:10">
      <c r="A277" s="2" t="s">
        <v>493</v>
      </c>
      <c r="B277" s="2" t="s">
        <v>41</v>
      </c>
      <c r="C277" s="2" t="str">
        <f>VLOOKUP(B277,Data!$A$2:$B$101,2,0)</f>
        <v>Dr. Michelle Pierce DDS</v>
      </c>
      <c r="D277" s="2" t="s">
        <v>320</v>
      </c>
      <c r="E277" s="2" t="str">
        <f>VLOOKUP(D277,Data!$D$2:$E$121,2,0)</f>
        <v>Possible Charge</v>
      </c>
      <c r="F277" s="3">
        <v>45446</v>
      </c>
      <c r="G277" s="42">
        <f>Transactions[[#This Row],[Borrow Date]]+21</f>
        <v>45467</v>
      </c>
      <c r="H277" s="3">
        <v>45468</v>
      </c>
      <c r="I277" s="49" cm="1">
        <f t="array" aca="1" ref="I277" ca="1">_xlfn.IFS(Transactions[[#This Row],[Return Date]]&lt;=Transactions[[#This Row],[Due Date]],0,AND(Transactions[[#This Row],[Return Date]]="",TODAY()&lt;=Transactions[[#This Row],[Due Date]]),0,Transactions[[#This Row],[Return Date]]&gt;Transactions[[#This Row],[Due Date]],Transactions[[#This Row],[Return Date]]-Transactions[[#This Row],[Due Date]],AND(Transactions[[#This Row],[Return Date]]="",TODAY()&gt;Transactions[[#This Row],[Due Date]]),TODAY()-Transactions[[#This Row],[Due Date]])</f>
        <v>1</v>
      </c>
      <c r="J277" s="47">
        <f ca="1">Transactions[[#This Row],[Overdue Days]]</f>
        <v>1</v>
      </c>
    </row>
    <row r="278" spans="1:10">
      <c r="A278" s="2" t="s">
        <v>649</v>
      </c>
      <c r="B278" s="2" t="s">
        <v>34</v>
      </c>
      <c r="C278" s="2" t="str">
        <f>VLOOKUP(B278,Data!$A$2:$B$101,2,0)</f>
        <v>Tammy Tucker</v>
      </c>
      <c r="D278" s="2" t="s">
        <v>320</v>
      </c>
      <c r="E278" s="2" t="str">
        <f>VLOOKUP(D278,Data!$D$2:$E$121,2,0)</f>
        <v>Possible Charge</v>
      </c>
      <c r="F278" s="3">
        <v>45506</v>
      </c>
      <c r="G278" s="42">
        <f>Transactions[[#This Row],[Borrow Date]]+21</f>
        <v>45527</v>
      </c>
      <c r="H278" s="3">
        <v>45525</v>
      </c>
      <c r="I278" s="49" cm="1">
        <f t="array" aca="1" ref="I278" ca="1">_xlfn.IFS(Transactions[[#This Row],[Return Date]]&lt;=Transactions[[#This Row],[Due Date]],0,AND(Transactions[[#This Row],[Return Date]]="",TODAY()&lt;=Transactions[[#This Row],[Due Date]]),0,Transactions[[#This Row],[Return Date]]&gt;Transactions[[#This Row],[Due Date]],Transactions[[#This Row],[Return Date]]-Transactions[[#This Row],[Due Date]],AND(Transactions[[#This Row],[Return Date]]="",TODAY()&gt;Transactions[[#This Row],[Due Date]]),TODAY()-Transactions[[#This Row],[Due Date]])</f>
        <v>0</v>
      </c>
      <c r="J278" s="47">
        <f ca="1">Transactions[[#This Row],[Overdue Days]]</f>
        <v>0</v>
      </c>
    </row>
    <row r="279" spans="1:10">
      <c r="A279" s="2" t="s">
        <v>669</v>
      </c>
      <c r="B279" s="2" t="s">
        <v>78</v>
      </c>
      <c r="C279" s="2" t="str">
        <f>VLOOKUP(B279,Data!$A$2:$B$101,2,0)</f>
        <v>Thomas Flores</v>
      </c>
      <c r="D279" s="2" t="s">
        <v>320</v>
      </c>
      <c r="E279" s="2" t="str">
        <f>VLOOKUP(D279,Data!$D$2:$E$121,2,0)</f>
        <v>Possible Charge</v>
      </c>
      <c r="F279" s="3">
        <v>45507</v>
      </c>
      <c r="G279" s="42">
        <f>Transactions[[#This Row],[Borrow Date]]+21</f>
        <v>45528</v>
      </c>
      <c r="H279" s="3">
        <v>45528</v>
      </c>
      <c r="I279" s="49" cm="1">
        <f t="array" aca="1" ref="I279" ca="1">_xlfn.IFS(Transactions[[#This Row],[Return Date]]&lt;=Transactions[[#This Row],[Due Date]],0,AND(Transactions[[#This Row],[Return Date]]="",TODAY()&lt;=Transactions[[#This Row],[Due Date]]),0,Transactions[[#This Row],[Return Date]]&gt;Transactions[[#This Row],[Due Date]],Transactions[[#This Row],[Return Date]]-Transactions[[#This Row],[Due Date]],AND(Transactions[[#This Row],[Return Date]]="",TODAY()&gt;Transactions[[#This Row],[Due Date]]),TODAY()-Transactions[[#This Row],[Due Date]])</f>
        <v>0</v>
      </c>
      <c r="J279" s="47">
        <f ca="1">Transactions[[#This Row],[Overdue Days]]</f>
        <v>0</v>
      </c>
    </row>
    <row r="280" spans="1:10">
      <c r="A280" s="2" t="s">
        <v>709</v>
      </c>
      <c r="B280" s="2" t="s">
        <v>45</v>
      </c>
      <c r="C280" s="2" t="str">
        <f>VLOOKUP(B280,Data!$A$2:$B$101,2,0)</f>
        <v>Patrick Garcia</v>
      </c>
      <c r="D280" s="2" t="s">
        <v>320</v>
      </c>
      <c r="E280" s="2" t="str">
        <f>VLOOKUP(D280,Data!$D$2:$E$121,2,0)</f>
        <v>Possible Charge</v>
      </c>
      <c r="F280" s="3">
        <v>45347</v>
      </c>
      <c r="G280" s="42">
        <f>Transactions[[#This Row],[Borrow Date]]+21</f>
        <v>45368</v>
      </c>
      <c r="H280" s="3">
        <v>45362</v>
      </c>
      <c r="I280" s="49" cm="1">
        <f t="array" aca="1" ref="I280" ca="1">_xlfn.IFS(Transactions[[#This Row],[Return Date]]&lt;=Transactions[[#This Row],[Due Date]],0,AND(Transactions[[#This Row],[Return Date]]="",TODAY()&lt;=Transactions[[#This Row],[Due Date]]),0,Transactions[[#This Row],[Return Date]]&gt;Transactions[[#This Row],[Due Date]],Transactions[[#This Row],[Return Date]]-Transactions[[#This Row],[Due Date]],AND(Transactions[[#This Row],[Return Date]]="",TODAY()&gt;Transactions[[#This Row],[Due Date]]),TODAY()-Transactions[[#This Row],[Due Date]])</f>
        <v>0</v>
      </c>
      <c r="J280" s="47">
        <f ca="1">Transactions[[#This Row],[Overdue Days]]</f>
        <v>0</v>
      </c>
    </row>
    <row r="281" spans="1:10">
      <c r="A281" s="2" t="s">
        <v>543</v>
      </c>
      <c r="B281" s="2" t="s">
        <v>76</v>
      </c>
      <c r="C281" s="2" t="str">
        <f>VLOOKUP(B281,Data!$A$2:$B$101,2,0)</f>
        <v>Jennifer Robinson</v>
      </c>
      <c r="D281" s="2" t="s">
        <v>321</v>
      </c>
      <c r="E281" s="2" t="str">
        <f>VLOOKUP(D281,Data!$D$2:$E$121,2,0)</f>
        <v>Four Box</v>
      </c>
      <c r="F281" s="3">
        <v>45499</v>
      </c>
      <c r="G281" s="42">
        <f>Transactions[[#This Row],[Borrow Date]]+21</f>
        <v>45520</v>
      </c>
      <c r="H281" s="3">
        <v>45518</v>
      </c>
      <c r="I281" s="49" cm="1">
        <f t="array" aca="1" ref="I281" ca="1">_xlfn.IFS(Transactions[[#This Row],[Return Date]]&lt;=Transactions[[#This Row],[Due Date]],0,AND(Transactions[[#This Row],[Return Date]]="",TODAY()&lt;=Transactions[[#This Row],[Due Date]]),0,Transactions[[#This Row],[Return Date]]&gt;Transactions[[#This Row],[Due Date]],Transactions[[#This Row],[Return Date]]-Transactions[[#This Row],[Due Date]],AND(Transactions[[#This Row],[Return Date]]="",TODAY()&gt;Transactions[[#This Row],[Due Date]]),TODAY()-Transactions[[#This Row],[Due Date]])</f>
        <v>0</v>
      </c>
      <c r="J281" s="47">
        <f ca="1">Transactions[[#This Row],[Overdue Days]]</f>
        <v>0</v>
      </c>
    </row>
    <row r="282" spans="1:10">
      <c r="A282" s="2" t="s">
        <v>556</v>
      </c>
      <c r="B282" s="2" t="s">
        <v>90</v>
      </c>
      <c r="C282" s="2" t="str">
        <f>VLOOKUP(B282,Data!$A$2:$B$101,2,0)</f>
        <v>Edward Price</v>
      </c>
      <c r="D282" s="2" t="s">
        <v>321</v>
      </c>
      <c r="E282" s="2" t="str">
        <f>VLOOKUP(D282,Data!$D$2:$E$121,2,0)</f>
        <v>Four Box</v>
      </c>
      <c r="F282" s="3">
        <v>45338</v>
      </c>
      <c r="G282" s="42">
        <f>Transactions[[#This Row],[Borrow Date]]+21</f>
        <v>45359</v>
      </c>
      <c r="H282" s="3">
        <v>45354</v>
      </c>
      <c r="I282" s="49" cm="1">
        <f t="array" aca="1" ref="I282" ca="1">_xlfn.IFS(Transactions[[#This Row],[Return Date]]&lt;=Transactions[[#This Row],[Due Date]],0,AND(Transactions[[#This Row],[Return Date]]="",TODAY()&lt;=Transactions[[#This Row],[Due Date]]),0,Transactions[[#This Row],[Return Date]]&gt;Transactions[[#This Row],[Due Date]],Transactions[[#This Row],[Return Date]]-Transactions[[#This Row],[Due Date]],AND(Transactions[[#This Row],[Return Date]]="",TODAY()&gt;Transactions[[#This Row],[Due Date]]),TODAY()-Transactions[[#This Row],[Due Date]])</f>
        <v>0</v>
      </c>
      <c r="J282" s="47">
        <f ca="1">Transactions[[#This Row],[Overdue Days]]</f>
        <v>0</v>
      </c>
    </row>
    <row r="283" spans="1:10">
      <c r="A283" s="2" t="s">
        <v>685</v>
      </c>
      <c r="B283" s="2" t="s">
        <v>46</v>
      </c>
      <c r="C283" s="2" t="str">
        <f>VLOOKUP(B283,Data!$A$2:$B$101,2,0)</f>
        <v>Nichole Davis</v>
      </c>
      <c r="D283" s="2" t="s">
        <v>321</v>
      </c>
      <c r="E283" s="2" t="str">
        <f>VLOOKUP(D283,Data!$D$2:$E$121,2,0)</f>
        <v>Four Box</v>
      </c>
      <c r="F283" s="3">
        <v>45303</v>
      </c>
      <c r="G283" s="42">
        <f>Transactions[[#This Row],[Borrow Date]]+21</f>
        <v>45324</v>
      </c>
      <c r="H283" s="3">
        <v>45321</v>
      </c>
      <c r="I283" s="49" cm="1">
        <f t="array" aca="1" ref="I283" ca="1">_xlfn.IFS(Transactions[[#This Row],[Return Date]]&lt;=Transactions[[#This Row],[Due Date]],0,AND(Transactions[[#This Row],[Return Date]]="",TODAY()&lt;=Transactions[[#This Row],[Due Date]]),0,Transactions[[#This Row],[Return Date]]&gt;Transactions[[#This Row],[Due Date]],Transactions[[#This Row],[Return Date]]-Transactions[[#This Row],[Due Date]],AND(Transactions[[#This Row],[Return Date]]="",TODAY()&gt;Transactions[[#This Row],[Due Date]]),TODAY()-Transactions[[#This Row],[Due Date]])</f>
        <v>0</v>
      </c>
      <c r="J283" s="47">
        <f ca="1">Transactions[[#This Row],[Overdue Days]]</f>
        <v>0</v>
      </c>
    </row>
    <row r="284" spans="1:10">
      <c r="A284" s="2" t="s">
        <v>706</v>
      </c>
      <c r="B284" s="2" t="s">
        <v>48</v>
      </c>
      <c r="C284" s="2" t="str">
        <f>VLOOKUP(B284,Data!$A$2:$B$101,2,0)</f>
        <v>Erica Malone</v>
      </c>
      <c r="D284" s="2" t="s">
        <v>321</v>
      </c>
      <c r="E284" s="2" t="str">
        <f>VLOOKUP(D284,Data!$D$2:$E$121,2,0)</f>
        <v>Four Box</v>
      </c>
      <c r="F284" s="3">
        <v>45500</v>
      </c>
      <c r="G284" s="42">
        <f>Transactions[[#This Row],[Borrow Date]]+21</f>
        <v>45521</v>
      </c>
      <c r="H284" s="3">
        <v>45521</v>
      </c>
      <c r="I284" s="49" cm="1">
        <f t="array" aca="1" ref="I284" ca="1">_xlfn.IFS(Transactions[[#This Row],[Return Date]]&lt;=Transactions[[#This Row],[Due Date]],0,AND(Transactions[[#This Row],[Return Date]]="",TODAY()&lt;=Transactions[[#This Row],[Due Date]]),0,Transactions[[#This Row],[Return Date]]&gt;Transactions[[#This Row],[Due Date]],Transactions[[#This Row],[Return Date]]-Transactions[[#This Row],[Due Date]],AND(Transactions[[#This Row],[Return Date]]="",TODAY()&gt;Transactions[[#This Row],[Due Date]]),TODAY()-Transactions[[#This Row],[Due Date]])</f>
        <v>0</v>
      </c>
      <c r="J284" s="47">
        <f ca="1">Transactions[[#This Row],[Overdue Days]]</f>
        <v>0</v>
      </c>
    </row>
    <row r="285" spans="1:10">
      <c r="A285" s="2" t="s">
        <v>717</v>
      </c>
      <c r="B285" s="2" t="s">
        <v>43</v>
      </c>
      <c r="C285" s="2" t="str">
        <f>VLOOKUP(B285,Data!$A$2:$B$101,2,0)</f>
        <v>Dustin Hall DDS</v>
      </c>
      <c r="D285" s="2" t="s">
        <v>321</v>
      </c>
      <c r="E285" s="2" t="str">
        <f>VLOOKUP(D285,Data!$D$2:$E$121,2,0)</f>
        <v>Four Box</v>
      </c>
      <c r="F285" s="3">
        <v>45606</v>
      </c>
      <c r="G285" s="42">
        <f>Transactions[[#This Row],[Borrow Date]]+21</f>
        <v>45627</v>
      </c>
      <c r="H285" s="3">
        <v>45625</v>
      </c>
      <c r="I285" s="49" cm="1">
        <f t="array" aca="1" ref="I285" ca="1">_xlfn.IFS(Transactions[[#This Row],[Return Date]]&lt;=Transactions[[#This Row],[Due Date]],0,AND(Transactions[[#This Row],[Return Date]]="",TODAY()&lt;=Transactions[[#This Row],[Due Date]]),0,Transactions[[#This Row],[Return Date]]&gt;Transactions[[#This Row],[Due Date]],Transactions[[#This Row],[Return Date]]-Transactions[[#This Row],[Due Date]],AND(Transactions[[#This Row],[Return Date]]="",TODAY()&gt;Transactions[[#This Row],[Due Date]]),TODAY()-Transactions[[#This Row],[Due Date]])</f>
        <v>0</v>
      </c>
      <c r="J285" s="47">
        <f ca="1">Transactions[[#This Row],[Overdue Days]]</f>
        <v>0</v>
      </c>
    </row>
    <row r="286" spans="1:10">
      <c r="A286" s="2" t="s">
        <v>457</v>
      </c>
      <c r="B286" s="2" t="s">
        <v>34</v>
      </c>
      <c r="C286" s="2" t="str">
        <f>VLOOKUP(B286,Data!$A$2:$B$101,2,0)</f>
        <v>Tammy Tucker</v>
      </c>
      <c r="D286" s="2" t="s">
        <v>322</v>
      </c>
      <c r="E286" s="2" t="str">
        <f>VLOOKUP(D286,Data!$D$2:$E$121,2,0)</f>
        <v>Culture For See</v>
      </c>
      <c r="F286" s="3">
        <v>45555</v>
      </c>
      <c r="G286" s="42">
        <f>Transactions[[#This Row],[Borrow Date]]+21</f>
        <v>45576</v>
      </c>
      <c r="H286" s="3">
        <v>45571</v>
      </c>
      <c r="I286" s="49" cm="1">
        <f t="array" aca="1" ref="I286" ca="1">_xlfn.IFS(Transactions[[#This Row],[Return Date]]&lt;=Transactions[[#This Row],[Due Date]],0,AND(Transactions[[#This Row],[Return Date]]="",TODAY()&lt;=Transactions[[#This Row],[Due Date]]),0,Transactions[[#This Row],[Return Date]]&gt;Transactions[[#This Row],[Due Date]],Transactions[[#This Row],[Return Date]]-Transactions[[#This Row],[Due Date]],AND(Transactions[[#This Row],[Return Date]]="",TODAY()&gt;Transactions[[#This Row],[Due Date]]),TODAY()-Transactions[[#This Row],[Due Date]])</f>
        <v>0</v>
      </c>
      <c r="J286" s="47">
        <f ca="1">Transactions[[#This Row],[Overdue Days]]</f>
        <v>0</v>
      </c>
    </row>
    <row r="287" spans="1:10">
      <c r="A287" s="2" t="s">
        <v>477</v>
      </c>
      <c r="B287" s="2" t="s">
        <v>43</v>
      </c>
      <c r="C287" s="2" t="str">
        <f>VLOOKUP(B287,Data!$A$2:$B$101,2,0)</f>
        <v>Dustin Hall DDS</v>
      </c>
      <c r="D287" s="2" t="s">
        <v>322</v>
      </c>
      <c r="E287" s="2" t="str">
        <f>VLOOKUP(D287,Data!$D$2:$E$121,2,0)</f>
        <v>Culture For See</v>
      </c>
      <c r="F287" s="3">
        <v>45404</v>
      </c>
      <c r="G287" s="42">
        <f>Transactions[[#This Row],[Borrow Date]]+21</f>
        <v>45425</v>
      </c>
      <c r="H287" s="3">
        <v>45420</v>
      </c>
      <c r="I287" s="49" cm="1">
        <f t="array" aca="1" ref="I287" ca="1">_xlfn.IFS(Transactions[[#This Row],[Return Date]]&lt;=Transactions[[#This Row],[Due Date]],0,AND(Transactions[[#This Row],[Return Date]]="",TODAY()&lt;=Transactions[[#This Row],[Due Date]]),0,Transactions[[#This Row],[Return Date]]&gt;Transactions[[#This Row],[Due Date]],Transactions[[#This Row],[Return Date]]-Transactions[[#This Row],[Due Date]],AND(Transactions[[#This Row],[Return Date]]="",TODAY()&gt;Transactions[[#This Row],[Due Date]]),TODAY()-Transactions[[#This Row],[Due Date]])</f>
        <v>0</v>
      </c>
      <c r="J287" s="47">
        <f ca="1">Transactions[[#This Row],[Overdue Days]]</f>
        <v>0</v>
      </c>
    </row>
    <row r="288" spans="1:10">
      <c r="A288" s="2" t="s">
        <v>579</v>
      </c>
      <c r="B288" s="2" t="s">
        <v>4</v>
      </c>
      <c r="C288" s="2" t="str">
        <f>VLOOKUP(B288,Data!$A$2:$B$101,2,0)</f>
        <v>Joshua Moran</v>
      </c>
      <c r="D288" s="2" t="s">
        <v>322</v>
      </c>
      <c r="E288" s="2" t="str">
        <f>VLOOKUP(D288,Data!$D$2:$E$121,2,0)</f>
        <v>Culture For See</v>
      </c>
      <c r="F288" s="3">
        <v>45625</v>
      </c>
      <c r="G288" s="42">
        <f>Transactions[[#This Row],[Borrow Date]]+21</f>
        <v>45646</v>
      </c>
      <c r="H288" s="3">
        <v>45651</v>
      </c>
      <c r="I288" s="49" cm="1">
        <f t="array" aca="1" ref="I288" ca="1">_xlfn.IFS(Transactions[[#This Row],[Return Date]]&lt;=Transactions[[#This Row],[Due Date]],0,AND(Transactions[[#This Row],[Return Date]]="",TODAY()&lt;=Transactions[[#This Row],[Due Date]]),0,Transactions[[#This Row],[Return Date]]&gt;Transactions[[#This Row],[Due Date]],Transactions[[#This Row],[Return Date]]-Transactions[[#This Row],[Due Date]],AND(Transactions[[#This Row],[Return Date]]="",TODAY()&gt;Transactions[[#This Row],[Due Date]]),TODAY()-Transactions[[#This Row],[Due Date]])</f>
        <v>5</v>
      </c>
      <c r="J288" s="47">
        <f ca="1">Transactions[[#This Row],[Overdue Days]]</f>
        <v>5</v>
      </c>
    </row>
    <row r="289" spans="1:10">
      <c r="A289" s="2" t="s">
        <v>584</v>
      </c>
      <c r="B289" s="2" t="s">
        <v>32</v>
      </c>
      <c r="C289" s="2" t="str">
        <f>VLOOKUP(B289,Data!$A$2:$B$101,2,0)</f>
        <v>Jose Cox</v>
      </c>
      <c r="D289" s="2" t="s">
        <v>322</v>
      </c>
      <c r="E289" s="2" t="str">
        <f>VLOOKUP(D289,Data!$D$2:$E$121,2,0)</f>
        <v>Culture For See</v>
      </c>
      <c r="F289" s="3">
        <v>45315</v>
      </c>
      <c r="G289" s="42">
        <f>Transactions[[#This Row],[Borrow Date]]+21</f>
        <v>45336</v>
      </c>
      <c r="H289" s="3">
        <v>45341</v>
      </c>
      <c r="I289" s="49" cm="1">
        <f t="array" aca="1" ref="I289" ca="1">_xlfn.IFS(Transactions[[#This Row],[Return Date]]&lt;=Transactions[[#This Row],[Due Date]],0,AND(Transactions[[#This Row],[Return Date]]="",TODAY()&lt;=Transactions[[#This Row],[Due Date]]),0,Transactions[[#This Row],[Return Date]]&gt;Transactions[[#This Row],[Due Date]],Transactions[[#This Row],[Return Date]]-Transactions[[#This Row],[Due Date]],AND(Transactions[[#This Row],[Return Date]]="",TODAY()&gt;Transactions[[#This Row],[Due Date]]),TODAY()-Transactions[[#This Row],[Due Date]])</f>
        <v>5</v>
      </c>
      <c r="J289" s="47">
        <f ca="1">Transactions[[#This Row],[Overdue Days]]</f>
        <v>5</v>
      </c>
    </row>
    <row r="290" spans="1:10">
      <c r="A290" s="2" t="s">
        <v>607</v>
      </c>
      <c r="B290" s="2" t="s">
        <v>53</v>
      </c>
      <c r="C290" s="2" t="str">
        <f>VLOOKUP(B290,Data!$A$2:$B$101,2,0)</f>
        <v>Zachary Harvey</v>
      </c>
      <c r="D290" s="2" t="s">
        <v>322</v>
      </c>
      <c r="E290" s="2" t="str">
        <f>VLOOKUP(D290,Data!$D$2:$E$121,2,0)</f>
        <v>Culture For See</v>
      </c>
      <c r="F290" s="3">
        <v>45563</v>
      </c>
      <c r="G290" s="42">
        <f>Transactions[[#This Row],[Borrow Date]]+21</f>
        <v>45584</v>
      </c>
      <c r="H290" s="3">
        <v>45586</v>
      </c>
      <c r="I290" s="49" cm="1">
        <f t="array" aca="1" ref="I290" ca="1">_xlfn.IFS(Transactions[[#This Row],[Return Date]]&lt;=Transactions[[#This Row],[Due Date]],0,AND(Transactions[[#This Row],[Return Date]]="",TODAY()&lt;=Transactions[[#This Row],[Due Date]]),0,Transactions[[#This Row],[Return Date]]&gt;Transactions[[#This Row],[Due Date]],Transactions[[#This Row],[Return Date]]-Transactions[[#This Row],[Due Date]],AND(Transactions[[#This Row],[Return Date]]="",TODAY()&gt;Transactions[[#This Row],[Due Date]]),TODAY()-Transactions[[#This Row],[Due Date]])</f>
        <v>2</v>
      </c>
      <c r="J290" s="47">
        <f ca="1">Transactions[[#This Row],[Overdue Days]]</f>
        <v>2</v>
      </c>
    </row>
    <row r="291" spans="1:10">
      <c r="A291" s="2" t="s">
        <v>525</v>
      </c>
      <c r="B291" s="2" t="s">
        <v>66</v>
      </c>
      <c r="C291" s="2" t="str">
        <f>VLOOKUP(B291,Data!$A$2:$B$101,2,0)</f>
        <v>Travis Stevens</v>
      </c>
      <c r="D291" s="2" t="s">
        <v>323</v>
      </c>
      <c r="E291" s="2" t="str">
        <f>VLOOKUP(D291,Data!$D$2:$E$121,2,0)</f>
        <v>Understand Foot Pattern</v>
      </c>
      <c r="F291" s="3">
        <v>45332</v>
      </c>
      <c r="G291" s="42">
        <f>Transactions[[#This Row],[Borrow Date]]+21</f>
        <v>45353</v>
      </c>
      <c r="H291" s="3">
        <v>45358</v>
      </c>
      <c r="I291" s="49" cm="1">
        <f t="array" aca="1" ref="I291" ca="1">_xlfn.IFS(Transactions[[#This Row],[Return Date]]&lt;=Transactions[[#This Row],[Due Date]],0,AND(Transactions[[#This Row],[Return Date]]="",TODAY()&lt;=Transactions[[#This Row],[Due Date]]),0,Transactions[[#This Row],[Return Date]]&gt;Transactions[[#This Row],[Due Date]],Transactions[[#This Row],[Return Date]]-Transactions[[#This Row],[Due Date]],AND(Transactions[[#This Row],[Return Date]]="",TODAY()&gt;Transactions[[#This Row],[Due Date]]),TODAY()-Transactions[[#This Row],[Due Date]])</f>
        <v>5</v>
      </c>
      <c r="J291" s="47">
        <f ca="1">Transactions[[#This Row],[Overdue Days]]</f>
        <v>5</v>
      </c>
    </row>
    <row r="292" spans="1:10">
      <c r="A292" s="2" t="s">
        <v>531</v>
      </c>
      <c r="B292" s="2" t="s">
        <v>5</v>
      </c>
      <c r="C292" s="2" t="str">
        <f>VLOOKUP(B292,Data!$A$2:$B$101,2,0)</f>
        <v>Tina Willis</v>
      </c>
      <c r="D292" s="2" t="s">
        <v>323</v>
      </c>
      <c r="E292" s="2" t="str">
        <f>VLOOKUP(D292,Data!$D$2:$E$121,2,0)</f>
        <v>Understand Foot Pattern</v>
      </c>
      <c r="F292" s="3">
        <v>45362</v>
      </c>
      <c r="G292" s="42">
        <f>Transactions[[#This Row],[Borrow Date]]+21</f>
        <v>45383</v>
      </c>
      <c r="H292" s="3">
        <v>45386</v>
      </c>
      <c r="I292" s="49" cm="1">
        <f t="array" aca="1" ref="I292" ca="1">_xlfn.IFS(Transactions[[#This Row],[Return Date]]&lt;=Transactions[[#This Row],[Due Date]],0,AND(Transactions[[#This Row],[Return Date]]="",TODAY()&lt;=Transactions[[#This Row],[Due Date]]),0,Transactions[[#This Row],[Return Date]]&gt;Transactions[[#This Row],[Due Date]],Transactions[[#This Row],[Return Date]]-Transactions[[#This Row],[Due Date]],AND(Transactions[[#This Row],[Return Date]]="",TODAY()&gt;Transactions[[#This Row],[Due Date]]),TODAY()-Transactions[[#This Row],[Due Date]])</f>
        <v>3</v>
      </c>
      <c r="J292" s="47">
        <f ca="1">Transactions[[#This Row],[Overdue Days]]</f>
        <v>3</v>
      </c>
    </row>
    <row r="293" spans="1:10">
      <c r="A293" s="2" t="s">
        <v>620</v>
      </c>
      <c r="B293" s="2" t="s">
        <v>50</v>
      </c>
      <c r="C293" s="2" t="str">
        <f>VLOOKUP(B293,Data!$A$2:$B$101,2,0)</f>
        <v>Susan Moreno</v>
      </c>
      <c r="D293" s="2" t="s">
        <v>323</v>
      </c>
      <c r="E293" s="2" t="str">
        <f>VLOOKUP(D293,Data!$D$2:$E$121,2,0)</f>
        <v>Understand Foot Pattern</v>
      </c>
      <c r="F293" s="3">
        <v>45329</v>
      </c>
      <c r="G293" s="42">
        <f>Transactions[[#This Row],[Borrow Date]]+21</f>
        <v>45350</v>
      </c>
      <c r="H293" s="3">
        <v>45354</v>
      </c>
      <c r="I293" s="49" cm="1">
        <f t="array" aca="1" ref="I293" ca="1">_xlfn.IFS(Transactions[[#This Row],[Return Date]]&lt;=Transactions[[#This Row],[Due Date]],0,AND(Transactions[[#This Row],[Return Date]]="",TODAY()&lt;=Transactions[[#This Row],[Due Date]]),0,Transactions[[#This Row],[Return Date]]&gt;Transactions[[#This Row],[Due Date]],Transactions[[#This Row],[Return Date]]-Transactions[[#This Row],[Due Date]],AND(Transactions[[#This Row],[Return Date]]="",TODAY()&gt;Transactions[[#This Row],[Due Date]]),TODAY()-Transactions[[#This Row],[Due Date]])</f>
        <v>4</v>
      </c>
      <c r="J293" s="47">
        <f ca="1">Transactions[[#This Row],[Overdue Days]]</f>
        <v>4</v>
      </c>
    </row>
    <row r="294" spans="1:10">
      <c r="A294" s="2" t="s">
        <v>451</v>
      </c>
      <c r="B294" s="2" t="s">
        <v>46</v>
      </c>
      <c r="C294" s="2" t="str">
        <f>VLOOKUP(B294,Data!$A$2:$B$101,2,0)</f>
        <v>Nichole Davis</v>
      </c>
      <c r="D294" s="2" t="s">
        <v>324</v>
      </c>
      <c r="E294" s="2" t="str">
        <f>VLOOKUP(D294,Data!$D$2:$E$121,2,0)</f>
        <v>Perhaps Easy Blood Information</v>
      </c>
      <c r="F294" s="3">
        <v>45398</v>
      </c>
      <c r="G294" s="42">
        <f>Transactions[[#This Row],[Borrow Date]]+21</f>
        <v>45419</v>
      </c>
      <c r="H294" s="3">
        <v>45423</v>
      </c>
      <c r="I294" s="49" cm="1">
        <f t="array" aca="1" ref="I294" ca="1">_xlfn.IFS(Transactions[[#This Row],[Return Date]]&lt;=Transactions[[#This Row],[Due Date]],0,AND(Transactions[[#This Row],[Return Date]]="",TODAY()&lt;=Transactions[[#This Row],[Due Date]]),0,Transactions[[#This Row],[Return Date]]&gt;Transactions[[#This Row],[Due Date]],Transactions[[#This Row],[Return Date]]-Transactions[[#This Row],[Due Date]],AND(Transactions[[#This Row],[Return Date]]="",TODAY()&gt;Transactions[[#This Row],[Due Date]]),TODAY()-Transactions[[#This Row],[Due Date]])</f>
        <v>4</v>
      </c>
      <c r="J294" s="47">
        <f ca="1">Transactions[[#This Row],[Overdue Days]]</f>
        <v>4</v>
      </c>
    </row>
    <row r="295" spans="1:10">
      <c r="A295" s="2" t="s">
        <v>646</v>
      </c>
      <c r="B295" s="2" t="s">
        <v>5</v>
      </c>
      <c r="C295" s="2" t="str">
        <f>VLOOKUP(B295,Data!$A$2:$B$101,2,0)</f>
        <v>Tina Willis</v>
      </c>
      <c r="D295" s="2" t="s">
        <v>324</v>
      </c>
      <c r="E295" s="2" t="str">
        <f>VLOOKUP(D295,Data!$D$2:$E$121,2,0)</f>
        <v>Perhaps Easy Blood Information</v>
      </c>
      <c r="F295" s="3">
        <v>45594</v>
      </c>
      <c r="G295" s="42">
        <f>Transactions[[#This Row],[Borrow Date]]+21</f>
        <v>45615</v>
      </c>
      <c r="H295" s="3">
        <v>45613</v>
      </c>
      <c r="I295" s="49" cm="1">
        <f t="array" aca="1" ref="I295" ca="1">_xlfn.IFS(Transactions[[#This Row],[Return Date]]&lt;=Transactions[[#This Row],[Due Date]],0,AND(Transactions[[#This Row],[Return Date]]="",TODAY()&lt;=Transactions[[#This Row],[Due Date]]),0,Transactions[[#This Row],[Return Date]]&gt;Transactions[[#This Row],[Due Date]],Transactions[[#This Row],[Return Date]]-Transactions[[#This Row],[Due Date]],AND(Transactions[[#This Row],[Return Date]]="",TODAY()&gt;Transactions[[#This Row],[Due Date]]),TODAY()-Transactions[[#This Row],[Due Date]])</f>
        <v>0</v>
      </c>
      <c r="J295" s="47">
        <f ca="1">Transactions[[#This Row],[Overdue Days]]</f>
        <v>0</v>
      </c>
    </row>
    <row r="296" spans="1:10">
      <c r="A296" s="2" t="s">
        <v>587</v>
      </c>
      <c r="B296" s="2" t="s">
        <v>95</v>
      </c>
      <c r="C296" s="2" t="str">
        <f>VLOOKUP(B296,Data!$A$2:$B$101,2,0)</f>
        <v>Belinda English</v>
      </c>
      <c r="D296" s="2" t="s">
        <v>325</v>
      </c>
      <c r="E296" s="2" t="str">
        <f>VLOOKUP(D296,Data!$D$2:$E$121,2,0)</f>
        <v>Though Represent Free</v>
      </c>
      <c r="F296" s="3">
        <v>45429</v>
      </c>
      <c r="G296" s="42">
        <f>Transactions[[#This Row],[Borrow Date]]+21</f>
        <v>45450</v>
      </c>
      <c r="H296" s="3">
        <v>45454</v>
      </c>
      <c r="I296" s="49" cm="1">
        <f t="array" aca="1" ref="I296" ca="1">_xlfn.IFS(Transactions[[#This Row],[Return Date]]&lt;=Transactions[[#This Row],[Due Date]],0,AND(Transactions[[#This Row],[Return Date]]="",TODAY()&lt;=Transactions[[#This Row],[Due Date]]),0,Transactions[[#This Row],[Return Date]]&gt;Transactions[[#This Row],[Due Date]],Transactions[[#This Row],[Return Date]]-Transactions[[#This Row],[Due Date]],AND(Transactions[[#This Row],[Return Date]]="",TODAY()&gt;Transactions[[#This Row],[Due Date]]),TODAY()-Transactions[[#This Row],[Due Date]])</f>
        <v>4</v>
      </c>
      <c r="J296" s="47">
        <f ca="1">Transactions[[#This Row],[Overdue Days]]</f>
        <v>4</v>
      </c>
    </row>
    <row r="297" spans="1:10">
      <c r="A297" s="2" t="s">
        <v>643</v>
      </c>
      <c r="B297" s="2" t="s">
        <v>66</v>
      </c>
      <c r="C297" s="2" t="str">
        <f>VLOOKUP(B297,Data!$A$2:$B$101,2,0)</f>
        <v>Travis Stevens</v>
      </c>
      <c r="D297" s="2" t="s">
        <v>325</v>
      </c>
      <c r="E297" s="2" t="str">
        <f>VLOOKUP(D297,Data!$D$2:$E$121,2,0)</f>
        <v>Though Represent Free</v>
      </c>
      <c r="F297" s="3">
        <v>45570</v>
      </c>
      <c r="G297" s="42">
        <f>Transactions[[#This Row],[Borrow Date]]+21</f>
        <v>45591</v>
      </c>
      <c r="H297" s="3">
        <v>45588</v>
      </c>
      <c r="I297" s="49" cm="1">
        <f t="array" aca="1" ref="I297" ca="1">_xlfn.IFS(Transactions[[#This Row],[Return Date]]&lt;=Transactions[[#This Row],[Due Date]],0,AND(Transactions[[#This Row],[Return Date]]="",TODAY()&lt;=Transactions[[#This Row],[Due Date]]),0,Transactions[[#This Row],[Return Date]]&gt;Transactions[[#This Row],[Due Date]],Transactions[[#This Row],[Return Date]]-Transactions[[#This Row],[Due Date]],AND(Transactions[[#This Row],[Return Date]]="",TODAY()&gt;Transactions[[#This Row],[Due Date]]),TODAY()-Transactions[[#This Row],[Due Date]])</f>
        <v>0</v>
      </c>
      <c r="J297" s="47">
        <f ca="1">Transactions[[#This Row],[Overdue Days]]</f>
        <v>0</v>
      </c>
    </row>
    <row r="298" spans="1:10">
      <c r="A298" s="2" t="s">
        <v>698</v>
      </c>
      <c r="B298" s="2" t="s">
        <v>51</v>
      </c>
      <c r="C298" s="2" t="str">
        <f>VLOOKUP(B298,Data!$A$2:$B$101,2,0)</f>
        <v>Charles Hayes</v>
      </c>
      <c r="D298" s="2" t="s">
        <v>325</v>
      </c>
      <c r="E298" s="2" t="str">
        <f>VLOOKUP(D298,Data!$D$2:$E$121,2,0)</f>
        <v>Though Represent Free</v>
      </c>
      <c r="F298" s="3">
        <v>45381</v>
      </c>
      <c r="G298" s="42">
        <f>Transactions[[#This Row],[Borrow Date]]+21</f>
        <v>45402</v>
      </c>
      <c r="H298" s="3">
        <v>45403</v>
      </c>
      <c r="I298" s="49" cm="1">
        <f t="array" aca="1" ref="I298" ca="1">_xlfn.IFS(Transactions[[#This Row],[Return Date]]&lt;=Transactions[[#This Row],[Due Date]],0,AND(Transactions[[#This Row],[Return Date]]="",TODAY()&lt;=Transactions[[#This Row],[Due Date]]),0,Transactions[[#This Row],[Return Date]]&gt;Transactions[[#This Row],[Due Date]],Transactions[[#This Row],[Return Date]]-Transactions[[#This Row],[Due Date]],AND(Transactions[[#This Row],[Return Date]]="",TODAY()&gt;Transactions[[#This Row],[Due Date]]),TODAY()-Transactions[[#This Row],[Due Date]])</f>
        <v>1</v>
      </c>
      <c r="J298" s="47">
        <f ca="1">Transactions[[#This Row],[Overdue Days]]</f>
        <v>1</v>
      </c>
    </row>
    <row r="299" spans="1:10">
      <c r="A299" s="2" t="s">
        <v>470</v>
      </c>
      <c r="B299" s="2" t="s">
        <v>8</v>
      </c>
      <c r="C299" s="2" t="str">
        <f>VLOOKUP(B299,Data!$A$2:$B$101,2,0)</f>
        <v>Nicholas Wyatt</v>
      </c>
      <c r="D299" s="2" t="s">
        <v>326</v>
      </c>
      <c r="E299" s="2" t="str">
        <f>VLOOKUP(D299,Data!$D$2:$E$121,2,0)</f>
        <v>Music Simply</v>
      </c>
      <c r="F299" s="3">
        <v>45605</v>
      </c>
      <c r="G299" s="42">
        <f>Transactions[[#This Row],[Borrow Date]]+21</f>
        <v>45626</v>
      </c>
      <c r="H299" s="3">
        <v>45625</v>
      </c>
      <c r="I299" s="49" cm="1">
        <f t="array" aca="1" ref="I299" ca="1">_xlfn.IFS(Transactions[[#This Row],[Return Date]]&lt;=Transactions[[#This Row],[Due Date]],0,AND(Transactions[[#This Row],[Return Date]]="",TODAY()&lt;=Transactions[[#This Row],[Due Date]]),0,Transactions[[#This Row],[Return Date]]&gt;Transactions[[#This Row],[Due Date]],Transactions[[#This Row],[Return Date]]-Transactions[[#This Row],[Due Date]],AND(Transactions[[#This Row],[Return Date]]="",TODAY()&gt;Transactions[[#This Row],[Due Date]]),TODAY()-Transactions[[#This Row],[Due Date]])</f>
        <v>0</v>
      </c>
      <c r="J299" s="47">
        <f ca="1">Transactions[[#This Row],[Overdue Days]]</f>
        <v>0</v>
      </c>
    </row>
    <row r="300" spans="1:10">
      <c r="A300" s="2" t="s">
        <v>668</v>
      </c>
      <c r="B300" s="2" t="s">
        <v>42</v>
      </c>
      <c r="C300" s="2" t="str">
        <f>VLOOKUP(B300,Data!$A$2:$B$101,2,0)</f>
        <v>Timothy Jensen</v>
      </c>
      <c r="D300" s="2" t="s">
        <v>326</v>
      </c>
      <c r="E300" s="2" t="str">
        <f>VLOOKUP(D300,Data!$D$2:$E$121,2,0)</f>
        <v>Music Simply</v>
      </c>
      <c r="F300" s="3">
        <v>45459</v>
      </c>
      <c r="G300" s="42">
        <f>Transactions[[#This Row],[Borrow Date]]+21</f>
        <v>45480</v>
      </c>
      <c r="H300" s="3">
        <v>45482</v>
      </c>
      <c r="I300" s="49" cm="1">
        <f t="array" aca="1" ref="I300" ca="1">_xlfn.IFS(Transactions[[#This Row],[Return Date]]&lt;=Transactions[[#This Row],[Due Date]],0,AND(Transactions[[#This Row],[Return Date]]="",TODAY()&lt;=Transactions[[#This Row],[Due Date]]),0,Transactions[[#This Row],[Return Date]]&gt;Transactions[[#This Row],[Due Date]],Transactions[[#This Row],[Return Date]]-Transactions[[#This Row],[Due Date]],AND(Transactions[[#This Row],[Return Date]]="",TODAY()&gt;Transactions[[#This Row],[Due Date]]),TODAY()-Transactions[[#This Row],[Due Date]])</f>
        <v>2</v>
      </c>
      <c r="J300" s="47">
        <f ca="1">Transactions[[#This Row],[Overdue Days]]</f>
        <v>2</v>
      </c>
    </row>
    <row r="301" spans="1:10">
      <c r="A301" s="2" t="s">
        <v>726</v>
      </c>
      <c r="B301" s="2" t="s">
        <v>2</v>
      </c>
      <c r="C301" s="2" t="str">
        <f>VLOOKUP(B301,Data!$A$2:$B$101,2,0)</f>
        <v>Frank Clark Jr.</v>
      </c>
      <c r="D301" s="2" t="s">
        <v>326</v>
      </c>
      <c r="E301" s="2" t="str">
        <f>VLOOKUP(D301,Data!$D$2:$E$121,2,0)</f>
        <v>Music Simply</v>
      </c>
      <c r="F301" s="3">
        <v>45558</v>
      </c>
      <c r="G301" s="42">
        <f>Transactions[[#This Row],[Borrow Date]]+21</f>
        <v>45579</v>
      </c>
      <c r="H301" s="3">
        <v>45573</v>
      </c>
      <c r="I301" s="49" cm="1">
        <f t="array" aca="1" ref="I301" ca="1">_xlfn.IFS(Transactions[[#This Row],[Return Date]]&lt;=Transactions[[#This Row],[Due Date]],0,AND(Transactions[[#This Row],[Return Date]]="",TODAY()&lt;=Transactions[[#This Row],[Due Date]]),0,Transactions[[#This Row],[Return Date]]&gt;Transactions[[#This Row],[Due Date]],Transactions[[#This Row],[Return Date]]-Transactions[[#This Row],[Due Date]],AND(Transactions[[#This Row],[Return Date]]="",TODAY()&gt;Transactions[[#This Row],[Due Date]]),TODAY()-Transactions[[#This Row],[Due Date]])</f>
        <v>0</v>
      </c>
      <c r="J301" s="47">
        <f ca="1">Transactions[[#This Row],[Overdue Days]]</f>
        <v>0</v>
      </c>
    </row>
  </sheetData>
  <phoneticPr fontId="2" type="noConversion"/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96B4F858-7137-456F-BCAF-B82B45DD013C}">
          <x14:formula1>
            <xm:f>Data!$A$2:$A$101</xm:f>
          </x14:formula1>
          <xm:sqref>B2:B301</xm:sqref>
        </x14:dataValidation>
        <x14:dataValidation type="list" allowBlank="1" showInputMessage="1" showErrorMessage="1" xr:uid="{C21716CA-CFCA-47E6-A1D6-306D037D526F}">
          <x14:formula1>
            <xm:f>Data!$D$2:$D$121</xm:f>
          </x14:formula1>
          <xm:sqref>D2:D301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Challenge</vt:lpstr>
      <vt:lpstr>Data</vt:lpstr>
      <vt:lpstr>Check</vt:lpstr>
      <vt:lpstr>Transactions</vt:lpstr>
      <vt:lpstr>Challenge!Print_Area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Ilgar Zarbaliyev | Novum LLC</dc:creator>
  <cp:lastModifiedBy>Тарас Андрійович Осипчук</cp:lastModifiedBy>
  <dcterms:created xsi:type="dcterms:W3CDTF">2024-12-19T10:00:32Z</dcterms:created>
  <dcterms:modified xsi:type="dcterms:W3CDTF">2026-07-08T07:40:13Z</dcterms:modified>
</cp:coreProperties>
</file>