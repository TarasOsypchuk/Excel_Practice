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19-Challenge_UsingAdvancedLogicToReturnDifferentResults\"/>
    </mc:Choice>
  </mc:AlternateContent>
  <xr:revisionPtr revIDLastSave="0" documentId="13_ncr:1_{D3911795-D562-42C8-8B2B-592B661C9767}" xr6:coauthVersionLast="47" xr6:coauthVersionMax="47" xr10:uidLastSave="{00000000-0000-0000-0000-000000000000}"/>
  <bookViews>
    <workbookView xWindow="-105" yWindow="0" windowWidth="20850" windowHeight="15585" activeTab="1" xr2:uid="{2D9527E1-3634-4FBA-8E02-5D09CA9D698C}"/>
  </bookViews>
  <sheets>
    <sheet name="grates" sheetId="6" r:id="rId1"/>
    <sheet name="Challenge 19" sheetId="5" r:id="rId2"/>
  </sheets>
  <definedNames>
    <definedName name="ExternalData_1" localSheetId="1" hidden="1">'Challenge 19'!$A$23:$G$43</definedName>
    <definedName name="ExternalData_2" localSheetId="0" hidden="1">grates!$A$1:$D$7</definedName>
    <definedName name="STATUS">_xlfn.LAMBDA(_xlpm.Letter,_xlpm.Avg,_xlpm.Program,_xlfn.IFS(AND(_xlpm.Program="STEM",_xlpm.Avg&gt;=85,ISNUMBER(SEARCH("A*",'Challenge 19'!XEZ1048569))),"Accepted",AND(_xlpm.Avg&gt;=80,NOT(_xlpm.Program="STEM"),OR(ISNUMBER(SEARCH("A*",'Challenge 19'!XEZ1048569)),ISNUMBER(SEARCH("B*",'Challenge 19'!XEZ1048569)))),"Accepted",AND(OR(ISNUMBER(SEARCH("A*",'Challenge 19'!XEZ1048569)),ISNUMBER(SEARCH("b*",'Challenge 19'!XEZ1048569))),_xlpm.Program="STEM",_xlpm.Avg&gt;80),"Interview",AND(OR(ISNUMBER(SEARCH("A*",'Challenge 19'!XEZ1048569)),ISNUMBER(SEARCH("B*",'Challenge 19'!XEZ1048569)),ISNUMBER(SEARCH("C*",'Challenge 19'!XEZ1048569))),_xlpm.Avg&gt;49),"Interview",TRUE,"Not Accepted"))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5" l="1" a="1"/>
  <c r="E3" i="5" s="1"/>
  <c r="E4" i="5" a="1"/>
  <c r="E4" i="5" s="1"/>
  <c r="E5" i="5" a="1"/>
  <c r="E5" i="5" s="1"/>
  <c r="E6" i="5" a="1"/>
  <c r="E6" i="5" s="1"/>
  <c r="E7" i="5" a="1"/>
  <c r="E7" i="5"/>
  <c r="E8" i="5" a="1"/>
  <c r="E8" i="5" s="1"/>
  <c r="E9" i="5" a="1"/>
  <c r="E9" i="5" s="1"/>
  <c r="E10" i="5" a="1"/>
  <c r="E10" i="5"/>
  <c r="E11" i="5" a="1"/>
  <c r="E11" i="5" s="1"/>
  <c r="E12" i="5" a="1"/>
  <c r="E12" i="5" s="1"/>
  <c r="E13" i="5" a="1"/>
  <c r="E13" i="5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19" i="5" a="1"/>
  <c r="E19" i="5"/>
  <c r="E20" i="5" a="1"/>
  <c r="E20" i="5" s="1"/>
  <c r="E21" i="5" a="1"/>
  <c r="E21" i="5"/>
  <c r="E2" i="5" a="1"/>
  <c r="E2" i="5" s="1"/>
  <c r="G24" i="5" a="1"/>
  <c r="G24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CAB432-C53F-4FB6-A38F-16FFFC171EC5}" keepAlive="1" name="Query - grates" description="Connection to the 'grates' query in the workbook." type="5" refreshedVersion="8" background="1" saveData="1">
    <dbPr connection="Provider=Microsoft.Mashup.OleDb.1;Data Source=$Workbook$;Location=grates;Extended Properties=&quot;&quot;" command="SELECT * FROM [grates]"/>
  </connection>
  <connection id="2" xr16:uid="{62058CB5-729D-41C7-83D5-ACFFC0B2E1AE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<sst xmlns="http://schemas.openxmlformats.org/spreadsheetml/2006/main" count="244" uniqueCount="51">
  <si>
    <t>Term Grade</t>
  </si>
  <si>
    <t>A</t>
  </si>
  <si>
    <t>Program</t>
  </si>
  <si>
    <t>STEM</t>
  </si>
  <si>
    <t>D</t>
  </si>
  <si>
    <t>Exam Average</t>
  </si>
  <si>
    <t>&gt;=85</t>
  </si>
  <si>
    <t>Accepted</t>
  </si>
  <si>
    <t>&gt;=80</t>
  </si>
  <si>
    <t>A, B, C</t>
  </si>
  <si>
    <t>Interview</t>
  </si>
  <si>
    <t>Other</t>
  </si>
  <si>
    <t>A, B</t>
  </si>
  <si>
    <t>Any</t>
  </si>
  <si>
    <t>Not Accepted</t>
  </si>
  <si>
    <t>Application Status</t>
  </si>
  <si>
    <t>A+</t>
  </si>
  <si>
    <t>Arts</t>
  </si>
  <si>
    <t>C+</t>
  </si>
  <si>
    <t>C</t>
  </si>
  <si>
    <t>B+</t>
  </si>
  <si>
    <t>Name</t>
  </si>
  <si>
    <t>B</t>
  </si>
  <si>
    <t>Amaro, Ami</t>
  </si>
  <si>
    <t>Bryne, Brooke</t>
  </si>
  <si>
    <t>Curington, Cyndi</t>
  </si>
  <si>
    <t>Daigle, Donnetta</t>
  </si>
  <si>
    <t>Emmerich, Esmeralda</t>
  </si>
  <si>
    <t>Freer, Frankie</t>
  </si>
  <si>
    <t>Grego, Garnet</t>
  </si>
  <si>
    <t>Josephs, Jarrod</t>
  </si>
  <si>
    <t>Kunkle, Kristie</t>
  </si>
  <si>
    <t>Lamarca, Lee</t>
  </si>
  <si>
    <t>Mai, Matt</t>
  </si>
  <si>
    <t>Noland, Nila</t>
  </si>
  <si>
    <t>Raskin, Roxanna</t>
  </si>
  <si>
    <t>Redmond, Ronny</t>
  </si>
  <si>
    <t>Spinella, Shizue</t>
  </si>
  <si>
    <t>Tarwater, Trinh</t>
  </si>
  <si>
    <t>Vert, Val</t>
  </si>
  <si>
    <t>Vince, Vernetta</t>
  </si>
  <si>
    <t>Whipps, Williemae</t>
  </si>
  <si>
    <t>Youngquist, Yvone</t>
  </si>
  <si>
    <t>Business</t>
  </si>
  <si>
    <t>A-</t>
  </si>
  <si>
    <t>B-</t>
  </si>
  <si>
    <t>&lt;50</t>
  </si>
  <si>
    <t>80-84</t>
  </si>
  <si>
    <t>50-79</t>
  </si>
  <si>
    <t>Grade without -+</t>
  </si>
  <si>
    <t>only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</si>
</sst>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Protection="1">
      <protection locked="0" hidden="1"/>
    </xf>
    <xf numFmtId="0" fontId="3" fillId="5" borderId="4" xfId="0" applyFont="1" applyFill="1" applyBorder="1" applyAlignment="1">
      <alignment horizontal="center"/>
    </xf>
    <xf numFmtId="165" fontId="0" fillId="6" borderId="4" xfId="1" applyNumberFormat="1" applyFont="1" applyFill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3" fillId="7" borderId="9" xfId="0" applyFont="1" applyFill="1" applyBorder="1" applyAlignment="1" applyProtection="1">
      <alignment horizontal="center"/>
      <protection locked="0"/>
    </xf>
    <xf numFmtId="0" fontId="3" fillId="7" borderId="10" xfId="0" applyFont="1" applyFill="1" applyBorder="1" applyAlignment="1" applyProtection="1">
      <alignment horizontal="center"/>
      <protection locked="0"/>
    </xf>
    <xf numFmtId="0" fontId="3" fillId="7" borderId="11" xfId="0" applyFont="1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4" borderId="4" xfId="0" applyFont="1" applyFill="1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0" fillId="0" borderId="0" xfId="0" applyNumberFormat="1" applyProtection="1">
      <protection locked="0" hidden="1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27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protection locked="0" hidden="0"/>
    </dxf>
    <dxf>
      <numFmt numFmtId="0" formatCode="General"/>
    </dxf>
    <dxf>
      <numFmt numFmtId="0" formatCode="General"/>
      <protection locked="0" hidden="1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F010F75-E50C-44F6-8386-7C5C5A9A64A2}" autoFormatId="16" applyNumberFormats="0" applyBorderFormats="0" applyFontFormats="0" applyPatternFormats="0" applyAlignmentFormats="0" applyWidthHeightFormats="0">
  <queryTableRefresh nextId="5">
    <queryTableFields count="4">
      <queryTableField id="1" name="Program" tableColumnId="1"/>
      <queryTableField id="2" name="Term Grade" tableColumnId="2"/>
      <queryTableField id="3" name="Exam Average" tableColumnId="3"/>
      <queryTableField id="4" name="Application Statu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8D25FAF-4BE0-419B-8D35-ECCB072E382A}" autoFormatId="16" applyNumberFormats="0" applyBorderFormats="0" applyFontFormats="0" applyPatternFormats="0" applyAlignmentFormats="0" applyWidthHeightFormats="0">
  <queryTableRefresh nextId="9">
    <queryTableFields count="7">
      <queryTableField id="1" name="Name" tableColumnId="1"/>
      <queryTableField id="2" name="Term Grade" tableColumnId="2"/>
      <queryTableField id="3" name="Grade without -+" tableColumnId="3"/>
      <queryTableField id="4" name="Exam Average" tableColumnId="4"/>
      <queryTableField id="5" name="Program" tableColumnId="5"/>
      <queryTableField id="7" name="only STEM" tableColumnId="7"/>
      <queryTableField id="6" name="Application Statu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9FBDCB-8AC5-47FA-AE4F-0180204CC338}" name="grates_1" displayName="grates_1" ref="A1:D7" tableType="queryTable" totalsRowShown="0">
  <autoFilter ref="A1:D7" xr:uid="{AD9FBDCB-8AC5-47FA-AE4F-0180204CC338}"/>
  <tableColumns count="4">
    <tableColumn id="1" xr3:uid="{E68E6E9A-D8DF-41C1-9384-988B985F1FE8}" uniqueName="1" name="Program" queryTableFieldId="1"/>
    <tableColumn id="2" xr3:uid="{020E6DE0-EF76-49A1-BBF7-30694F8E1483}" uniqueName="2" name="Term Grade" queryTableFieldId="2"/>
    <tableColumn id="3" xr3:uid="{01B23D04-65A0-45F3-A5D3-4ABB5AD72AAA}" uniqueName="3" name="Exam Average" queryTableFieldId="3"/>
    <tableColumn id="4" xr3:uid="{A21AD9AD-5BC1-430C-A826-22D28B9347A9}" uniqueName="4" name="Application Statu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906EF-8E76-4C87-91E3-BBF7BB584296}" name="Students" displayName="Students" ref="A1:E21" totalsRowShown="0" headerRowDxfId="26" dataDxfId="25" tableBorderDxfId="24">
  <autoFilter ref="A1:E21" xr:uid="{8DB906EF-8E76-4C87-91E3-BBF7BB584296}"/>
  <tableColumns count="5">
    <tableColumn id="1" xr3:uid="{91ABB371-3C1B-4AF2-8F83-4C75135E0570}" name="Name" dataDxfId="23"/>
    <tableColumn id="2" xr3:uid="{29056D2B-826D-43CE-B44F-FFD06137CA2C}" name="Term Grade" dataDxfId="22" dataCellStyle="Currency"/>
    <tableColumn id="3" xr3:uid="{A555EC80-0A4F-4521-A559-6528A5A58F51}" name="Exam Average" dataDxfId="21"/>
    <tableColumn id="4" xr3:uid="{F9A4EB7D-8CFD-4103-BA9A-1ED0016680BB}" name="Program" dataDxfId="20"/>
    <tableColumn id="5" xr3:uid="{F328D88D-0C08-4C59-BE55-22DFCCD55E54}" name="Application Status" dataDxfId="10">
      <calculatedColumnFormula array="1">_xlfn.LET(_xlpm.Agrade,ISNUMBER(SEARCH("A*",B2)),_xlpm.Bgrade,ISNUMBER(SEARCH("B*",B2)),_xlpm.Cgrade,ISNUMBER(SEARCH("C*",B2)),_xlfn.IFS(AND(D2="STEM",_xlpm.Agrade,C2&gt;=85),"Accepted",AND(NOT(D2="STEM"),OR(_xlpm.Agrade,_xlpm.Bgrade),C2&gt;=80),"Accepted",AND(D2="STEM",OR(_xlpm.Agrade,_xlpm.Bgrade),C2&gt;=80,C2&lt;=84),"Interview",AND(NOT(D2="STEM"),OR(_xlpm.Agrade,_xlpm.Bgrade,_xlpm.Cgrade),C2&gt;=50,C2&lt;=79),"Interview",AND(_xlpm.Cgrade,C2&lt;50),"Not Accepted",B2="D","Not Accepted",TRUE,"Special Review"))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B9E18-366E-4813-ADC4-3D8F306EA24F}" name="grates" displayName="grates" ref="H1:K11" totalsRowShown="0" headerRowDxfId="9" headerRowBorderDxfId="7" tableBorderDxfId="8" totalsRowBorderDxfId="6">
  <autoFilter ref="H1:K11" xr:uid="{8C0B9E18-366E-4813-ADC4-3D8F306EA24F}"/>
  <tableColumns count="4">
    <tableColumn id="1" xr3:uid="{D97D4F9F-204D-48AD-9E7D-AE14A0B6A9BF}" name="Program" dataDxfId="5"/>
    <tableColumn id="2" xr3:uid="{71778BF9-9A0C-4F07-9422-4D2FACF10AC5}" name="Term Grade" dataDxfId="4"/>
    <tableColumn id="3" xr3:uid="{B791ED07-DA50-4616-951D-66D9FE8B8AE5}" name="Exam Average" dataDxfId="3"/>
    <tableColumn id="4" xr3:uid="{E2C64AAD-35FF-497C-BC92-29A8A45B1702}" name="Application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0DF08B-5662-40D8-A966-76CE09724823}" name="Students_1" displayName="Students_1" ref="A23:G43" tableType="queryTable" totalsRowShown="0" headerRowDxfId="19" dataDxfId="18">
  <autoFilter ref="A23:G43" xr:uid="{A90DF08B-5662-40D8-A966-76CE09724823}"/>
  <tableColumns count="7">
    <tableColumn id="1" xr3:uid="{CA496F7D-0269-4309-B3BC-4425387039C5}" uniqueName="1" name="Name" queryTableFieldId="1" dataDxfId="17"/>
    <tableColumn id="2" xr3:uid="{E4F6B704-7152-4569-9B24-3A1136ACB3F0}" uniqueName="2" name="Term Grade" queryTableFieldId="2" dataDxfId="16"/>
    <tableColumn id="3" xr3:uid="{2D5EF742-E883-4688-8971-FB3BF5C89BE1}" uniqueName="3" name="Grade without -+" queryTableFieldId="3" dataDxfId="15"/>
    <tableColumn id="4" xr3:uid="{3496D22C-4760-4944-80A2-39E982C24DAE}" uniqueName="4" name="Exam Average" queryTableFieldId="4" dataDxfId="14"/>
    <tableColumn id="5" xr3:uid="{15CCEE78-9B98-4AD7-9E98-D6443A86383D}" uniqueName="5" name="Program" queryTableFieldId="5" dataDxfId="13"/>
    <tableColumn id="7" xr3:uid="{DC47FCCB-F382-425F-A9D5-CA656A3ADB01}" uniqueName="7" name="only STEM" queryTableFieldId="7" dataDxfId="12"/>
    <tableColumn id="6" xr3:uid="{1DCA1BB7-ABF8-48CD-B766-F0EF31A5354C}" uniqueName="6" name="Application Status" queryTableFieldId="6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1CCF-14AC-4AD8-9862-B56CC9B58462}">
  <dimension ref="A1:D7"/>
  <sheetViews>
    <sheetView workbookViewId="0">
      <selection sqref="A1:D7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15.85546875" bestFit="1" customWidth="1"/>
    <col min="4" max="4" width="19.5703125" bestFit="1" customWidth="1"/>
  </cols>
  <sheetData>
    <row r="1" spans="1:4" x14ac:dyDescent="0.25">
      <c r="A1" t="s">
        <v>2</v>
      </c>
      <c r="B1" t="s">
        <v>0</v>
      </c>
      <c r="C1" t="s">
        <v>5</v>
      </c>
      <c r="D1" t="s">
        <v>15</v>
      </c>
    </row>
    <row r="2" spans="1:4" x14ac:dyDescent="0.25">
      <c r="A2" t="s">
        <v>3</v>
      </c>
      <c r="B2" t="s">
        <v>1</v>
      </c>
      <c r="C2" t="s">
        <v>6</v>
      </c>
      <c r="D2" t="s">
        <v>7</v>
      </c>
    </row>
    <row r="3" spans="1:4" x14ac:dyDescent="0.25">
      <c r="A3" t="s">
        <v>11</v>
      </c>
      <c r="B3" t="s">
        <v>12</v>
      </c>
      <c r="C3" t="s">
        <v>8</v>
      </c>
      <c r="D3" t="s">
        <v>7</v>
      </c>
    </row>
    <row r="4" spans="1:4" x14ac:dyDescent="0.25">
      <c r="A4" t="s">
        <v>3</v>
      </c>
      <c r="B4" t="s">
        <v>12</v>
      </c>
      <c r="C4" t="s">
        <v>47</v>
      </c>
      <c r="D4" t="s">
        <v>10</v>
      </c>
    </row>
    <row r="5" spans="1:4" x14ac:dyDescent="0.25">
      <c r="A5" t="s">
        <v>11</v>
      </c>
      <c r="B5" t="s">
        <v>9</v>
      </c>
      <c r="C5" t="s">
        <v>48</v>
      </c>
      <c r="D5" t="s">
        <v>10</v>
      </c>
    </row>
    <row r="6" spans="1:4" x14ac:dyDescent="0.25">
      <c r="A6" t="s">
        <v>13</v>
      </c>
      <c r="B6" t="s">
        <v>19</v>
      </c>
      <c r="C6" t="s">
        <v>46</v>
      </c>
      <c r="D6" t="s">
        <v>14</v>
      </c>
    </row>
    <row r="7" spans="1:4" x14ac:dyDescent="0.25">
      <c r="A7" t="s">
        <v>13</v>
      </c>
      <c r="B7" t="s">
        <v>4</v>
      </c>
      <c r="C7" t="s">
        <v>13</v>
      </c>
      <c r="D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928F7-7294-4312-B4EF-9858A88E51EB}">
  <dimension ref="A1:K43"/>
  <sheetViews>
    <sheetView tabSelected="1" workbookViewId="0">
      <selection activeCell="E2" sqref="E2"/>
    </sheetView>
  </sheetViews>
  <sheetFormatPr defaultColWidth="8.85546875" defaultRowHeight="18.600000000000001" customHeight="1" x14ac:dyDescent="0.25"/>
  <cols>
    <col min="1" max="1" width="20.42578125" style="1" bestFit="1" customWidth="1"/>
    <col min="2" max="2" width="13.7109375" style="1" bestFit="1" customWidth="1"/>
    <col min="3" max="3" width="18.42578125" style="1" bestFit="1" customWidth="1"/>
    <col min="4" max="4" width="15.85546875" style="1" bestFit="1" customWidth="1"/>
    <col min="5" max="5" width="23.85546875" style="4" bestFit="1" customWidth="1"/>
    <col min="6" max="6" width="12.42578125" style="1" bestFit="1" customWidth="1"/>
    <col min="7" max="7" width="19.5703125" style="1" bestFit="1" customWidth="1"/>
    <col min="8" max="8" width="11.5703125" style="1" customWidth="1"/>
    <col min="9" max="9" width="14.5703125" style="1" customWidth="1"/>
    <col min="10" max="10" width="16.85546875" style="1" customWidth="1"/>
    <col min="11" max="11" width="21.140625" style="1" customWidth="1"/>
    <col min="12" max="16384" width="8.85546875" style="1"/>
  </cols>
  <sheetData>
    <row r="1" spans="1:11" ht="18.600000000000001" customHeight="1" x14ac:dyDescent="0.25">
      <c r="A1" s="12" t="s">
        <v>21</v>
      </c>
      <c r="B1" s="5" t="s">
        <v>0</v>
      </c>
      <c r="C1" s="5" t="s">
        <v>5</v>
      </c>
      <c r="D1" s="5" t="s">
        <v>2</v>
      </c>
      <c r="E1" s="16" t="s">
        <v>15</v>
      </c>
      <c r="H1" s="21" t="s">
        <v>2</v>
      </c>
      <c r="I1" s="22" t="s">
        <v>0</v>
      </c>
      <c r="J1" s="22" t="s">
        <v>5</v>
      </c>
      <c r="K1" s="23" t="s">
        <v>15</v>
      </c>
    </row>
    <row r="2" spans="1:11" ht="18.600000000000001" customHeight="1" x14ac:dyDescent="0.25">
      <c r="A2" s="13" t="s">
        <v>23</v>
      </c>
      <c r="B2" s="9" t="s">
        <v>1</v>
      </c>
      <c r="C2" s="9">
        <v>87</v>
      </c>
      <c r="D2" s="9" t="s">
        <v>3</v>
      </c>
      <c r="E2" s="9" t="str" cm="1">
        <f t="array" ref="E2">_xlfn.LET(_xlpm.Agrade,ISNUMBER(SEARCH("A*",B2)),_xlpm.Bgrade,ISNUMBER(SEARCH("B*",B2)),_xlpm.Cgrade,ISNUMBER(SEARCH("C*",B2)),_xlfn.IFS(AND(D2="STEM",_xlpm.Agrade,C2&gt;=85),"Accepted",AND(NOT(D2="STEM"),OR(_xlpm.Agrade,_xlpm.Bgrade),C2&gt;=80),"Accepted",AND(D2="STEM",OR(_xlpm.Agrade,_xlpm.Bgrade),C2&gt;=80,C2&lt;=84),"Interview",AND(NOT(D2="STEM"),OR(_xlpm.Agrade,_xlpm.Bgrade,_xlpm.Cgrade),C2&gt;=50,C2&lt;=79),"Interview",AND(_xlpm.Cgrade,C2&lt;50),"Not Accepted",B2="D","Not Accepted",TRUE,"Special Review"))</f>
        <v>Accepted</v>
      </c>
      <c r="H2" s="17" t="s">
        <v>3</v>
      </c>
      <c r="I2" s="2" t="s">
        <v>1</v>
      </c>
      <c r="J2" s="2" t="s">
        <v>6</v>
      </c>
      <c r="K2" s="18" t="s">
        <v>7</v>
      </c>
    </row>
    <row r="3" spans="1:11" ht="18.600000000000001" customHeight="1" x14ac:dyDescent="0.25">
      <c r="A3" s="14" t="s">
        <v>24</v>
      </c>
      <c r="B3" s="10" t="s">
        <v>22</v>
      </c>
      <c r="C3" s="10">
        <v>87</v>
      </c>
      <c r="D3" s="10" t="s">
        <v>17</v>
      </c>
      <c r="E3" s="9" t="str" cm="1">
        <f t="array" ref="E3">_xlfn.LET(_xlpm.Agrade,ISNUMBER(SEARCH("A*",B3)),_xlpm.Bgrade,ISNUMBER(SEARCH("B*",B3)),_xlpm.Cgrade,ISNUMBER(SEARCH("C*",B3)),_xlfn.IFS(AND(D3="STEM",_xlpm.Agrade,C3&gt;=85),"Accepted",AND(NOT(D3="STEM"),OR(_xlpm.Agrade,_xlpm.Bgrade),C3&gt;=80),"Accepted",AND(D3="STEM",OR(_xlpm.Agrade,_xlpm.Bgrade),C3&gt;=80,C3&lt;=84),"Interview",AND(NOT(D3="STEM"),OR(_xlpm.Agrade,_xlpm.Bgrade,_xlpm.Cgrade),C3&gt;=50,C3&lt;=79),"Interview",AND(_xlpm.Cgrade,C3&lt;50),"Not Accepted",B3="D","Not Accepted",TRUE,"Special Review"))</f>
        <v>Accepted</v>
      </c>
      <c r="H3" s="17" t="s">
        <v>11</v>
      </c>
      <c r="I3" s="2" t="s">
        <v>22</v>
      </c>
      <c r="J3" s="2" t="s">
        <v>8</v>
      </c>
      <c r="K3" s="18" t="s">
        <v>7</v>
      </c>
    </row>
    <row r="4" spans="1:11" ht="18.600000000000001" customHeight="1" x14ac:dyDescent="0.25">
      <c r="A4" s="13" t="s">
        <v>25</v>
      </c>
      <c r="B4" s="6" t="s">
        <v>20</v>
      </c>
      <c r="C4" s="9">
        <v>50</v>
      </c>
      <c r="D4" s="9" t="s">
        <v>17</v>
      </c>
      <c r="E4" s="9" t="str" cm="1">
        <f t="array" ref="E4">_xlfn.LET(_xlpm.Agrade,ISNUMBER(SEARCH("A*",B4)),_xlpm.Bgrade,ISNUMBER(SEARCH("B*",B4)),_xlpm.Cgrade,ISNUMBER(SEARCH("C*",B4)),_xlfn.IFS(AND(D4="STEM",_xlpm.Agrade,C4&gt;=85),"Accepted",AND(NOT(D4="STEM"),OR(_xlpm.Agrade,_xlpm.Bgrade),C4&gt;=80),"Accepted",AND(D4="STEM",OR(_xlpm.Agrade,_xlpm.Bgrade),C4&gt;=80,C4&lt;=84),"Interview",AND(NOT(D4="STEM"),OR(_xlpm.Agrade,_xlpm.Bgrade,_xlpm.Cgrade),C4&gt;=50,C4&lt;=79),"Interview",AND(_xlpm.Cgrade,C4&lt;50),"Not Accepted",B4="D","Not Accepted",TRUE,"Special Review"))</f>
        <v>Interview</v>
      </c>
      <c r="H4" s="17" t="s">
        <v>11</v>
      </c>
      <c r="I4" s="2" t="s">
        <v>1</v>
      </c>
      <c r="J4" s="2" t="s">
        <v>8</v>
      </c>
      <c r="K4" s="18" t="s">
        <v>7</v>
      </c>
    </row>
    <row r="5" spans="1:11" ht="18.600000000000001" customHeight="1" x14ac:dyDescent="0.25">
      <c r="A5" s="14" t="s">
        <v>26</v>
      </c>
      <c r="B5" s="10" t="s">
        <v>4</v>
      </c>
      <c r="C5" s="10">
        <v>-65</v>
      </c>
      <c r="D5" s="10" t="s">
        <v>17</v>
      </c>
      <c r="E5" s="9" t="str" cm="1">
        <f t="array" ref="E5">_xlfn.LET(_xlpm.Agrade,ISNUMBER(SEARCH("A*",B5)),_xlpm.Bgrade,ISNUMBER(SEARCH("B*",B5)),_xlpm.Cgrade,ISNUMBER(SEARCH("C*",B5)),_xlfn.IFS(AND(D5="STEM",_xlpm.Agrade,C5&gt;=85),"Accepted",AND(NOT(D5="STEM"),OR(_xlpm.Agrade,_xlpm.Bgrade),C5&gt;=80),"Accepted",AND(D5="STEM",OR(_xlpm.Agrade,_xlpm.Bgrade),C5&gt;=80,C5&lt;=84),"Interview",AND(NOT(D5="STEM"),OR(_xlpm.Agrade,_xlpm.Bgrade,_xlpm.Cgrade),C5&gt;=50,C5&lt;=79),"Interview",AND(_xlpm.Cgrade,C5&lt;50),"Not Accepted",B5="D","Not Accepted",TRUE,"Special Review"))</f>
        <v>Not Accepted</v>
      </c>
      <c r="H5" s="17" t="s">
        <v>3</v>
      </c>
      <c r="I5" s="2" t="s">
        <v>1</v>
      </c>
      <c r="J5" s="2" t="s">
        <v>47</v>
      </c>
      <c r="K5" s="19" t="s">
        <v>10</v>
      </c>
    </row>
    <row r="6" spans="1:11" ht="18.600000000000001" customHeight="1" x14ac:dyDescent="0.25">
      <c r="A6" s="13" t="s">
        <v>27</v>
      </c>
      <c r="B6" s="6" t="s">
        <v>20</v>
      </c>
      <c r="C6" s="9">
        <v>95</v>
      </c>
      <c r="D6" s="9" t="s">
        <v>3</v>
      </c>
      <c r="E6" s="9" t="str" cm="1">
        <f t="array" ref="E6">_xlfn.LET(_xlpm.Agrade,ISNUMBER(SEARCH("A*",B6)),_xlpm.Bgrade,ISNUMBER(SEARCH("B*",B6)),_xlpm.Cgrade,ISNUMBER(SEARCH("C*",B6)),_xlfn.IFS(AND(D6="STEM",_xlpm.Agrade,C6&gt;=85),"Accepted",AND(NOT(D6="STEM"),OR(_xlpm.Agrade,_xlpm.Bgrade),C6&gt;=80),"Accepted",AND(D6="STEM",OR(_xlpm.Agrade,_xlpm.Bgrade),C6&gt;=80,C6&lt;=84),"Interview",AND(NOT(D6="STEM"),OR(_xlpm.Agrade,_xlpm.Bgrade,_xlpm.Cgrade),C6&gt;=50,C6&lt;=79),"Interview",AND(_xlpm.Cgrade,C6&lt;50),"Not Accepted",B6="D","Not Accepted",TRUE,"Special Review"))</f>
        <v>Special Review</v>
      </c>
      <c r="H6" s="17" t="s">
        <v>3</v>
      </c>
      <c r="I6" s="2" t="s">
        <v>22</v>
      </c>
      <c r="J6" s="2" t="s">
        <v>47</v>
      </c>
      <c r="K6" s="19" t="s">
        <v>10</v>
      </c>
    </row>
    <row r="7" spans="1:11" ht="18.600000000000001" customHeight="1" x14ac:dyDescent="0.25">
      <c r="A7" s="14" t="s">
        <v>28</v>
      </c>
      <c r="B7" s="7" t="s">
        <v>20</v>
      </c>
      <c r="C7" s="10">
        <v>81</v>
      </c>
      <c r="D7" s="10" t="s">
        <v>43</v>
      </c>
      <c r="E7" s="9" t="str" cm="1">
        <f t="array" ref="E7">_xlfn.LET(_xlpm.Agrade,ISNUMBER(SEARCH("A*",B7)),_xlpm.Bgrade,ISNUMBER(SEARCH("B*",B7)),_xlpm.Cgrade,ISNUMBER(SEARCH("C*",B7)),_xlfn.IFS(AND(D7="STEM",_xlpm.Agrade,C7&gt;=85),"Accepted",AND(NOT(D7="STEM"),OR(_xlpm.Agrade,_xlpm.Bgrade),C7&gt;=80),"Accepted",AND(D7="STEM",OR(_xlpm.Agrade,_xlpm.Bgrade),C7&gt;=80,C7&lt;=84),"Interview",AND(NOT(D7="STEM"),OR(_xlpm.Agrade,_xlpm.Bgrade,_xlpm.Cgrade),C7&gt;=50,C7&lt;=79),"Interview",AND(_xlpm.Cgrade,C7&lt;50),"Not Accepted",B7="D","Not Accepted",TRUE,"Special Review"))</f>
        <v>Accepted</v>
      </c>
      <c r="H7" s="17" t="s">
        <v>11</v>
      </c>
      <c r="I7" s="2" t="s">
        <v>1</v>
      </c>
      <c r="J7" s="2" t="s">
        <v>48</v>
      </c>
      <c r="K7" s="19" t="s">
        <v>10</v>
      </c>
    </row>
    <row r="8" spans="1:11" ht="18.600000000000001" customHeight="1" x14ac:dyDescent="0.25">
      <c r="A8" s="13" t="s">
        <v>29</v>
      </c>
      <c r="B8" s="6" t="s">
        <v>18</v>
      </c>
      <c r="C8" s="9">
        <v>47</v>
      </c>
      <c r="D8" s="9" t="s">
        <v>43</v>
      </c>
      <c r="E8" s="9" t="str" cm="1">
        <f t="array" ref="E8">_xlfn.LET(_xlpm.Agrade,ISNUMBER(SEARCH("A*",B8)),_xlpm.Bgrade,ISNUMBER(SEARCH("B*",B8)),_xlpm.Cgrade,ISNUMBER(SEARCH("C*",B8)),_xlfn.IFS(AND(D8="STEM",_xlpm.Agrade,C8&gt;=85),"Accepted",AND(NOT(D8="STEM"),OR(_xlpm.Agrade,_xlpm.Bgrade),C8&gt;=80),"Accepted",AND(D8="STEM",OR(_xlpm.Agrade,_xlpm.Bgrade),C8&gt;=80,C8&lt;=84),"Interview",AND(NOT(D8="STEM"),OR(_xlpm.Agrade,_xlpm.Bgrade,_xlpm.Cgrade),C8&gt;=50,C8&lt;=79),"Interview",AND(_xlpm.Cgrade,C8&lt;50),"Not Accepted",B8="D","Not Accepted",TRUE,"Special Review"))</f>
        <v>Not Accepted</v>
      </c>
      <c r="H8" s="17" t="s">
        <v>11</v>
      </c>
      <c r="I8" s="2" t="s">
        <v>22</v>
      </c>
      <c r="J8" s="2" t="s">
        <v>48</v>
      </c>
      <c r="K8" s="19" t="s">
        <v>10</v>
      </c>
    </row>
    <row r="9" spans="1:11" ht="18.600000000000001" customHeight="1" x14ac:dyDescent="0.25">
      <c r="A9" s="14" t="s">
        <v>30</v>
      </c>
      <c r="B9" s="7" t="s">
        <v>18</v>
      </c>
      <c r="C9" s="10">
        <v>92</v>
      </c>
      <c r="D9" s="10" t="s">
        <v>43</v>
      </c>
      <c r="E9" s="9" t="str" cm="1">
        <f t="array" ref="E9">_xlfn.LET(_xlpm.Agrade,ISNUMBER(SEARCH("A*",B9)),_xlpm.Bgrade,ISNUMBER(SEARCH("B*",B9)),_xlpm.Cgrade,ISNUMBER(SEARCH("C*",B9)),_xlfn.IFS(AND(D9="STEM",_xlpm.Agrade,C9&gt;=85),"Accepted",AND(NOT(D9="STEM"),OR(_xlpm.Agrade,_xlpm.Bgrade),C9&gt;=80),"Accepted",AND(D9="STEM",OR(_xlpm.Agrade,_xlpm.Bgrade),C9&gt;=80,C9&lt;=84),"Interview",AND(NOT(D9="STEM"),OR(_xlpm.Agrade,_xlpm.Bgrade,_xlpm.Cgrade),C9&gt;=50,C9&lt;=79),"Interview",AND(_xlpm.Cgrade,C9&lt;50),"Not Accepted",B9="D","Not Accepted",TRUE,"Special Review"))</f>
        <v>Special Review</v>
      </c>
      <c r="H9" s="17" t="s">
        <v>11</v>
      </c>
      <c r="I9" s="2" t="s">
        <v>19</v>
      </c>
      <c r="J9" s="2" t="s">
        <v>48</v>
      </c>
      <c r="K9" s="19" t="s">
        <v>10</v>
      </c>
    </row>
    <row r="10" spans="1:11" ht="18.600000000000001" customHeight="1" x14ac:dyDescent="0.25">
      <c r="A10" s="13" t="s">
        <v>31</v>
      </c>
      <c r="B10" s="6" t="s">
        <v>22</v>
      </c>
      <c r="C10" s="9">
        <v>80</v>
      </c>
      <c r="D10" s="9" t="s">
        <v>43</v>
      </c>
      <c r="E10" s="9" t="str" cm="1">
        <f t="array" ref="E10">_xlfn.LET(_xlpm.Agrade,ISNUMBER(SEARCH("A*",B10)),_xlpm.Bgrade,ISNUMBER(SEARCH("B*",B10)),_xlpm.Cgrade,ISNUMBER(SEARCH("C*",B10)),_xlfn.IFS(AND(D10="STEM",_xlpm.Agrade,C10&gt;=85),"Accepted",AND(NOT(D10="STEM"),OR(_xlpm.Agrade,_xlpm.Bgrade),C10&gt;=80),"Accepted",AND(D10="STEM",OR(_xlpm.Agrade,_xlpm.Bgrade),C10&gt;=80,C10&lt;=84),"Interview",AND(NOT(D10="STEM"),OR(_xlpm.Agrade,_xlpm.Bgrade,_xlpm.Cgrade),C10&gt;=50,C10&lt;=79),"Interview",AND(_xlpm.Cgrade,C10&lt;50),"Not Accepted",B10="D","Not Accepted",TRUE,"Special Review"))</f>
        <v>Accepted</v>
      </c>
      <c r="H10" s="17" t="s">
        <v>13</v>
      </c>
      <c r="I10" s="2" t="s">
        <v>19</v>
      </c>
      <c r="J10" s="2" t="s">
        <v>46</v>
      </c>
      <c r="K10" s="20" t="s">
        <v>14</v>
      </c>
    </row>
    <row r="11" spans="1:11" ht="18.600000000000001" customHeight="1" x14ac:dyDescent="0.25">
      <c r="A11" s="14" t="s">
        <v>32</v>
      </c>
      <c r="B11" s="7" t="s">
        <v>16</v>
      </c>
      <c r="C11" s="10">
        <v>80</v>
      </c>
      <c r="D11" s="10" t="s">
        <v>3</v>
      </c>
      <c r="E11" s="9" t="str" cm="1">
        <f t="array" ref="E11">_xlfn.LET(_xlpm.Agrade,ISNUMBER(SEARCH("A*",B11)),_xlpm.Bgrade,ISNUMBER(SEARCH("B*",B11)),_xlpm.Cgrade,ISNUMBER(SEARCH("C*",B11)),_xlfn.IFS(AND(D11="STEM",_xlpm.Agrade,C11&gt;=85),"Accepted",AND(NOT(D11="STEM"),OR(_xlpm.Agrade,_xlpm.Bgrade),C11&gt;=80),"Accepted",AND(D11="STEM",OR(_xlpm.Agrade,_xlpm.Bgrade),C11&gt;=80,C11&lt;=84),"Interview",AND(NOT(D11="STEM"),OR(_xlpm.Agrade,_xlpm.Bgrade,_xlpm.Cgrade),C11&gt;=50,C11&lt;=79),"Interview",AND(_xlpm.Cgrade,C11&lt;50),"Not Accepted",B11="D","Not Accepted",TRUE,"Special Review"))</f>
        <v>Interview</v>
      </c>
      <c r="H11" s="24" t="s">
        <v>13</v>
      </c>
      <c r="I11" s="25" t="s">
        <v>4</v>
      </c>
      <c r="J11" s="25" t="s">
        <v>13</v>
      </c>
      <c r="K11" s="26" t="s">
        <v>14</v>
      </c>
    </row>
    <row r="12" spans="1:11" ht="18.600000000000001" customHeight="1" x14ac:dyDescent="0.25">
      <c r="A12" s="13" t="s">
        <v>33</v>
      </c>
      <c r="B12" s="6" t="s">
        <v>44</v>
      </c>
      <c r="C12" s="9">
        <v>80</v>
      </c>
      <c r="D12" s="9" t="s">
        <v>17</v>
      </c>
      <c r="E12" s="9" t="str" cm="1">
        <f t="array" ref="E12">_xlfn.LET(_xlpm.Agrade,ISNUMBER(SEARCH("A*",B12)),_xlpm.Bgrade,ISNUMBER(SEARCH("B*",B12)),_xlpm.Cgrade,ISNUMBER(SEARCH("C*",B12)),_xlfn.IFS(AND(D12="STEM",_xlpm.Agrade,C12&gt;=85),"Accepted",AND(NOT(D12="STEM"),OR(_xlpm.Agrade,_xlpm.Bgrade),C12&gt;=80),"Accepted",AND(D12="STEM",OR(_xlpm.Agrade,_xlpm.Bgrade),C12&gt;=80,C12&lt;=84),"Interview",AND(NOT(D12="STEM"),OR(_xlpm.Agrade,_xlpm.Bgrade,_xlpm.Cgrade),C12&gt;=50,C12&lt;=79),"Interview",AND(_xlpm.Cgrade,C12&lt;50),"Not Accepted",B12="D","Not Accepted",TRUE,"Special Review"))</f>
        <v>Accepted</v>
      </c>
    </row>
    <row r="13" spans="1:11" ht="18.600000000000001" customHeight="1" x14ac:dyDescent="0.25">
      <c r="A13" s="14" t="s">
        <v>34</v>
      </c>
      <c r="B13" s="7" t="s">
        <v>22</v>
      </c>
      <c r="C13" s="10">
        <v>91</v>
      </c>
      <c r="D13" s="10" t="s">
        <v>17</v>
      </c>
      <c r="E13" s="9" t="str" cm="1">
        <f t="array" ref="E13">_xlfn.LET(_xlpm.Agrade,ISNUMBER(SEARCH("A*",B13)),_xlpm.Bgrade,ISNUMBER(SEARCH("B*",B13)),_xlpm.Cgrade,ISNUMBER(SEARCH("C*",B13)),_xlfn.IFS(AND(D13="STEM",_xlpm.Agrade,C13&gt;=85),"Accepted",AND(NOT(D13="STEM"),OR(_xlpm.Agrade,_xlpm.Bgrade),C13&gt;=80),"Accepted",AND(D13="STEM",OR(_xlpm.Agrade,_xlpm.Bgrade),C13&gt;=80,C13&lt;=84),"Interview",AND(NOT(D13="STEM"),OR(_xlpm.Agrade,_xlpm.Bgrade,_xlpm.Cgrade),C13&gt;=50,C13&lt;=79),"Interview",AND(_xlpm.Cgrade,C13&lt;50),"Not Accepted",B13="D","Not Accepted",TRUE,"Special Review"))</f>
        <v>Accepted</v>
      </c>
    </row>
    <row r="14" spans="1:11" ht="18.600000000000001" customHeight="1" x14ac:dyDescent="0.25">
      <c r="A14" s="13" t="s">
        <v>35</v>
      </c>
      <c r="B14" s="6" t="s">
        <v>44</v>
      </c>
      <c r="C14" s="9">
        <v>80</v>
      </c>
      <c r="D14" s="9" t="s">
        <v>17</v>
      </c>
      <c r="E14" s="9" t="str" cm="1">
        <f t="array" ref="E14">_xlfn.LET(_xlpm.Agrade,ISNUMBER(SEARCH("A*",B14)),_xlpm.Bgrade,ISNUMBER(SEARCH("B*",B14)),_xlpm.Cgrade,ISNUMBER(SEARCH("C*",B14)),_xlfn.IFS(AND(D14="STEM",_xlpm.Agrade,C14&gt;=85),"Accepted",AND(NOT(D14="STEM"),OR(_xlpm.Agrade,_xlpm.Bgrade),C14&gt;=80),"Accepted",AND(D14="STEM",OR(_xlpm.Agrade,_xlpm.Bgrade),C14&gt;=80,C14&lt;=84),"Interview",AND(NOT(D14="STEM"),OR(_xlpm.Agrade,_xlpm.Bgrade,_xlpm.Cgrade),C14&gt;=50,C14&lt;=79),"Interview",AND(_xlpm.Cgrade,C14&lt;50),"Not Accepted",B14="D","Not Accepted",TRUE,"Special Review"))</f>
        <v>Accepted</v>
      </c>
      <c r="H14" s="3"/>
    </row>
    <row r="15" spans="1:11" ht="18.600000000000001" customHeight="1" x14ac:dyDescent="0.25">
      <c r="A15" s="14" t="s">
        <v>36</v>
      </c>
      <c r="B15" s="7" t="s">
        <v>44</v>
      </c>
      <c r="C15" s="10">
        <v>39</v>
      </c>
      <c r="D15" s="10" t="s">
        <v>17</v>
      </c>
      <c r="E15" s="9" t="str" cm="1">
        <f t="array" ref="E15">_xlfn.LET(_xlpm.Agrade,ISNUMBER(SEARCH("A*",B15)),_xlpm.Bgrade,ISNUMBER(SEARCH("B*",B15)),_xlpm.Cgrade,ISNUMBER(SEARCH("C*",B15)),_xlfn.IFS(AND(D15="STEM",_xlpm.Agrade,C15&gt;=85),"Accepted",AND(NOT(D15="STEM"),OR(_xlpm.Agrade,_xlpm.Bgrade),C15&gt;=80),"Accepted",AND(D15="STEM",OR(_xlpm.Agrade,_xlpm.Bgrade),C15&gt;=80,C15&lt;=84),"Interview",AND(NOT(D15="STEM"),OR(_xlpm.Agrade,_xlpm.Bgrade,_xlpm.Cgrade),C15&gt;=50,C15&lt;=79),"Interview",AND(_xlpm.Cgrade,C15&lt;50),"Not Accepted",B15="D","Not Accepted",TRUE,"Special Review"))</f>
        <v>Special Review</v>
      </c>
      <c r="H15" s="3"/>
    </row>
    <row r="16" spans="1:11" ht="18.600000000000001" customHeight="1" x14ac:dyDescent="0.25">
      <c r="A16" s="13" t="s">
        <v>37</v>
      </c>
      <c r="B16" s="6" t="s">
        <v>4</v>
      </c>
      <c r="C16" s="9">
        <v>86</v>
      </c>
      <c r="D16" s="9" t="s">
        <v>43</v>
      </c>
      <c r="E16" s="9" t="str" cm="1">
        <f t="array" ref="E16">_xlfn.LET(_xlpm.Agrade,ISNUMBER(SEARCH("A*",B16)),_xlpm.Bgrade,ISNUMBER(SEARCH("B*",B16)),_xlpm.Cgrade,ISNUMBER(SEARCH("C*",B16)),_xlfn.IFS(AND(D16="STEM",_xlpm.Agrade,C16&gt;=85),"Accepted",AND(NOT(D16="STEM"),OR(_xlpm.Agrade,_xlpm.Bgrade),C16&gt;=80),"Accepted",AND(D16="STEM",OR(_xlpm.Agrade,_xlpm.Bgrade),C16&gt;=80,C16&lt;=84),"Interview",AND(NOT(D16="STEM"),OR(_xlpm.Agrade,_xlpm.Bgrade,_xlpm.Cgrade),C16&gt;=50,C16&lt;=79),"Interview",AND(_xlpm.Cgrade,C16&lt;50),"Not Accepted",B16="D","Not Accepted",TRUE,"Special Review"))</f>
        <v>Not Accepted</v>
      </c>
      <c r="H16" s="3"/>
    </row>
    <row r="17" spans="1:8" ht="18.600000000000001" customHeight="1" x14ac:dyDescent="0.25">
      <c r="A17" s="14" t="s">
        <v>38</v>
      </c>
      <c r="B17" s="7" t="s">
        <v>45</v>
      </c>
      <c r="C17" s="10">
        <v>88</v>
      </c>
      <c r="D17" s="10" t="s">
        <v>3</v>
      </c>
      <c r="E17" s="9" t="str" cm="1">
        <f t="array" ref="E17">_xlfn.LET(_xlpm.Agrade,ISNUMBER(SEARCH("A*",B17)),_xlpm.Bgrade,ISNUMBER(SEARCH("B*",B17)),_xlpm.Cgrade,ISNUMBER(SEARCH("C*",B17)),_xlfn.IFS(AND(D17="STEM",_xlpm.Agrade,C17&gt;=85),"Accepted",AND(NOT(D17="STEM"),OR(_xlpm.Agrade,_xlpm.Bgrade),C17&gt;=80),"Accepted",AND(D17="STEM",OR(_xlpm.Agrade,_xlpm.Bgrade),C17&gt;=80,C17&lt;=84),"Interview",AND(NOT(D17="STEM"),OR(_xlpm.Agrade,_xlpm.Bgrade,_xlpm.Cgrade),C17&gt;=50,C17&lt;=79),"Interview",AND(_xlpm.Cgrade,C17&lt;50),"Not Accepted",B17="D","Not Accepted",TRUE,"Special Review"))</f>
        <v>Special Review</v>
      </c>
      <c r="H17" s="3"/>
    </row>
    <row r="18" spans="1:8" ht="18.600000000000001" customHeight="1" x14ac:dyDescent="0.25">
      <c r="A18" s="13" t="s">
        <v>39</v>
      </c>
      <c r="B18" s="6" t="s">
        <v>1</v>
      </c>
      <c r="C18" s="9">
        <v>91</v>
      </c>
      <c r="D18" s="9" t="s">
        <v>3</v>
      </c>
      <c r="E18" s="9" t="str" cm="1">
        <f t="array" ref="E18">_xlfn.LET(_xlpm.Agrade,ISNUMBER(SEARCH("A*",B18)),_xlpm.Bgrade,ISNUMBER(SEARCH("B*",B18)),_xlpm.Cgrade,ISNUMBER(SEARCH("C*",B18)),_xlfn.IFS(AND(D18="STEM",_xlpm.Agrade,C18&gt;=85),"Accepted",AND(NOT(D18="STEM"),OR(_xlpm.Agrade,_xlpm.Bgrade),C18&gt;=80),"Accepted",AND(D18="STEM",OR(_xlpm.Agrade,_xlpm.Bgrade),C18&gt;=80,C18&lt;=84),"Interview",AND(NOT(D18="STEM"),OR(_xlpm.Agrade,_xlpm.Bgrade,_xlpm.Cgrade),C18&gt;=50,C18&lt;=79),"Interview",AND(_xlpm.Cgrade,C18&lt;50),"Not Accepted",B18="D","Not Accepted",TRUE,"Special Review"))</f>
        <v>Accepted</v>
      </c>
      <c r="H18" s="3"/>
    </row>
    <row r="19" spans="1:8" ht="18.600000000000001" customHeight="1" x14ac:dyDescent="0.25">
      <c r="A19" s="14" t="s">
        <v>40</v>
      </c>
      <c r="B19" s="7" t="s">
        <v>44</v>
      </c>
      <c r="C19" s="10">
        <v>90</v>
      </c>
      <c r="D19" s="10" t="s">
        <v>3</v>
      </c>
      <c r="E19" s="9" t="str" cm="1">
        <f t="array" ref="E19">_xlfn.LET(_xlpm.Agrade,ISNUMBER(SEARCH("A*",B19)),_xlpm.Bgrade,ISNUMBER(SEARCH("B*",B19)),_xlpm.Cgrade,ISNUMBER(SEARCH("C*",B19)),_xlfn.IFS(AND(D19="STEM",_xlpm.Agrade,C19&gt;=85),"Accepted",AND(NOT(D19="STEM"),OR(_xlpm.Agrade,_xlpm.Bgrade),C19&gt;=80),"Accepted",AND(D19="STEM",OR(_xlpm.Agrade,_xlpm.Bgrade),C19&gt;=80,C19&lt;=84),"Interview",AND(NOT(D19="STEM"),OR(_xlpm.Agrade,_xlpm.Bgrade,_xlpm.Cgrade),C19&gt;=50,C19&lt;=79),"Interview",AND(_xlpm.Cgrade,C19&lt;50),"Not Accepted",B19="D","Not Accepted",TRUE,"Special Review"))</f>
        <v>Accepted</v>
      </c>
      <c r="H19" s="3"/>
    </row>
    <row r="20" spans="1:8" ht="18.600000000000001" customHeight="1" x14ac:dyDescent="0.25">
      <c r="A20" s="13" t="s">
        <v>41</v>
      </c>
      <c r="B20" s="6" t="s">
        <v>19</v>
      </c>
      <c r="C20" s="9">
        <v>86</v>
      </c>
      <c r="D20" s="9" t="s">
        <v>17</v>
      </c>
      <c r="E20" s="9" t="str" cm="1">
        <f t="array" ref="E20">_xlfn.LET(_xlpm.Agrade,ISNUMBER(SEARCH("A*",B20)),_xlpm.Bgrade,ISNUMBER(SEARCH("B*",B20)),_xlpm.Cgrade,ISNUMBER(SEARCH("C*",B20)),_xlfn.IFS(AND(D20="STEM",_xlpm.Agrade,C20&gt;=85),"Accepted",AND(NOT(D20="STEM"),OR(_xlpm.Agrade,_xlpm.Bgrade),C20&gt;=80),"Accepted",AND(D20="STEM",OR(_xlpm.Agrade,_xlpm.Bgrade),C20&gt;=80,C20&lt;=84),"Interview",AND(NOT(D20="STEM"),OR(_xlpm.Agrade,_xlpm.Bgrade,_xlpm.Cgrade),C20&gt;=50,C20&lt;=79),"Interview",AND(_xlpm.Cgrade,C20&lt;50),"Not Accepted",B20="D","Not Accepted",TRUE,"Special Review"))</f>
        <v>Special Review</v>
      </c>
      <c r="H20" s="3"/>
    </row>
    <row r="21" spans="1:8" ht="18.600000000000001" customHeight="1" x14ac:dyDescent="0.25">
      <c r="A21" s="15" t="s">
        <v>42</v>
      </c>
      <c r="B21" s="8" t="s">
        <v>20</v>
      </c>
      <c r="C21" s="11">
        <v>172</v>
      </c>
      <c r="D21" s="11" t="s">
        <v>17</v>
      </c>
      <c r="E21" s="9" t="str" cm="1">
        <f t="array" ref="E21">_xlfn.LET(_xlpm.Agrade,ISNUMBER(SEARCH("A*",B21)),_xlpm.Bgrade,ISNUMBER(SEARCH("B*",B21)),_xlpm.Cgrade,ISNUMBER(SEARCH("C*",B21)),_xlfn.IFS(AND(D21="STEM",_xlpm.Agrade,C21&gt;=85),"Accepted",AND(NOT(D21="STEM"),OR(_xlpm.Agrade,_xlpm.Bgrade),C21&gt;=80),"Accepted",AND(D21="STEM",OR(_xlpm.Agrade,_xlpm.Bgrade),C21&gt;=80,C21&lt;=84),"Interview",AND(NOT(D21="STEM"),OR(_xlpm.Agrade,_xlpm.Bgrade,_xlpm.Cgrade),C21&gt;=50,C21&lt;=79),"Interview",AND(_xlpm.Cgrade,C21&lt;50),"Not Accepted",B21="D","Not Accepted",TRUE,"Special Review"))</f>
        <v>Accepted</v>
      </c>
      <c r="H21" s="3"/>
    </row>
    <row r="22" spans="1:8" ht="18.600000000000001" customHeight="1" x14ac:dyDescent="0.25">
      <c r="H22" s="3"/>
    </row>
    <row r="23" spans="1:8" ht="15" x14ac:dyDescent="0.25">
      <c r="A23" s="1" t="s">
        <v>21</v>
      </c>
      <c r="B23" s="1" t="s">
        <v>0</v>
      </c>
      <c r="C23" s="1" t="s">
        <v>49</v>
      </c>
      <c r="D23" s="1" t="s">
        <v>5</v>
      </c>
      <c r="E23" s="1" t="s">
        <v>2</v>
      </c>
      <c r="F23" t="s">
        <v>50</v>
      </c>
      <c r="G23" s="1" t="s">
        <v>15</v>
      </c>
      <c r="H23" s="3"/>
    </row>
    <row r="24" spans="1:8" ht="15" x14ac:dyDescent="0.25">
      <c r="A24" s="27" t="s">
        <v>23</v>
      </c>
      <c r="B24" s="27" t="s">
        <v>1</v>
      </c>
      <c r="C24" s="27" t="s">
        <v>1</v>
      </c>
      <c r="D24">
        <v>87</v>
      </c>
      <c r="E24" s="28" t="s">
        <v>3</v>
      </c>
      <c r="F24" s="29" t="s">
        <v>3</v>
      </c>
      <c r="G24" t="str" cm="1">
        <f t="array" ref="G24">_xlfn.XLOOKUP(Students_1[[#This Row],[only STEM]]&amp;Students_1[[#This Row],[Grade without -+]],grates[Program]&amp;grates[Term Grade],grates[Application Status])</f>
        <v>Accepted</v>
      </c>
      <c r="H24" s="3"/>
    </row>
    <row r="25" spans="1:8" ht="15" x14ac:dyDescent="0.25">
      <c r="A25" s="27" t="s">
        <v>24</v>
      </c>
      <c r="B25" s="27" t="s">
        <v>22</v>
      </c>
      <c r="C25" s="27" t="s">
        <v>22</v>
      </c>
      <c r="D25">
        <v>87</v>
      </c>
      <c r="E25" s="28" t="s">
        <v>17</v>
      </c>
      <c r="F25" s="29" t="s">
        <v>11</v>
      </c>
      <c r="G25"/>
      <c r="H25" s="3"/>
    </row>
    <row r="26" spans="1:8" ht="15" x14ac:dyDescent="0.25">
      <c r="A26" s="27" t="s">
        <v>25</v>
      </c>
      <c r="B26" s="27" t="s">
        <v>20</v>
      </c>
      <c r="C26" s="27" t="s">
        <v>22</v>
      </c>
      <c r="D26">
        <v>50</v>
      </c>
      <c r="E26" s="28" t="s">
        <v>17</v>
      </c>
      <c r="F26" s="29" t="s">
        <v>11</v>
      </c>
      <c r="G26"/>
    </row>
    <row r="27" spans="1:8" ht="15" x14ac:dyDescent="0.25">
      <c r="A27" s="27" t="s">
        <v>26</v>
      </c>
      <c r="B27" s="27" t="s">
        <v>4</v>
      </c>
      <c r="C27" s="27" t="s">
        <v>4</v>
      </c>
      <c r="D27">
        <v>-65</v>
      </c>
      <c r="E27" s="28" t="s">
        <v>17</v>
      </c>
      <c r="F27" s="29" t="s">
        <v>11</v>
      </c>
      <c r="G27"/>
    </row>
    <row r="28" spans="1:8" ht="15" x14ac:dyDescent="0.25">
      <c r="A28" s="27" t="s">
        <v>27</v>
      </c>
      <c r="B28" s="27" t="s">
        <v>20</v>
      </c>
      <c r="C28" s="27" t="s">
        <v>22</v>
      </c>
      <c r="D28">
        <v>95</v>
      </c>
      <c r="E28" s="28" t="s">
        <v>3</v>
      </c>
      <c r="F28" s="29" t="s">
        <v>3</v>
      </c>
      <c r="G28"/>
    </row>
    <row r="29" spans="1:8" ht="15" x14ac:dyDescent="0.25">
      <c r="A29" s="27" t="s">
        <v>28</v>
      </c>
      <c r="B29" s="27" t="s">
        <v>20</v>
      </c>
      <c r="C29" s="27" t="s">
        <v>22</v>
      </c>
      <c r="D29">
        <v>81</v>
      </c>
      <c r="E29" s="28" t="s">
        <v>43</v>
      </c>
      <c r="F29" s="29" t="s">
        <v>11</v>
      </c>
      <c r="G29"/>
    </row>
    <row r="30" spans="1:8" ht="15" x14ac:dyDescent="0.25">
      <c r="A30" s="27" t="s">
        <v>29</v>
      </c>
      <c r="B30" s="27" t="s">
        <v>18</v>
      </c>
      <c r="C30" s="27" t="s">
        <v>19</v>
      </c>
      <c r="D30">
        <v>47</v>
      </c>
      <c r="E30" s="28" t="s">
        <v>43</v>
      </c>
      <c r="F30" s="29" t="s">
        <v>11</v>
      </c>
      <c r="G30"/>
    </row>
    <row r="31" spans="1:8" ht="15" x14ac:dyDescent="0.25">
      <c r="A31" s="27" t="s">
        <v>30</v>
      </c>
      <c r="B31" s="27" t="s">
        <v>18</v>
      </c>
      <c r="C31" s="27" t="s">
        <v>19</v>
      </c>
      <c r="D31">
        <v>92</v>
      </c>
      <c r="E31" s="28" t="s">
        <v>43</v>
      </c>
      <c r="F31" s="29" t="s">
        <v>11</v>
      </c>
      <c r="G31"/>
    </row>
    <row r="32" spans="1:8" ht="15" x14ac:dyDescent="0.25">
      <c r="A32" s="27" t="s">
        <v>31</v>
      </c>
      <c r="B32" s="27" t="s">
        <v>22</v>
      </c>
      <c r="C32" s="27" t="s">
        <v>22</v>
      </c>
      <c r="D32">
        <v>80</v>
      </c>
      <c r="E32" s="28" t="s">
        <v>43</v>
      </c>
      <c r="F32" s="29" t="s">
        <v>11</v>
      </c>
      <c r="G32"/>
    </row>
    <row r="33" spans="1:7" ht="15" x14ac:dyDescent="0.25">
      <c r="A33" s="27" t="s">
        <v>32</v>
      </c>
      <c r="B33" s="27" t="s">
        <v>16</v>
      </c>
      <c r="C33" s="27" t="s">
        <v>1</v>
      </c>
      <c r="D33">
        <v>80</v>
      </c>
      <c r="E33" s="28" t="s">
        <v>3</v>
      </c>
      <c r="F33" s="29" t="s">
        <v>3</v>
      </c>
      <c r="G33"/>
    </row>
    <row r="34" spans="1:7" ht="15" x14ac:dyDescent="0.25">
      <c r="A34" s="27" t="s">
        <v>33</v>
      </c>
      <c r="B34" s="27" t="s">
        <v>44</v>
      </c>
      <c r="C34" s="27" t="s">
        <v>1</v>
      </c>
      <c r="D34">
        <v>80</v>
      </c>
      <c r="E34" s="28" t="s">
        <v>17</v>
      </c>
      <c r="F34" s="29" t="s">
        <v>11</v>
      </c>
      <c r="G34"/>
    </row>
    <row r="35" spans="1:7" ht="15" x14ac:dyDescent="0.25">
      <c r="A35" s="27" t="s">
        <v>34</v>
      </c>
      <c r="B35" s="27" t="s">
        <v>22</v>
      </c>
      <c r="C35" s="27" t="s">
        <v>22</v>
      </c>
      <c r="D35">
        <v>91</v>
      </c>
      <c r="E35" s="28" t="s">
        <v>17</v>
      </c>
      <c r="F35" s="29" t="s">
        <v>11</v>
      </c>
      <c r="G35"/>
    </row>
    <row r="36" spans="1:7" ht="15" x14ac:dyDescent="0.25">
      <c r="A36" s="27" t="s">
        <v>35</v>
      </c>
      <c r="B36" s="27" t="s">
        <v>44</v>
      </c>
      <c r="C36" s="27" t="s">
        <v>1</v>
      </c>
      <c r="D36">
        <v>80</v>
      </c>
      <c r="E36" s="28" t="s">
        <v>17</v>
      </c>
      <c r="F36" s="29" t="s">
        <v>11</v>
      </c>
      <c r="G36"/>
    </row>
    <row r="37" spans="1:7" ht="15" x14ac:dyDescent="0.25">
      <c r="A37" s="27" t="s">
        <v>36</v>
      </c>
      <c r="B37" s="27" t="s">
        <v>44</v>
      </c>
      <c r="C37" s="27" t="s">
        <v>1</v>
      </c>
      <c r="D37">
        <v>39</v>
      </c>
      <c r="E37" s="28" t="s">
        <v>17</v>
      </c>
      <c r="F37" s="29" t="s">
        <v>11</v>
      </c>
      <c r="G37"/>
    </row>
    <row r="38" spans="1:7" ht="15" x14ac:dyDescent="0.25">
      <c r="A38" s="27" t="s">
        <v>37</v>
      </c>
      <c r="B38" s="27" t="s">
        <v>4</v>
      </c>
      <c r="C38" s="27" t="s">
        <v>4</v>
      </c>
      <c r="D38">
        <v>86</v>
      </c>
      <c r="E38" s="28" t="s">
        <v>43</v>
      </c>
      <c r="F38" s="29" t="s">
        <v>11</v>
      </c>
      <c r="G38"/>
    </row>
    <row r="39" spans="1:7" ht="15" x14ac:dyDescent="0.25">
      <c r="A39" s="27" t="s">
        <v>38</v>
      </c>
      <c r="B39" s="27" t="s">
        <v>45</v>
      </c>
      <c r="C39" s="27" t="s">
        <v>22</v>
      </c>
      <c r="D39">
        <v>88</v>
      </c>
      <c r="E39" s="28" t="s">
        <v>3</v>
      </c>
      <c r="F39" s="29" t="s">
        <v>3</v>
      </c>
      <c r="G39"/>
    </row>
    <row r="40" spans="1:7" ht="15" x14ac:dyDescent="0.25">
      <c r="A40" s="27" t="s">
        <v>39</v>
      </c>
      <c r="B40" s="27" t="s">
        <v>1</v>
      </c>
      <c r="C40" s="27" t="s">
        <v>1</v>
      </c>
      <c r="D40">
        <v>91</v>
      </c>
      <c r="E40" s="28" t="s">
        <v>3</v>
      </c>
      <c r="F40" s="29" t="s">
        <v>3</v>
      </c>
      <c r="G40"/>
    </row>
    <row r="41" spans="1:7" ht="15" x14ac:dyDescent="0.25">
      <c r="A41" s="27" t="s">
        <v>40</v>
      </c>
      <c r="B41" s="27" t="s">
        <v>44</v>
      </c>
      <c r="C41" s="27" t="s">
        <v>1</v>
      </c>
      <c r="D41">
        <v>90</v>
      </c>
      <c r="E41" s="28" t="s">
        <v>3</v>
      </c>
      <c r="F41" s="29" t="s">
        <v>3</v>
      </c>
      <c r="G41"/>
    </row>
    <row r="42" spans="1:7" ht="15" x14ac:dyDescent="0.25">
      <c r="A42" s="27" t="s">
        <v>41</v>
      </c>
      <c r="B42" s="27" t="s">
        <v>19</v>
      </c>
      <c r="C42" s="27" t="s">
        <v>19</v>
      </c>
      <c r="D42">
        <v>86</v>
      </c>
      <c r="E42" s="28" t="s">
        <v>17</v>
      </c>
      <c r="F42" s="29" t="s">
        <v>11</v>
      </c>
      <c r="G42"/>
    </row>
    <row r="43" spans="1:7" ht="15" x14ac:dyDescent="0.25">
      <c r="A43" s="27" t="s">
        <v>42</v>
      </c>
      <c r="B43" s="27" t="s">
        <v>20</v>
      </c>
      <c r="C43" s="27" t="s">
        <v>22</v>
      </c>
      <c r="D43">
        <v>172</v>
      </c>
      <c r="E43" s="28" t="s">
        <v>17</v>
      </c>
      <c r="F43" s="29" t="s">
        <v>11</v>
      </c>
      <c r="G43"/>
    </row>
  </sheetData>
  <sortState xmlns:xlrd2="http://schemas.microsoft.com/office/spreadsheetml/2017/richdata2" ref="A2:A86">
    <sortCondition ref="A2:A86"/>
  </sortState>
  <phoneticPr fontId="4" type="noConversion"/>
  <conditionalFormatting sqref="E2:E21">
    <cfRule type="expression" dxfId="2" priority="1">
      <formula>$E2="Accepted"</formula>
    </cfRule>
    <cfRule type="expression" dxfId="1" priority="2">
      <formula>$E2="Interview"</formula>
    </cfRule>
    <cfRule type="expression" dxfId="0" priority="3">
      <formula>$E2="Not Accepted"</formula>
    </cfRule>
  </conditionalFormatting>
  <dataValidations count="3">
    <dataValidation allowBlank="1" showInputMessage="1" showErrorMessage="1" error="Enter a value between 0 and 100" sqref="C2:C21" xr:uid="{9159BB1E-A422-4BB3-9907-35E936C22A54}"/>
    <dataValidation type="list" allowBlank="1" showInputMessage="1" showErrorMessage="1" sqref="D2:D21" xr:uid="{316DCCBF-45D0-4D20-A12B-0BF399F1C125}">
      <formula1>"Arts, Business, STEM"</formula1>
    </dataValidation>
    <dataValidation type="list" allowBlank="1" showInputMessage="1" showErrorMessage="1" sqref="B2:B21" xr:uid="{B4060CCE-0B1A-4FBA-8D45-C3EC604C013E}">
      <formula1>"A, A+, A-, B, B+, B-, C, C+, C-, D"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68B3D-DB9B-4D26-8A9B-59831901BC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grates</vt:lpstr>
      <vt:lpstr>Challenge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2022-07-16T01:53:55Z</dcterms:created>
  <dcterms:modified xsi:type="dcterms:W3CDTF">2026-06-27T06:24:26Z</dcterms:modified>
</cp:coreProperties>
</file>