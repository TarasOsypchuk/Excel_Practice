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1-Challenge_TransformingDataWithExcelFunctions\"/>
    </mc:Choice>
  </mc:AlternateContent>
  <xr:revisionPtr revIDLastSave="0" documentId="13_ncr:1_{AC3E3BA7-F62F-4F74-B82E-4990D120F279}" xr6:coauthVersionLast="47" xr6:coauthVersionMax="47" xr10:uidLastSave="{00000000-0000-0000-0000-000000000000}"/>
  <bookViews>
    <workbookView xWindow="-120" yWindow="-120" windowWidth="29040" windowHeight="15720" xr2:uid="{CEB54972-7613-448C-8870-3CCC02675F05}"/>
  </bookViews>
  <sheets>
    <sheet name="Marathon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1" l="1" a="1"/>
  <c r="B41" i="1" s="1"/>
  <c r="C38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<sst xmlns="http://schemas.openxmlformats.org/spreadsheetml/2006/main" count="74" uniqueCount="41">
  <si>
    <t>John Smith</t>
  </si>
  <si>
    <t>Emily Johnson</t>
  </si>
  <si>
    <t>Michael Williams</t>
  </si>
  <si>
    <t>Sarah Brown</t>
  </si>
  <si>
    <t>David Jones</t>
  </si>
  <si>
    <t>Jessica Davis</t>
  </si>
  <si>
    <t>Christopher Wilson</t>
  </si>
  <si>
    <t>Ashley Martinez</t>
  </si>
  <si>
    <t>Matthew Taylor</t>
  </si>
  <si>
    <t>Amanda Anderson</t>
  </si>
  <si>
    <t>Daniel Moore</t>
  </si>
  <si>
    <t>Lauren Thomas</t>
  </si>
  <si>
    <t>James Jackson</t>
  </si>
  <si>
    <t>Samantha White</t>
  </si>
  <si>
    <t>Ryan Garcia</t>
  </si>
  <si>
    <t>Brittany Harris</t>
  </si>
  <si>
    <t>Kevin Lee</t>
  </si>
  <si>
    <t>Elizabeth Martin</t>
  </si>
  <si>
    <t>Jason Rodriguez</t>
  </si>
  <si>
    <t>Jennifer Thompson</t>
  </si>
  <si>
    <t>Brian Perez</t>
  </si>
  <si>
    <t>Megan Lewis</t>
  </si>
  <si>
    <t>Joshua Hall</t>
  </si>
  <si>
    <t>Kimberly Clark</t>
  </si>
  <si>
    <t>Andrew Walker</t>
  </si>
  <si>
    <t>Nicole Young</t>
  </si>
  <si>
    <t>Robert Allen</t>
  </si>
  <si>
    <t>Ashley King</t>
  </si>
  <si>
    <t>Justin Wright</t>
  </si>
  <si>
    <t>Taylor Scott</t>
  </si>
  <si>
    <t>Athlete</t>
  </si>
  <si>
    <t>Bib Number</t>
  </si>
  <si>
    <t>London Marathon 2025</t>
  </si>
  <si>
    <t>Number of athletes:</t>
  </si>
  <si>
    <t>Blue Wave (9AM)</t>
  </si>
  <si>
    <t>Red Wave (10AM)</t>
  </si>
  <si>
    <t>Green Wave (11AM)</t>
  </si>
  <si>
    <t>Marathon Distance:</t>
  </si>
  <si>
    <t>42kms</t>
  </si>
  <si>
    <t>10K Time</t>
  </si>
  <si>
    <t>Marathon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</si>
</sst>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C09]hh:mm;@"/>
  </numFmts>
  <fonts count="5" x14ac:knownFonts="1">
    <font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i/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20" fontId="0" fillId="0" borderId="0" xfId="0" applyNumberFormat="1"/>
    <xf numFmtId="0" fontId="0" fillId="2" borderId="1" xfId="0" applyFill="1" applyBorder="1"/>
    <xf numFmtId="0" fontId="2" fillId="0" borderId="2" xfId="0" applyFont="1" applyBorder="1"/>
    <xf numFmtId="0" fontId="0" fillId="2" borderId="3" xfId="0" applyFill="1" applyBorder="1"/>
    <xf numFmtId="0" fontId="1" fillId="4" borderId="4" xfId="0" applyFont="1" applyFill="1" applyBorder="1"/>
    <xf numFmtId="0" fontId="1" fillId="5" borderId="5" xfId="0" applyFont="1" applyFill="1" applyBorder="1"/>
    <xf numFmtId="0" fontId="1" fillId="6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434340</xdr:colOff>
      <xdr:row>3</xdr:row>
      <xdr:rowOff>167640</xdr:rowOff>
    </xdr:from>
    <xdr:to>
      <xdr:col>14</xdr:col>
      <xdr:colOff>396240</xdr:colOff>
      <xdr:row>27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B2027A-64E1-360E-9763-070E3BFA725B}"/>
            </a:ext>
          </a:extLst>
        </xdr:cNvPr>
        <xdr:cNvSpPr/>
      </xdr:nvSpPr>
      <xdr:spPr>
        <a:xfrm>
          <a:off x="9593580" y="800100"/>
          <a:ext cx="4259580" cy="4297680"/>
        </a:xfrm>
        <a:prstGeom prst="roundRect">
          <a:avLst>
            <a:gd name="adj" fmla="val 3337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ysClr val="windowText" lastClr="000000"/>
              </a:solidFill>
              <a:latin typeface="Aptos" panose="020B0004020202020204" pitchFamily="34" charset="0"/>
            </a:rPr>
            <a:t>INSTRUCTIONS:</a:t>
          </a:r>
        </a:p>
        <a:p>
          <a:pPr algn="l"/>
          <a:endParaRPr lang="en-GB" sz="1100" b="1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>
              <a:solidFill>
                <a:sysClr val="windowText" lastClr="000000"/>
              </a:solidFill>
              <a:latin typeface="Aptos" panose="020B0004020202020204" pitchFamily="34" charset="0"/>
            </a:rPr>
            <a:t>- Based</a:t>
          </a:r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 on each athletes 10K time, calculate their estimated marathon finishing time.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Generate and assign a random Bib Number to each athelete. Bib numbers should be between '10000' and '99999'. Ensure there are no duplicates.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Convert the dataset to an Excel table and name it 'Marathon2025'.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In columns G - I, pick out of the dataset columns 1, 2 and 4.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Ensure the marathon times are formatted correctly as h:mm.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Sort the list by the marathon time and then by the athlete name in ascending order so the fastest runner is at the top of the list.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In cell C38, enter the total number of athletes.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r>
            <a:rPr lang="en-GB" sz="11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- In cells B40 to D50, organize the marathon runners into even start groups (wave). </a:t>
          </a: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endParaRPr lang="en-GB" sz="1100" b="0" baseline="0">
            <a:solidFill>
              <a:sysClr val="windowText" lastClr="000000"/>
            </a:solidFill>
            <a:latin typeface="Aptos" panose="020B0004020202020204" pitchFamily="34" charset="0"/>
          </a:endParaRPr>
        </a:p>
        <a:p>
          <a:pPr algn="l"/>
          <a:endParaRPr lang="en-GB" sz="1100" b="0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786E1-E581-47D6-940D-DCA95D0DC15B}" name="Marathon2025" displayName="Marathon2025" ref="B5:E35" totalsRowShown="0" headerRowDxfId="1">
  <autoFilter ref="B5:E35" xr:uid="{4D6786E1-E581-47D6-940D-DCA95D0DC15B}"/>
  <tableColumns count="4">
    <tableColumn id="1" xr3:uid="{50404F84-A233-4233-85C5-7D227940F5FE}" name="Athlete" dataDxfId="5"/>
    <tableColumn id="2" xr3:uid="{6873C2D1-0C51-4293-BFC9-62DC44120E1B}" name="Bib Number" dataDxfId="4"/>
    <tableColumn id="3" xr3:uid="{00C28EED-C959-48C1-A9BA-43BEF04D0394}" name="10K Time" dataDxfId="3"/>
    <tableColumn id="4" xr3:uid="{BA61073A-E4C3-4B02-93DC-A333792BB19D}" name="Marathon Time" dataDxfId="2">
      <calculatedColumnFormula>D6*42/10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1EDC-69CD-4DA7-870D-FEA83B318BEE}">
  <dimension ref="A1:K50"/>
  <sheetViews>
    <sheetView tabSelected="1" topLeftCell="A3" zoomScale="85" zoomScaleNormal="85" workbookViewId="0">
      <selection activeCell="O30" sqref="O30"/>
    </sheetView>
  </sheetViews>
  <sheetFormatPr defaultRowHeight="15" x14ac:dyDescent="0.25"/>
  <cols>
    <col min="1" max="1" width="2.375" customWidth="1"/>
    <col min="2" max="2" width="17.75" customWidth="1"/>
    <col min="3" max="3" width="16" customWidth="1"/>
    <col min="4" max="4" width="17.125" bestFit="1" customWidth="1"/>
    <col min="5" max="5" width="15.5" customWidth="1"/>
    <col min="7" max="7" width="16" bestFit="1" customWidth="1"/>
    <col min="8" max="8" width="13.5" customWidth="1"/>
    <col min="9" max="9" width="14.625" customWidth="1"/>
    <col min="11" max="11" width="14" bestFit="1" customWidth="1"/>
    <col min="12" max="12" width="14.375" customWidth="1"/>
    <col min="13" max="13" width="10.375" customWidth="1"/>
  </cols>
  <sheetData>
    <row r="1" spans="1:11" s="2" customFormat="1" ht="19.899999999999999" customHeight="1" x14ac:dyDescent="0.25">
      <c r="A1" s="1"/>
      <c r="B1" s="2" t="s">
        <v>32</v>
      </c>
    </row>
    <row r="2" spans="1:11" ht="15.75" thickBot="1" x14ac:dyDescent="0.3"/>
    <row r="3" spans="1:11" ht="15.75" thickBot="1" x14ac:dyDescent="0.3">
      <c r="B3" s="21" t="s">
        <v>37</v>
      </c>
      <c r="C3" s="22" t="s">
        <v>38</v>
      </c>
    </row>
    <row r="4" spans="1:11" ht="15.75" thickBot="1" x14ac:dyDescent="0.3"/>
    <row r="5" spans="1:11" ht="15.75" thickBot="1" x14ac:dyDescent="0.3">
      <c r="B5" s="17" t="s">
        <v>30</v>
      </c>
      <c r="C5" s="17" t="s">
        <v>31</v>
      </c>
      <c r="D5" s="17" t="s">
        <v>39</v>
      </c>
      <c r="E5" s="17" t="s">
        <v>40</v>
      </c>
      <c r="G5" s="18" t="s">
        <v>30</v>
      </c>
      <c r="H5" s="19" t="s">
        <v>31</v>
      </c>
      <c r="I5" s="20" t="s">
        <v>40</v>
      </c>
    </row>
    <row r="6" spans="1:11" x14ac:dyDescent="0.25">
      <c r="B6" s="15" t="s">
        <v>0</v>
      </c>
      <c r="C6" s="15">
        <v>93720</v>
      </c>
      <c r="D6" s="16">
        <v>4.1666666666666664E-2</v>
      </c>
      <c r="E6" s="16">
        <f>D6*42/10</f>
        <v>0.17499999999999999</v>
      </c>
      <c r="G6" t="s">
        <v>28</v>
      </c>
      <c r="H6">
        <v>19984</v>
      </c>
      <c r="I6" s="24">
        <v>8.7499999999999994E-2</v>
      </c>
      <c r="K6" s="3"/>
    </row>
    <row r="7" spans="1:11" x14ac:dyDescent="0.25">
      <c r="B7" s="15" t="s">
        <v>1</v>
      </c>
      <c r="C7" s="15">
        <v>66047</v>
      </c>
      <c r="D7" s="16">
        <v>6.25E-2</v>
      </c>
      <c r="E7" s="16">
        <f t="shared" ref="E7:E35" si="0">D7*42/10</f>
        <v>0.26250000000000001</v>
      </c>
      <c r="G7" t="s">
        <v>14</v>
      </c>
      <c r="H7">
        <v>89363</v>
      </c>
      <c r="I7" s="24">
        <v>0.10208333333333333</v>
      </c>
    </row>
    <row r="8" spans="1:11" x14ac:dyDescent="0.25">
      <c r="B8" s="15" t="s">
        <v>2</v>
      </c>
      <c r="C8" s="15">
        <v>20807</v>
      </c>
      <c r="D8" s="16">
        <v>8.3333333333333329E-2</v>
      </c>
      <c r="E8" s="16">
        <f t="shared" si="0"/>
        <v>0.35</v>
      </c>
      <c r="G8" t="s">
        <v>4</v>
      </c>
      <c r="H8">
        <v>22779</v>
      </c>
      <c r="I8" s="24">
        <v>0.13125000000000001</v>
      </c>
    </row>
    <row r="9" spans="1:11" x14ac:dyDescent="0.25">
      <c r="B9" s="15" t="s">
        <v>3</v>
      </c>
      <c r="C9" s="15">
        <v>73229</v>
      </c>
      <c r="D9" s="16">
        <v>5.2083333333333336E-2</v>
      </c>
      <c r="E9" s="16">
        <f t="shared" si="0"/>
        <v>0.21875</v>
      </c>
      <c r="G9" t="s">
        <v>13</v>
      </c>
      <c r="H9">
        <v>75283</v>
      </c>
      <c r="I9" s="24">
        <v>0.13708333333333333</v>
      </c>
    </row>
    <row r="10" spans="1:11" x14ac:dyDescent="0.25">
      <c r="B10" s="15" t="s">
        <v>4</v>
      </c>
      <c r="C10" s="15">
        <v>22779</v>
      </c>
      <c r="D10" s="16">
        <v>3.125E-2</v>
      </c>
      <c r="E10" s="16">
        <f t="shared" si="0"/>
        <v>0.13125000000000001</v>
      </c>
      <c r="G10" t="s">
        <v>20</v>
      </c>
      <c r="H10">
        <v>82773</v>
      </c>
      <c r="I10" s="24">
        <v>0.13999999999999999</v>
      </c>
    </row>
    <row r="11" spans="1:11" x14ac:dyDescent="0.25">
      <c r="B11" s="15" t="s">
        <v>5</v>
      </c>
      <c r="C11" s="15">
        <v>31856</v>
      </c>
      <c r="D11" s="16">
        <v>4.5138888888888888E-2</v>
      </c>
      <c r="E11" s="16">
        <f t="shared" si="0"/>
        <v>0.18958333333333333</v>
      </c>
      <c r="G11" t="s">
        <v>8</v>
      </c>
      <c r="H11">
        <v>11114</v>
      </c>
      <c r="I11" s="24">
        <v>0.14583333333333334</v>
      </c>
    </row>
    <row r="12" spans="1:11" x14ac:dyDescent="0.25">
      <c r="B12" s="15" t="s">
        <v>6</v>
      </c>
      <c r="C12" s="15">
        <v>20377</v>
      </c>
      <c r="D12" s="16">
        <v>5.9027777777777776E-2</v>
      </c>
      <c r="E12" s="16">
        <f t="shared" si="0"/>
        <v>0.24791666666666665</v>
      </c>
      <c r="G12" t="s">
        <v>26</v>
      </c>
      <c r="H12">
        <v>13719</v>
      </c>
      <c r="I12" s="24">
        <v>0.15166666666666667</v>
      </c>
    </row>
    <row r="13" spans="1:11" x14ac:dyDescent="0.25">
      <c r="B13" s="15" t="s">
        <v>7</v>
      </c>
      <c r="C13" s="15">
        <v>69825</v>
      </c>
      <c r="D13" s="16">
        <v>3.8194444444444448E-2</v>
      </c>
      <c r="E13" s="16">
        <f t="shared" si="0"/>
        <v>0.16041666666666668</v>
      </c>
      <c r="G13" t="s">
        <v>7</v>
      </c>
      <c r="H13">
        <v>69825</v>
      </c>
      <c r="I13" s="24">
        <v>0.16041666666666668</v>
      </c>
    </row>
    <row r="14" spans="1:11" x14ac:dyDescent="0.25">
      <c r="B14" s="15" t="s">
        <v>8</v>
      </c>
      <c r="C14" s="15">
        <v>11114</v>
      </c>
      <c r="D14" s="16">
        <v>3.4722222222222224E-2</v>
      </c>
      <c r="E14" s="16">
        <f t="shared" si="0"/>
        <v>0.14583333333333334</v>
      </c>
      <c r="G14" t="s">
        <v>25</v>
      </c>
      <c r="H14">
        <v>24542</v>
      </c>
      <c r="I14" s="24">
        <v>0.16041666666666668</v>
      </c>
    </row>
    <row r="15" spans="1:11" x14ac:dyDescent="0.25">
      <c r="B15" s="15" t="s">
        <v>9</v>
      </c>
      <c r="C15" s="15">
        <v>36216</v>
      </c>
      <c r="D15" s="16">
        <v>4.1666666666666664E-2</v>
      </c>
      <c r="E15" s="16">
        <f t="shared" si="0"/>
        <v>0.17499999999999999</v>
      </c>
      <c r="G15" t="s">
        <v>19</v>
      </c>
      <c r="H15">
        <v>14615</v>
      </c>
      <c r="I15" s="24">
        <v>0.17208333333333334</v>
      </c>
    </row>
    <row r="16" spans="1:11" x14ac:dyDescent="0.25">
      <c r="B16" s="15" t="s">
        <v>10</v>
      </c>
      <c r="C16" s="15">
        <v>63528</v>
      </c>
      <c r="D16" s="16">
        <v>8.3333333333333329E-2</v>
      </c>
      <c r="E16" s="16">
        <f t="shared" si="0"/>
        <v>0.35</v>
      </c>
      <c r="G16" t="s">
        <v>9</v>
      </c>
      <c r="H16">
        <v>36216</v>
      </c>
      <c r="I16" s="24">
        <v>0.17499999999999999</v>
      </c>
    </row>
    <row r="17" spans="2:9" x14ac:dyDescent="0.25">
      <c r="B17" s="15" t="s">
        <v>11</v>
      </c>
      <c r="C17" s="15">
        <v>34945</v>
      </c>
      <c r="D17" s="16">
        <v>5.0694444444444445E-2</v>
      </c>
      <c r="E17" s="16">
        <f t="shared" si="0"/>
        <v>0.2129166666666667</v>
      </c>
      <c r="G17" t="s">
        <v>18</v>
      </c>
      <c r="H17">
        <v>72455</v>
      </c>
      <c r="I17" s="24">
        <v>0.17499999999999999</v>
      </c>
    </row>
    <row r="18" spans="2:9" x14ac:dyDescent="0.25">
      <c r="B18" s="15" t="s">
        <v>12</v>
      </c>
      <c r="C18" s="15">
        <v>28034</v>
      </c>
      <c r="D18" s="16">
        <v>4.8611111111111112E-2</v>
      </c>
      <c r="E18" s="16">
        <f t="shared" si="0"/>
        <v>0.20416666666666666</v>
      </c>
      <c r="G18" t="s">
        <v>0</v>
      </c>
      <c r="H18">
        <v>93720</v>
      </c>
      <c r="I18" s="24">
        <v>0.17499999999999999</v>
      </c>
    </row>
    <row r="19" spans="2:9" x14ac:dyDescent="0.25">
      <c r="B19" s="15" t="s">
        <v>13</v>
      </c>
      <c r="C19" s="15">
        <v>75283</v>
      </c>
      <c r="D19" s="16">
        <v>3.2638888888888891E-2</v>
      </c>
      <c r="E19" s="16">
        <f t="shared" si="0"/>
        <v>0.13708333333333333</v>
      </c>
      <c r="G19" t="s">
        <v>23</v>
      </c>
      <c r="H19">
        <v>41552</v>
      </c>
      <c r="I19" s="24">
        <v>0.17791666666666667</v>
      </c>
    </row>
    <row r="20" spans="2:9" x14ac:dyDescent="0.25">
      <c r="B20" s="15" t="s">
        <v>14</v>
      </c>
      <c r="C20" s="15">
        <v>89363</v>
      </c>
      <c r="D20" s="16">
        <v>2.4305555555555556E-2</v>
      </c>
      <c r="E20" s="16">
        <f t="shared" si="0"/>
        <v>0.10208333333333333</v>
      </c>
      <c r="G20" t="s">
        <v>5</v>
      </c>
      <c r="H20">
        <v>31856</v>
      </c>
      <c r="I20" s="24">
        <v>0.18958333333333333</v>
      </c>
    </row>
    <row r="21" spans="2:9" x14ac:dyDescent="0.25">
      <c r="B21" s="15" t="s">
        <v>15</v>
      </c>
      <c r="C21" s="15">
        <v>14100</v>
      </c>
      <c r="D21" s="16">
        <v>5.347222222222222E-2</v>
      </c>
      <c r="E21" s="16">
        <f t="shared" si="0"/>
        <v>0.2245833333333333</v>
      </c>
      <c r="G21" t="s">
        <v>16</v>
      </c>
      <c r="H21">
        <v>39988</v>
      </c>
      <c r="I21" s="24">
        <v>0.18958333333333333</v>
      </c>
    </row>
    <row r="22" spans="2:9" x14ac:dyDescent="0.25">
      <c r="B22" s="15" t="s">
        <v>16</v>
      </c>
      <c r="C22" s="15">
        <v>39988</v>
      </c>
      <c r="D22" s="16">
        <v>4.5138888888888888E-2</v>
      </c>
      <c r="E22" s="16">
        <f t="shared" si="0"/>
        <v>0.18958333333333333</v>
      </c>
      <c r="G22" t="s">
        <v>17</v>
      </c>
      <c r="H22">
        <v>59171</v>
      </c>
      <c r="I22" s="24">
        <v>0.19541666666666666</v>
      </c>
    </row>
    <row r="23" spans="2:9" x14ac:dyDescent="0.25">
      <c r="B23" s="15" t="s">
        <v>17</v>
      </c>
      <c r="C23" s="15">
        <v>59171</v>
      </c>
      <c r="D23" s="16">
        <v>4.6527777777777779E-2</v>
      </c>
      <c r="E23" s="16">
        <f t="shared" si="0"/>
        <v>0.19541666666666666</v>
      </c>
      <c r="G23" t="s">
        <v>24</v>
      </c>
      <c r="H23">
        <v>14019</v>
      </c>
      <c r="I23" s="24">
        <v>0.20416666666666666</v>
      </c>
    </row>
    <row r="24" spans="2:9" x14ac:dyDescent="0.25">
      <c r="B24" s="15" t="s">
        <v>18</v>
      </c>
      <c r="C24" s="15">
        <v>72455</v>
      </c>
      <c r="D24" s="16">
        <v>4.1666666666666664E-2</v>
      </c>
      <c r="E24" s="16">
        <f t="shared" si="0"/>
        <v>0.17499999999999999</v>
      </c>
      <c r="G24" t="s">
        <v>12</v>
      </c>
      <c r="H24">
        <v>28034</v>
      </c>
      <c r="I24" s="24">
        <v>0.20416666666666666</v>
      </c>
    </row>
    <row r="25" spans="2:9" x14ac:dyDescent="0.25">
      <c r="B25" s="15" t="s">
        <v>19</v>
      </c>
      <c r="C25" s="15">
        <v>14615</v>
      </c>
      <c r="D25" s="16">
        <v>4.0972222222222222E-2</v>
      </c>
      <c r="E25" s="16">
        <f t="shared" si="0"/>
        <v>0.17208333333333334</v>
      </c>
      <c r="G25" t="s">
        <v>22</v>
      </c>
      <c r="H25">
        <v>80132</v>
      </c>
      <c r="I25" s="24">
        <v>0.20708333333333334</v>
      </c>
    </row>
    <row r="26" spans="2:9" x14ac:dyDescent="0.25">
      <c r="B26" s="15" t="s">
        <v>20</v>
      </c>
      <c r="C26" s="15">
        <v>82773</v>
      </c>
      <c r="D26" s="16">
        <v>3.3333333333333333E-2</v>
      </c>
      <c r="E26" s="16">
        <f t="shared" si="0"/>
        <v>0.13999999999999999</v>
      </c>
      <c r="G26" t="s">
        <v>29</v>
      </c>
      <c r="H26">
        <v>57252</v>
      </c>
      <c r="I26" s="24">
        <v>0.21000000000000002</v>
      </c>
    </row>
    <row r="27" spans="2:9" x14ac:dyDescent="0.25">
      <c r="B27" s="15" t="s">
        <v>21</v>
      </c>
      <c r="C27" s="15">
        <v>57245</v>
      </c>
      <c r="D27" s="16">
        <v>6.25E-2</v>
      </c>
      <c r="E27" s="16">
        <f t="shared" si="0"/>
        <v>0.26250000000000001</v>
      </c>
      <c r="G27" t="s">
        <v>11</v>
      </c>
      <c r="H27">
        <v>34945</v>
      </c>
      <c r="I27" s="24">
        <v>0.2129166666666667</v>
      </c>
    </row>
    <row r="28" spans="2:9" x14ac:dyDescent="0.25">
      <c r="B28" s="15" t="s">
        <v>22</v>
      </c>
      <c r="C28" s="15">
        <v>80132</v>
      </c>
      <c r="D28" s="16">
        <v>4.9305555555555554E-2</v>
      </c>
      <c r="E28" s="16">
        <f t="shared" si="0"/>
        <v>0.20708333333333334</v>
      </c>
      <c r="G28" t="s">
        <v>3</v>
      </c>
      <c r="H28">
        <v>73229</v>
      </c>
      <c r="I28" s="24">
        <v>0.21875</v>
      </c>
    </row>
    <row r="29" spans="2:9" x14ac:dyDescent="0.25">
      <c r="B29" s="15" t="s">
        <v>23</v>
      </c>
      <c r="C29" s="15">
        <v>41552</v>
      </c>
      <c r="D29" s="16">
        <v>4.2361111111111113E-2</v>
      </c>
      <c r="E29" s="16">
        <f t="shared" si="0"/>
        <v>0.17791666666666667</v>
      </c>
      <c r="G29" t="s">
        <v>15</v>
      </c>
      <c r="H29">
        <v>14100</v>
      </c>
      <c r="I29" s="24">
        <v>0.2245833333333333</v>
      </c>
    </row>
    <row r="30" spans="2:9" x14ac:dyDescent="0.25">
      <c r="B30" s="15" t="s">
        <v>24</v>
      </c>
      <c r="C30" s="15">
        <v>14019</v>
      </c>
      <c r="D30" s="16">
        <v>4.8611111111111112E-2</v>
      </c>
      <c r="E30" s="16">
        <f t="shared" si="0"/>
        <v>0.20416666666666666</v>
      </c>
      <c r="G30" t="s">
        <v>6</v>
      </c>
      <c r="H30">
        <v>20377</v>
      </c>
      <c r="I30" s="24">
        <v>0.24791666666666665</v>
      </c>
    </row>
    <row r="31" spans="2:9" x14ac:dyDescent="0.25">
      <c r="B31" s="15" t="s">
        <v>25</v>
      </c>
      <c r="C31" s="15">
        <v>24542</v>
      </c>
      <c r="D31" s="16">
        <v>3.8194444444444448E-2</v>
      </c>
      <c r="E31" s="16">
        <f t="shared" si="0"/>
        <v>0.16041666666666668</v>
      </c>
      <c r="G31" t="s">
        <v>1</v>
      </c>
      <c r="H31">
        <v>66047</v>
      </c>
      <c r="I31" s="24">
        <v>0.26250000000000001</v>
      </c>
    </row>
    <row r="32" spans="2:9" x14ac:dyDescent="0.25">
      <c r="B32" s="15" t="s">
        <v>26</v>
      </c>
      <c r="C32" s="15">
        <v>13719</v>
      </c>
      <c r="D32" s="16">
        <v>3.6111111111111108E-2</v>
      </c>
      <c r="E32" s="16">
        <f t="shared" si="0"/>
        <v>0.15166666666666667</v>
      </c>
      <c r="G32" t="s">
        <v>21</v>
      </c>
      <c r="H32">
        <v>57245</v>
      </c>
      <c r="I32" s="24">
        <v>0.26250000000000001</v>
      </c>
    </row>
    <row r="33" spans="2:9" x14ac:dyDescent="0.25">
      <c r="B33" s="15" t="s">
        <v>27</v>
      </c>
      <c r="C33" s="15">
        <v>68868</v>
      </c>
      <c r="D33" s="16">
        <v>6.5972222222222224E-2</v>
      </c>
      <c r="E33" s="16">
        <f t="shared" si="0"/>
        <v>0.27708333333333335</v>
      </c>
      <c r="G33" t="s">
        <v>27</v>
      </c>
      <c r="H33">
        <v>68868</v>
      </c>
      <c r="I33" s="24">
        <v>0.27708333333333335</v>
      </c>
    </row>
    <row r="34" spans="2:9" x14ac:dyDescent="0.25">
      <c r="B34" s="15" t="s">
        <v>28</v>
      </c>
      <c r="C34" s="15">
        <v>19984</v>
      </c>
      <c r="D34" s="16">
        <v>2.0833333333333332E-2</v>
      </c>
      <c r="E34" s="16">
        <f t="shared" si="0"/>
        <v>8.7499999999999994E-2</v>
      </c>
      <c r="G34" t="s">
        <v>10</v>
      </c>
      <c r="H34">
        <v>63528</v>
      </c>
      <c r="I34" s="24">
        <v>0.35</v>
      </c>
    </row>
    <row r="35" spans="2:9" x14ac:dyDescent="0.25">
      <c r="B35" s="15" t="s">
        <v>29</v>
      </c>
      <c r="C35" s="15">
        <v>57252</v>
      </c>
      <c r="D35" s="16">
        <v>0.05</v>
      </c>
      <c r="E35" s="16">
        <f t="shared" si="0"/>
        <v>0.21000000000000002</v>
      </c>
      <c r="G35" t="s">
        <v>2</v>
      </c>
      <c r="H35">
        <v>20807</v>
      </c>
      <c r="I35" s="24">
        <v>0.35</v>
      </c>
    </row>
    <row r="36" spans="2:9" x14ac:dyDescent="0.25">
      <c r="I36" s="23"/>
    </row>
    <row r="37" spans="2:9" ht="15.75" thickBot="1" x14ac:dyDescent="0.3">
      <c r="I37" s="23"/>
    </row>
    <row r="38" spans="2:9" ht="15.75" thickBot="1" x14ac:dyDescent="0.3">
      <c r="B38" s="5" t="s">
        <v>33</v>
      </c>
      <c r="C38" s="6">
        <f>COUNTA(Marathon2025[Athlete])</f>
        <v>30</v>
      </c>
      <c r="I38" s="23"/>
    </row>
    <row r="39" spans="2:9" ht="15.75" thickBot="1" x14ac:dyDescent="0.3">
      <c r="I39" s="23"/>
    </row>
    <row r="40" spans="2:9" x14ac:dyDescent="0.25">
      <c r="B40" s="7" t="s">
        <v>34</v>
      </c>
      <c r="C40" s="8" t="s">
        <v>35</v>
      </c>
      <c r="D40" s="9" t="s">
        <v>36</v>
      </c>
      <c r="I40" s="23"/>
    </row>
    <row r="41" spans="2:9" x14ac:dyDescent="0.25">
      <c r="B41" s="10" t="str" cm="1">
        <f t="array" ref="B41:D50">_xlfn.WRAPCOLS(G6:G35,10)</f>
        <v>Justin Wright</v>
      </c>
      <c r="C41" s="4" t="str">
        <v>Amanda Anderson</v>
      </c>
      <c r="D41" s="11" t="str">
        <v>Taylor Scott</v>
      </c>
      <c r="I41" s="23"/>
    </row>
    <row r="42" spans="2:9" x14ac:dyDescent="0.25">
      <c r="B42" s="10" t="str">
        <v>Ryan Garcia</v>
      </c>
      <c r="C42" s="4" t="str">
        <v>Jason Rodriguez</v>
      </c>
      <c r="D42" s="11" t="str">
        <v>Lauren Thomas</v>
      </c>
      <c r="I42" s="23"/>
    </row>
    <row r="43" spans="2:9" x14ac:dyDescent="0.25">
      <c r="B43" s="10" t="str">
        <v>David Jones</v>
      </c>
      <c r="C43" s="4" t="str">
        <v>John Smith</v>
      </c>
      <c r="D43" s="11" t="str">
        <v>Sarah Brown</v>
      </c>
      <c r="I43" s="23"/>
    </row>
    <row r="44" spans="2:9" x14ac:dyDescent="0.25">
      <c r="B44" s="10" t="str">
        <v>Samantha White</v>
      </c>
      <c r="C44" s="4" t="str">
        <v>Kimberly Clark</v>
      </c>
      <c r="D44" s="11" t="str">
        <v>Brittany Harris</v>
      </c>
      <c r="I44" s="23"/>
    </row>
    <row r="45" spans="2:9" x14ac:dyDescent="0.25">
      <c r="B45" s="10" t="str">
        <v>Brian Perez</v>
      </c>
      <c r="C45" s="4" t="str">
        <v>Jessica Davis</v>
      </c>
      <c r="D45" s="11" t="str">
        <v>Christopher Wilson</v>
      </c>
      <c r="I45" s="23"/>
    </row>
    <row r="46" spans="2:9" x14ac:dyDescent="0.25">
      <c r="B46" s="10" t="str">
        <v>Matthew Taylor</v>
      </c>
      <c r="C46" s="4" t="str">
        <v>Kevin Lee</v>
      </c>
      <c r="D46" s="11" t="str">
        <v>Emily Johnson</v>
      </c>
    </row>
    <row r="47" spans="2:9" x14ac:dyDescent="0.25">
      <c r="B47" s="10" t="str">
        <v>Robert Allen</v>
      </c>
      <c r="C47" s="4" t="str">
        <v>Elizabeth Martin</v>
      </c>
      <c r="D47" s="11" t="str">
        <v>Megan Lewis</v>
      </c>
    </row>
    <row r="48" spans="2:9" x14ac:dyDescent="0.25">
      <c r="B48" s="10" t="str">
        <v>Ashley Martinez</v>
      </c>
      <c r="C48" s="4" t="str">
        <v>Andrew Walker</v>
      </c>
      <c r="D48" s="11" t="str">
        <v>Ashley King</v>
      </c>
    </row>
    <row r="49" spans="2:4" x14ac:dyDescent="0.25">
      <c r="B49" s="10" t="str">
        <v>Nicole Young</v>
      </c>
      <c r="C49" s="4" t="str">
        <v>James Jackson</v>
      </c>
      <c r="D49" s="11" t="str">
        <v>Daniel Moore</v>
      </c>
    </row>
    <row r="50" spans="2:4" ht="15.75" thickBot="1" x14ac:dyDescent="0.3">
      <c r="B50" s="12" t="str">
        <v>Jennifer Thompson</v>
      </c>
      <c r="C50" s="13" t="str">
        <v>Joshua Hall</v>
      </c>
      <c r="D50" s="14" t="str">
        <v>Michael Williams</v>
      </c>
    </row>
  </sheetData>
  <sortState xmlns:xlrd2="http://schemas.microsoft.com/office/spreadsheetml/2017/richdata2" ref="G6:I35">
    <sortCondition ref="I6:I35"/>
    <sortCondition ref="G6:G35"/>
  </sortState>
  <conditionalFormatting sqref="C6:C35">
    <cfRule type="duplicateValues" dxfId="6" priority="1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Marathon2025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2024-04-18T18:09:32Z</dcterms:created>
  <dcterms:modified xsi:type="dcterms:W3CDTF">2026-06-29T17:55:23Z</dcterms:modified>
</cp:coreProperties>
</file>