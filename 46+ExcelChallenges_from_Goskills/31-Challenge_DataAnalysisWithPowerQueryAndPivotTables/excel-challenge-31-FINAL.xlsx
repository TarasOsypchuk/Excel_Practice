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ThinkPad\Desktop\Excel_Practice-main\46+ExcelChallenges_from_Goskills\31-Challenge_DataAnalysisWithPowerQueryAndPivotTables\"/>
    </mc:Choice>
  </mc:AlternateContent>
  <xr:revisionPtr revIDLastSave="0" documentId="13_ncr:1_{74D4A2C8-D584-43BF-987A-0B744B8F9ADC}" xr6:coauthVersionLast="47" xr6:coauthVersionMax="47" xr10:uidLastSave="{00000000-0000-0000-0000-000000000000}"/>
  <bookViews>
    <workbookView xWindow="-120" yWindow="-120" windowWidth="29040" windowHeight="15720" tabRatio="743" xr2:uid="{E1996F9A-E538-4F0A-9DF5-6F67AC69ECC1}"/>
  </bookViews>
  <sheets>
    <sheet name="Coffee Sales" sheetId="10" r:id="rId1"/>
  </sheets>
  <definedNames>
    <definedName name="ExternalData_1" localSheetId="0" hidden="1">'Coffee Sales'!$D$3:$I$61</definedName>
    <definedName name="Slicer_Size">#N/A</definedName>
  </definedNames>
  <calcPr calcId="191029"/>
  <pivotCaches>
    <pivotCache cacheId="6"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57FBC0-B973-462B-B197-500367940EE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<sst xmlns="http://schemas.openxmlformats.org/spreadsheetml/2006/main" count="205" uniqueCount="93">
  <si>
    <t>|   1001     | Espresso            |  Small   |    5     | $2.50   |   $12.50  |</t>
  </si>
  <si>
    <t>|   1002     | Espresso            |  Medium  |    3     | $3.00   |    $9.00  |</t>
  </si>
  <si>
    <t>|   1003     | Espresso            |  Large   |    2     | $3.50   |    $7.00  |</t>
  </si>
  <si>
    <t>|   1004     | Latte               |  Small   |    4     | $3.75   |   $15.00  |</t>
  </si>
  <si>
    <t>|   1005     | Latte               |  Medium  |    6     | $4.25   |   $25.50  |</t>
  </si>
  <si>
    <t>|   1006     | Latte               |  Large   |    2     | $4.75   |    $9.50  |</t>
  </si>
  <si>
    <t>|   1007     | Cappuccino          |  Small   |    3     | $3.00   |    $9.00  |</t>
  </si>
  <si>
    <t>|   1008     | Cappuccino          |  Medium  |    2     | $3.50   |    $7.00  |</t>
  </si>
  <si>
    <t>|   1009     | Cappuccino          |  Large   |    1     | $4.00   |    $4.00  |</t>
  </si>
  <si>
    <t>|   1010     | Americano           |  Small   |    6     | $2.75   |   $16.50  |</t>
  </si>
  <si>
    <t>|   1011     | Americano           |  Medium  |    4     | $3.25   |   $13.00  |</t>
  </si>
  <si>
    <t>|   1012     | Americano           |  Large   |    3     | $3.75   |   $11.25  |</t>
  </si>
  <si>
    <t>|   1013     | Mocha               |  Small   |    2     | $4.50   |    $9.00  |</t>
  </si>
  <si>
    <t>|   1014     | Mocha               |  Medium  |    1     | $5.00   |    $5.00  |</t>
  </si>
  <si>
    <t>|   1015     | Mocha               |  Large   |    2     | $5.50   |   $11.00  |</t>
  </si>
  <si>
    <t>|   1016     | Frappuccino         |  Small   |    3     | $4.25   |   $12.75  |</t>
  </si>
  <si>
    <t>|   1017     | Frappuccino         |  Medium  |    2     | $4.75   |    $9.50  |</t>
  </si>
  <si>
    <t>|   1018     | Frappuccino         |  Large   |    1     | $5.25   |    $5.25  |</t>
  </si>
  <si>
    <t>|   1019     | Iced Coffee         |  Small   |    4     | $3.00   |   $12.00  |</t>
  </si>
  <si>
    <t>|   1020     | Iced Coffee         |  Medium  |    5     | $3.50   |   $17.50  |</t>
  </si>
  <si>
    <t>|   1021     | Iced Coffee         |  Large   |    3     | $4.00   |   $12.00  |</t>
  </si>
  <si>
    <t>|   1022     | Flat White          |  Small   |    2     | $3.75   |    $7.50  |</t>
  </si>
  <si>
    <t>|   1023     | Flat White          |  Medium  |    3     | $4.25   |   $12.75  |</t>
  </si>
  <si>
    <t>|   1024     | Flat White          |  Large   |    1     | $4.75   |    $4.75  |</t>
  </si>
  <si>
    <t>|   1025     | Macchiato           |  Small   |    1     | $3.25   |    $3.25  |</t>
  </si>
  <si>
    <t>|   1026     | Macchiato           |  Medium  |    2     | $3.75   |    $7.50  |</t>
  </si>
  <si>
    <t>|   1027     | Macchiato           |  Large   |    2     | $4.25   |    $8.50  |</t>
  </si>
  <si>
    <t>|   1028     | Affogato            |  Small   |    1     | $4.50   |    $4.50  |</t>
  </si>
  <si>
    <t>|   1029     | Affogato            |  Medium  |    1     | $5.00   |    $5.00  |</t>
  </si>
  <si>
    <t>|   1030     | Affogato            |  Large   |    1     | $5.50   |    $5.50  |</t>
  </si>
  <si>
    <t>|   1031     | Irish Coffee        |  Small   |    2     | $5.75   |   $11.50  |</t>
  </si>
  <si>
    <t>|   1032     | Irish Coffee        |  Medium  |    1     | $6.25   |    $6.25  |</t>
  </si>
  <si>
    <t>|   1033     | Irish Coffee        |  Large   |    1     | $6.75   |    $6.75  |</t>
  </si>
  <si>
    <t>|   1034     | Turkish Coffee      |  Small   |    3     | $4.00   |   $12.00  |</t>
  </si>
  <si>
    <t>|   1035     | Turkish Coffee      |  Medium  |    2     | $4.50   |    $9.00  |</t>
  </si>
  <si>
    <t>|   1036     | Turkish Coffee      |  Large   |    1     | $5.00   |    $5.00  |</t>
  </si>
  <si>
    <t>|   1037     | Cold Brew           |  Small   |    4     | $3.50   |   $14.00  |</t>
  </si>
  <si>
    <t>|   1038     | Cold Brew           |  Medium  |    3     | $4.00   |   $12.00  |</t>
  </si>
  <si>
    <t>|   1039     | Cold Brew           |  Large   |    2     | $4.50   |    $9.00  |</t>
  </si>
  <si>
    <t>|   1040     | Nitro Coffee        |  Small   |    2     | $4.75   |    $9.50  |</t>
  </si>
  <si>
    <t>|   1041     | Nitro Coffee        |  Medium  |    1     | $5.25   |    $5.25  |</t>
  </si>
  <si>
    <t>|   1042     | Nitro Coffee        |  Large   |    1     | $5.75   |    $5.75  |</t>
  </si>
  <si>
    <t>|   1043     | Coffee Frappe       |  Small   |    3     | $4.00   |   $12.00  |</t>
  </si>
  <si>
    <t>|   1044     | Coffee Frappe       |  Medium  |    2     | $4.50   |    $9.00  |</t>
  </si>
  <si>
    <t>|   1045     | Coffee Frappe       |  Large   |    2     | $5.00   |   $10.00  |</t>
  </si>
  <si>
    <t>|   1046     | Espresso Macchiato  |  Small   |    1     | $3.75   |    $3.75  |</t>
  </si>
  <si>
    <t>|   1047     | Espresso Macchiato  |  Medium  |    1     | $4.25   |    $4.25  |</t>
  </si>
  <si>
    <t>|   1048     | Espresso Macchiato  |  Large   |    1     | $4.75   |    $4.75  |</t>
  </si>
  <si>
    <t>|   1049     | Vanilla Latte       |  Small   |    2     | $4.25   |    $8.50  |</t>
  </si>
  <si>
    <t>|   1050     | Vanilla Latte       |  Medium  |    3     | $4.75   |   $14.25  |</t>
  </si>
  <si>
    <t>|   1051     | Vanilla Latte       |  Large   |    1     | $5.25   |    $5.25  |</t>
  </si>
  <si>
    <t>|   1052     | Caramel Macchiato   |  Small   |    1     | $4.50   |    $4.50  |</t>
  </si>
  <si>
    <t>|   1053     | Caramel Macchiato   |  Medium  |    2     | $5.00   |   $10.00  |</t>
  </si>
  <si>
    <t>|   1054     | Caramel Macchiato   |  Large   |    1     | $5.50   |    $5.50  |</t>
  </si>
  <si>
    <t>|   1055     | Hazelnut Latte      |  Small   |    2     | $4.50   |    $9.00  |</t>
  </si>
  <si>
    <t>|   1056     | Hazelnut Latte      |  Medium  |    1     | $5.00   |    $5.00  |</t>
  </si>
  <si>
    <t>|   1057     | Hazelnut Latte      |  Large   |    2     | $5.50   |   $11.00  |</t>
  </si>
  <si>
    <t>|   1058     | Mocha Frappe        |  Small   |    3     | $4.25   |   $12.75  |</t>
  </si>
  <si>
    <t>| Product ID |    Product Name     |   Size   | Quantity |  Price  |   Total   |</t>
  </si>
  <si>
    <t>Column1</t>
  </si>
  <si>
    <t>Product ID</t>
  </si>
  <si>
    <t>Product Name</t>
  </si>
  <si>
    <t>Size</t>
  </si>
  <si>
    <t>Quantity</t>
  </si>
  <si>
    <t>Price</t>
  </si>
  <si>
    <t>Total</t>
  </si>
  <si>
    <t>Espresso</t>
  </si>
  <si>
    <t>Small</t>
  </si>
  <si>
    <t>Medium</t>
  </si>
  <si>
    <t>Large</t>
  </si>
  <si>
    <t>Latte</t>
  </si>
  <si>
    <t>Cappuccino</t>
  </si>
  <si>
    <t>Americano</t>
  </si>
  <si>
    <t>Mocha</t>
  </si>
  <si>
    <t>Frappuccino</t>
  </si>
  <si>
    <t>IcedCoffee</t>
  </si>
  <si>
    <t>FlatWhite</t>
  </si>
  <si>
    <t>Macchiato</t>
  </si>
  <si>
    <t>Affogato</t>
  </si>
  <si>
    <t>IrishCoffee</t>
  </si>
  <si>
    <t>TurkishCoffee</t>
  </si>
  <si>
    <t>ColdBrew</t>
  </si>
  <si>
    <t>NitroCoffee</t>
  </si>
  <si>
    <t>CoffeeFrappe</t>
  </si>
  <si>
    <t>EspressoMacchiato</t>
  </si>
  <si>
    <t>VanillaLatte</t>
  </si>
  <si>
    <t>CaramelMacchiato</t>
  </si>
  <si>
    <t>HazelnutLatte</t>
  </si>
  <si>
    <t>MochaFrappe</t>
  </si>
  <si>
    <t>Row Labels</t>
  </si>
  <si>
    <t>Grand Total</t>
  </si>
  <si>
    <t>Sum of Total</t>
  </si>
  <si>
    <t>Sum of +Tax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</si>
</sst>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2" x14ac:knownFonts="1">
    <font>
      <sz val="11"/>
      <color theme="1"/>
      <name val="Calibri"/>
      <family val="2"/>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NumberFormat="1" applyFont="1"/>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0">
    <dxf>
      <numFmt numFmtId="164" formatCode="_-[$$-409]* #,##0.00_ ;_-[$$-409]* \-#,##0.00\ ;_-[$$-409]* &quot;-&quot;??_ ;_-@_ "/>
    </dxf>
    <dxf>
      <numFmt numFmtId="164" formatCode="_-[$$-409]* #,##0.00_ ;_-[$$-409]* \-#,##0.00\ ;_-[$$-409]* &quot;-&quot;??_ ;_-@_ "/>
    </dxf>
    <dxf>
      <numFmt numFmtId="164" formatCode="_-[$$-409]* #,##0.00_ ;_-[$$-409]* \-#,##0.00\ ;_-[$$-409]* &quot;-&quot;??_ ;_-@_ "/>
    </dxf>
    <dxf>
      <font>
        <b val="0"/>
        <i val="0"/>
        <strike val="0"/>
        <condense val="0"/>
        <extend val="0"/>
        <outline val="0"/>
        <shadow val="0"/>
        <u val="none"/>
        <vertAlign val="baseline"/>
        <sz val="11"/>
        <color auto="1"/>
        <name val="Calibri"/>
        <family val="2"/>
        <scheme val="none"/>
      </font>
      <numFmt numFmtId="164" formatCode="_-[$$-409]* #,##0.00_ ;_-[$$-409]* \-#,##0.00\ ;_-[$$-409]* &quot;-&quot;??_ ;_-@_ "/>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numFmt numFmtId="0" formatCode="General"/>
    </dxf>
    <dxf>
      <font>
        <b val="0"/>
        <i val="0"/>
        <strike val="0"/>
        <condense val="0"/>
        <extend val="0"/>
        <outline val="0"/>
        <shadow val="0"/>
        <u val="none"/>
        <vertAlign val="baseline"/>
        <sz val="11"/>
        <color auto="1"/>
        <name val="Calibri"/>
        <family val="2"/>
        <scheme val="none"/>
      </font>
      <numFmt numFmtId="0" formatCode="General"/>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9</xdr:col>
      <xdr:colOff>460084</xdr:colOff>
      <xdr:row>1</xdr:row>
      <xdr:rowOff>184151</xdr:rowOff>
    </xdr:from>
    <xdr:to>
      <xdr:col>12</xdr:col>
      <xdr:colOff>328084</xdr:colOff>
      <xdr:row>1</xdr:row>
      <xdr:rowOff>635000</xdr:rowOff>
    </xdr:to>
    <mc:AlternateContent xmlns:mc="http://schemas.openxmlformats.org/markup-compatibility/2006">
      <mc:Choice xmlns:a14="http://schemas.microsoft.com/office/drawing/2010/main" Requires="a14">
        <xdr:graphicFrame macro="">
          <xdr:nvGraphicFramePr>
            <xdr:cNvPr id="2" name="Size">
              <a:extLst>
                <a:ext uri="{FF2B5EF4-FFF2-40B4-BE49-F238E27FC236}">
                  <a16:creationId xmlns:a16="http://schemas.microsoft.com/office/drawing/2014/main" id="{A3C0A060-6CC1-7822-DB52-A87D7579F2F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556584" y="374651"/>
              <a:ext cx="2513833" cy="4508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inkPad" refreshedDate="46201.468026967596" createdVersion="8" refreshedVersion="8" minRefreshableVersion="3" recordCount="58" xr:uid="{AC49770D-3C94-45EA-9FD3-0D062C20FA2E}">
  <cacheSource type="worksheet">
    <worksheetSource name="Table1_1"/>
  </cacheSource>
  <cacheFields count="7">
    <cacheField name="Product ID" numFmtId="0">
      <sharedItems containsSemiMixedTypes="0" containsString="0" containsNumber="1" containsInteger="1" minValue="1001" maxValue="1058"/>
    </cacheField>
    <cacheField name="Product Name" numFmtId="0">
      <sharedItems count="20">
        <s v="Espresso"/>
        <s v="Latte"/>
        <s v="Cappuccino"/>
        <s v="Americano"/>
        <s v="Mocha"/>
        <s v="Frappuccino"/>
        <s v="IcedCoffee"/>
        <s v="FlatWhite"/>
        <s v="Macchiato"/>
        <s v="Affogato"/>
        <s v="IrishCoffee"/>
        <s v="TurkishCoffee"/>
        <s v="ColdBrew"/>
        <s v="NitroCoffee"/>
        <s v="CoffeeFrappe"/>
        <s v="EspressoMacchiato"/>
        <s v="VanillaLatte"/>
        <s v="CaramelMacchiato"/>
        <s v="HazelnutLatte"/>
        <s v="MochaFrappe"/>
      </sharedItems>
    </cacheField>
    <cacheField name="Size" numFmtId="0">
      <sharedItems count="3">
        <s v="Small"/>
        <s v="Medium"/>
        <s v="Large"/>
      </sharedItems>
    </cacheField>
    <cacheField name="Quantity" numFmtId="0">
      <sharedItems containsSemiMixedTypes="0" containsString="0" containsNumber="1" containsInteger="1" minValue="1" maxValue="6"/>
    </cacheField>
    <cacheField name="Price" numFmtId="164">
      <sharedItems containsSemiMixedTypes="0" containsString="0" containsNumber="1" minValue="2.5" maxValue="6.75"/>
    </cacheField>
    <cacheField name="Total" numFmtId="164">
      <sharedItems containsSemiMixedTypes="0" containsString="0" containsNumber="1" minValue="3.25" maxValue="25.5"/>
    </cacheField>
    <cacheField name="+Tax" numFmtId="0" formula="Total +Total *0.2" databaseField="0"/>
  </cacheFields>
  <extLst>
    <ext xmlns:x14="http://schemas.microsoft.com/office/spreadsheetml/2009/9/main" uri="{725AE2AE-9491-48be-B2B4-4EB974FC3084}">
      <x14:pivotCacheDefinition pivotCacheId="17269603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
  <r>
    <n v="1001"/>
    <x v="0"/>
    <x v="0"/>
    <n v="5"/>
    <n v="2.5"/>
    <n v="12.5"/>
  </r>
  <r>
    <n v="1002"/>
    <x v="0"/>
    <x v="1"/>
    <n v="3"/>
    <n v="3"/>
    <n v="9"/>
  </r>
  <r>
    <n v="1003"/>
    <x v="0"/>
    <x v="2"/>
    <n v="2"/>
    <n v="3.5"/>
    <n v="7"/>
  </r>
  <r>
    <n v="1004"/>
    <x v="1"/>
    <x v="0"/>
    <n v="4"/>
    <n v="3.75"/>
    <n v="15"/>
  </r>
  <r>
    <n v="1005"/>
    <x v="1"/>
    <x v="1"/>
    <n v="6"/>
    <n v="4.25"/>
    <n v="25.5"/>
  </r>
  <r>
    <n v="1006"/>
    <x v="1"/>
    <x v="2"/>
    <n v="2"/>
    <n v="4.75"/>
    <n v="9.5"/>
  </r>
  <r>
    <n v="1007"/>
    <x v="2"/>
    <x v="0"/>
    <n v="3"/>
    <n v="3"/>
    <n v="9"/>
  </r>
  <r>
    <n v="1008"/>
    <x v="2"/>
    <x v="1"/>
    <n v="2"/>
    <n v="3.5"/>
    <n v="7"/>
  </r>
  <r>
    <n v="1009"/>
    <x v="2"/>
    <x v="2"/>
    <n v="1"/>
    <n v="4"/>
    <n v="4"/>
  </r>
  <r>
    <n v="1010"/>
    <x v="3"/>
    <x v="0"/>
    <n v="6"/>
    <n v="2.75"/>
    <n v="16.5"/>
  </r>
  <r>
    <n v="1011"/>
    <x v="3"/>
    <x v="1"/>
    <n v="4"/>
    <n v="3.25"/>
    <n v="13"/>
  </r>
  <r>
    <n v="1012"/>
    <x v="3"/>
    <x v="2"/>
    <n v="3"/>
    <n v="3.75"/>
    <n v="11.25"/>
  </r>
  <r>
    <n v="1013"/>
    <x v="4"/>
    <x v="0"/>
    <n v="2"/>
    <n v="4.5"/>
    <n v="9"/>
  </r>
  <r>
    <n v="1014"/>
    <x v="4"/>
    <x v="1"/>
    <n v="1"/>
    <n v="5"/>
    <n v="5"/>
  </r>
  <r>
    <n v="1015"/>
    <x v="4"/>
    <x v="2"/>
    <n v="2"/>
    <n v="5.5"/>
    <n v="11"/>
  </r>
  <r>
    <n v="1016"/>
    <x v="5"/>
    <x v="0"/>
    <n v="3"/>
    <n v="4.25"/>
    <n v="12.75"/>
  </r>
  <r>
    <n v="1017"/>
    <x v="5"/>
    <x v="1"/>
    <n v="2"/>
    <n v="4.75"/>
    <n v="9.5"/>
  </r>
  <r>
    <n v="1018"/>
    <x v="5"/>
    <x v="2"/>
    <n v="1"/>
    <n v="5.25"/>
    <n v="5.25"/>
  </r>
  <r>
    <n v="1019"/>
    <x v="6"/>
    <x v="0"/>
    <n v="4"/>
    <n v="3"/>
    <n v="12"/>
  </r>
  <r>
    <n v="1020"/>
    <x v="6"/>
    <x v="1"/>
    <n v="5"/>
    <n v="3.5"/>
    <n v="17.5"/>
  </r>
  <r>
    <n v="1021"/>
    <x v="6"/>
    <x v="2"/>
    <n v="3"/>
    <n v="4"/>
    <n v="12"/>
  </r>
  <r>
    <n v="1022"/>
    <x v="7"/>
    <x v="0"/>
    <n v="2"/>
    <n v="3.75"/>
    <n v="7.5"/>
  </r>
  <r>
    <n v="1023"/>
    <x v="7"/>
    <x v="1"/>
    <n v="3"/>
    <n v="4.25"/>
    <n v="12.75"/>
  </r>
  <r>
    <n v="1024"/>
    <x v="7"/>
    <x v="2"/>
    <n v="1"/>
    <n v="4.75"/>
    <n v="4.75"/>
  </r>
  <r>
    <n v="1025"/>
    <x v="8"/>
    <x v="0"/>
    <n v="1"/>
    <n v="3.25"/>
    <n v="3.25"/>
  </r>
  <r>
    <n v="1026"/>
    <x v="8"/>
    <x v="1"/>
    <n v="2"/>
    <n v="3.75"/>
    <n v="7.5"/>
  </r>
  <r>
    <n v="1027"/>
    <x v="8"/>
    <x v="2"/>
    <n v="2"/>
    <n v="4.25"/>
    <n v="8.5"/>
  </r>
  <r>
    <n v="1028"/>
    <x v="9"/>
    <x v="0"/>
    <n v="1"/>
    <n v="4.5"/>
    <n v="4.5"/>
  </r>
  <r>
    <n v="1029"/>
    <x v="9"/>
    <x v="1"/>
    <n v="1"/>
    <n v="5"/>
    <n v="5"/>
  </r>
  <r>
    <n v="1030"/>
    <x v="9"/>
    <x v="2"/>
    <n v="1"/>
    <n v="5.5"/>
    <n v="5.5"/>
  </r>
  <r>
    <n v="1031"/>
    <x v="10"/>
    <x v="0"/>
    <n v="2"/>
    <n v="5.75"/>
    <n v="11.5"/>
  </r>
  <r>
    <n v="1032"/>
    <x v="10"/>
    <x v="1"/>
    <n v="1"/>
    <n v="6.25"/>
    <n v="6.25"/>
  </r>
  <r>
    <n v="1033"/>
    <x v="10"/>
    <x v="2"/>
    <n v="1"/>
    <n v="6.75"/>
    <n v="6.75"/>
  </r>
  <r>
    <n v="1034"/>
    <x v="11"/>
    <x v="0"/>
    <n v="3"/>
    <n v="4"/>
    <n v="12"/>
  </r>
  <r>
    <n v="1035"/>
    <x v="11"/>
    <x v="1"/>
    <n v="2"/>
    <n v="4.5"/>
    <n v="9"/>
  </r>
  <r>
    <n v="1036"/>
    <x v="11"/>
    <x v="2"/>
    <n v="1"/>
    <n v="5"/>
    <n v="5"/>
  </r>
  <r>
    <n v="1037"/>
    <x v="12"/>
    <x v="0"/>
    <n v="4"/>
    <n v="3.5"/>
    <n v="14"/>
  </r>
  <r>
    <n v="1038"/>
    <x v="12"/>
    <x v="1"/>
    <n v="3"/>
    <n v="4"/>
    <n v="12"/>
  </r>
  <r>
    <n v="1039"/>
    <x v="12"/>
    <x v="2"/>
    <n v="2"/>
    <n v="4.5"/>
    <n v="9"/>
  </r>
  <r>
    <n v="1040"/>
    <x v="13"/>
    <x v="0"/>
    <n v="2"/>
    <n v="4.75"/>
    <n v="9.5"/>
  </r>
  <r>
    <n v="1041"/>
    <x v="13"/>
    <x v="1"/>
    <n v="1"/>
    <n v="5.25"/>
    <n v="5.25"/>
  </r>
  <r>
    <n v="1042"/>
    <x v="13"/>
    <x v="2"/>
    <n v="1"/>
    <n v="5.75"/>
    <n v="5.75"/>
  </r>
  <r>
    <n v="1043"/>
    <x v="14"/>
    <x v="0"/>
    <n v="3"/>
    <n v="4"/>
    <n v="12"/>
  </r>
  <r>
    <n v="1044"/>
    <x v="14"/>
    <x v="1"/>
    <n v="2"/>
    <n v="4.5"/>
    <n v="9"/>
  </r>
  <r>
    <n v="1045"/>
    <x v="14"/>
    <x v="2"/>
    <n v="2"/>
    <n v="5"/>
    <n v="10"/>
  </r>
  <r>
    <n v="1046"/>
    <x v="15"/>
    <x v="0"/>
    <n v="1"/>
    <n v="3.75"/>
    <n v="3.75"/>
  </r>
  <r>
    <n v="1047"/>
    <x v="15"/>
    <x v="1"/>
    <n v="1"/>
    <n v="4.25"/>
    <n v="4.25"/>
  </r>
  <r>
    <n v="1048"/>
    <x v="15"/>
    <x v="2"/>
    <n v="1"/>
    <n v="4.75"/>
    <n v="4.75"/>
  </r>
  <r>
    <n v="1049"/>
    <x v="16"/>
    <x v="0"/>
    <n v="2"/>
    <n v="4.25"/>
    <n v="8.5"/>
  </r>
  <r>
    <n v="1050"/>
    <x v="16"/>
    <x v="1"/>
    <n v="3"/>
    <n v="4.75"/>
    <n v="14.25"/>
  </r>
  <r>
    <n v="1051"/>
    <x v="16"/>
    <x v="2"/>
    <n v="1"/>
    <n v="5.25"/>
    <n v="5.25"/>
  </r>
  <r>
    <n v="1052"/>
    <x v="17"/>
    <x v="0"/>
    <n v="1"/>
    <n v="4.5"/>
    <n v="4.5"/>
  </r>
  <r>
    <n v="1053"/>
    <x v="17"/>
    <x v="1"/>
    <n v="2"/>
    <n v="5"/>
    <n v="10"/>
  </r>
  <r>
    <n v="1054"/>
    <x v="17"/>
    <x v="2"/>
    <n v="1"/>
    <n v="5.5"/>
    <n v="5.5"/>
  </r>
  <r>
    <n v="1055"/>
    <x v="18"/>
    <x v="0"/>
    <n v="2"/>
    <n v="4.5"/>
    <n v="9"/>
  </r>
  <r>
    <n v="1056"/>
    <x v="18"/>
    <x v="1"/>
    <n v="1"/>
    <n v="5"/>
    <n v="5"/>
  </r>
  <r>
    <n v="1057"/>
    <x v="18"/>
    <x v="2"/>
    <n v="2"/>
    <n v="5.5"/>
    <n v="11"/>
  </r>
  <r>
    <n v="1058"/>
    <x v="19"/>
    <x v="0"/>
    <n v="3"/>
    <n v="4.25"/>
    <n v="12.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3ECFAA-3DFF-47EA-A275-F53C4D2823B3}"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M23" firstHeaderRow="0" firstDataRow="1" firstDataCol="1"/>
  <pivotFields count="7">
    <pivotField showAll="0"/>
    <pivotField axis="axisRow" showAll="0" sortType="descending">
      <items count="21">
        <item x="9"/>
        <item x="3"/>
        <item x="2"/>
        <item x="17"/>
        <item x="14"/>
        <item x="12"/>
        <item x="0"/>
        <item x="15"/>
        <item x="7"/>
        <item x="5"/>
        <item x="18"/>
        <item x="6"/>
        <item x="10"/>
        <item x="1"/>
        <item x="8"/>
        <item x="4"/>
        <item x="19"/>
        <item x="13"/>
        <item x="11"/>
        <item x="16"/>
        <item t="default"/>
      </items>
      <autoSortScope>
        <pivotArea dataOnly="0" outline="0" fieldPosition="0">
          <references count="1">
            <reference field="4294967294" count="1" selected="0">
              <x v="0"/>
            </reference>
          </references>
        </pivotArea>
      </autoSortScope>
    </pivotField>
    <pivotField showAll="0">
      <items count="4">
        <item h="1" x="2"/>
        <item x="1"/>
        <item h="1" x="0"/>
        <item t="default"/>
      </items>
    </pivotField>
    <pivotField showAll="0"/>
    <pivotField numFmtId="164" showAll="0"/>
    <pivotField dataField="1" numFmtId="164" showAll="0"/>
    <pivotField dataField="1" dragToRow="0" dragToCol="0" dragToPage="0" showAll="0" defaultSubtotal="0"/>
  </pivotFields>
  <rowFields count="1">
    <field x="1"/>
  </rowFields>
  <rowItems count="20">
    <i>
      <x v="13"/>
    </i>
    <i>
      <x v="11"/>
    </i>
    <i>
      <x v="19"/>
    </i>
    <i>
      <x v="1"/>
    </i>
    <i>
      <x v="8"/>
    </i>
    <i>
      <x v="5"/>
    </i>
    <i>
      <x v="3"/>
    </i>
    <i>
      <x v="9"/>
    </i>
    <i>
      <x v="4"/>
    </i>
    <i>
      <x v="18"/>
    </i>
    <i>
      <x v="6"/>
    </i>
    <i>
      <x v="14"/>
    </i>
    <i>
      <x v="2"/>
    </i>
    <i>
      <x v="12"/>
    </i>
    <i>
      <x v="17"/>
    </i>
    <i>
      <x/>
    </i>
    <i>
      <x v="10"/>
    </i>
    <i>
      <x v="15"/>
    </i>
    <i>
      <x v="7"/>
    </i>
    <i t="grand">
      <x/>
    </i>
  </rowItems>
  <colFields count="1">
    <field x="-2"/>
  </colFields>
  <colItems count="2">
    <i>
      <x/>
    </i>
    <i i="1">
      <x v="1"/>
    </i>
  </colItems>
  <dataFields count="2">
    <dataField name="Sum of Total" fld="5" baseField="0" baseItem="0" numFmtId="164"/>
    <dataField name="Sum of +Tax" fld="6" baseField="0" baseItem="0" numFmtId="164"/>
  </dataFields>
  <formats count="1">
    <format dxfId="1">
      <pivotArea outline="0" collapsedLevelsAreSubtotals="1" fieldPosition="0"/>
    </format>
  </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59FEDF0-B3E6-42E4-A293-32C3EA3E1C2D}" autoFormatId="16" applyNumberFormats="0" applyBorderFormats="0" applyFontFormats="0" applyPatternFormats="0" applyAlignmentFormats="0" applyWidthHeightFormats="0">
  <queryTableRefresh nextId="7">
    <queryTableFields count="6">
      <queryTableField id="1" name="Product ID" tableColumnId="1"/>
      <queryTableField id="2" name="Product Name" tableColumnId="2"/>
      <queryTableField id="3" name="Size" tableColumnId="3"/>
      <queryTableField id="4" name="Quantity" tableColumnId="4"/>
      <queryTableField id="5" name="Price" tableColumnId="5"/>
      <queryTableField id="6" name="Total"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38FEE44-3660-49BD-BF85-CC804B80AC97}" sourceName="Size">
  <pivotTables>
    <pivotTable tabId="10" name="PivotTable1"/>
  </pivotTables>
  <data>
    <tabular pivotCacheId="1726960359">
      <items count="3">
        <i x="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55787D5E-4AC8-4804-B8C1-D7BEEC9F07E9}" cache="Slicer_Size" caption="Size" columnCount="3" showCaption="0" style="SlicerStyleDark2" rowHeight="252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15F697-AF6C-4D81-AECA-F72E3E7DA3B4}" name="Table1" displayName="Table1" ref="B3:B62" totalsRowShown="0">
  <autoFilter ref="B3:B62" xr:uid="{A315F697-AF6C-4D81-AECA-F72E3E7DA3B4}"/>
  <tableColumns count="1">
    <tableColumn id="1" xr3:uid="{5989D091-52F9-4993-B4E5-42A4A7379E34}"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C1431B-CCC5-430F-9812-D223E05C2251}" name="Table1_1" displayName="Table1_1" ref="D3:I61" tableType="queryTable" totalsRowShown="0" headerRowDxfId="7" dataDxfId="8">
  <autoFilter ref="D3:I61" xr:uid="{84C1431B-CCC5-430F-9812-D223E05C2251}"/>
  <tableColumns count="6">
    <tableColumn id="1" xr3:uid="{A0141EAC-4642-45C9-B28F-2DB073B4FC66}" uniqueName="1" name="Product ID" queryTableFieldId="1" dataDxfId="9"/>
    <tableColumn id="2" xr3:uid="{6DB1378C-C4E6-45D2-9ECF-0AE8AD547AAF}" uniqueName="2" name="Product Name" queryTableFieldId="2" dataDxfId="6"/>
    <tableColumn id="3" xr3:uid="{3C806F7F-7A70-4723-83D2-CCC05F1B1662}" uniqueName="3" name="Size" queryTableFieldId="3" dataDxfId="5"/>
    <tableColumn id="4" xr3:uid="{E6F8D128-E5E6-48DF-9E26-D4B5ECB363E8}" uniqueName="4" name="Quantity" queryTableFieldId="4" dataDxfId="4"/>
    <tableColumn id="5" xr3:uid="{3F554D9C-0E0B-4F5E-A0EF-B455F899EACF}" uniqueName="5" name="Price" queryTableFieldId="5" dataDxfId="3"/>
    <tableColumn id="6" xr3:uid="{0C06D4CC-B4C1-4ECC-B088-93F37DD5E7C4}" uniqueName="6" name="Total" queryTableFieldId="6" dataDxfId="2"/>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749EC-06E2-423D-BD3C-10AC118EA89A}">
  <sheetPr>
    <tabColor theme="5"/>
  </sheetPr>
  <dimension ref="B2:M62"/>
  <sheetViews>
    <sheetView tabSelected="1" zoomScale="90" zoomScaleNormal="90" workbookViewId="0">
      <selection activeCell="M30" sqref="M30"/>
    </sheetView>
  </sheetViews>
  <sheetFormatPr defaultRowHeight="15" x14ac:dyDescent="0.25"/>
  <cols>
    <col min="2" max="2" width="66.7109375" bestFit="1" customWidth="1"/>
    <col min="3" max="3" width="8.85546875" style="1"/>
    <col min="4" max="4" width="12.7109375" style="1" bestFit="1" customWidth="1"/>
    <col min="5" max="5" width="18.42578125" style="1" bestFit="1" customWidth="1"/>
    <col min="6" max="6" width="8.42578125" style="1" bestFit="1" customWidth="1"/>
    <col min="7" max="7" width="11.28515625" style="1" bestFit="1" customWidth="1"/>
    <col min="8" max="8" width="7.85546875" style="1" bestFit="1" customWidth="1"/>
    <col min="9" max="9" width="7.85546875" bestFit="1" customWidth="1"/>
    <col min="11" max="11" width="18.42578125" bestFit="1" customWidth="1"/>
    <col min="12" max="12" width="12" bestFit="1" customWidth="1"/>
    <col min="13" max="13" width="11.5703125" bestFit="1" customWidth="1"/>
  </cols>
  <sheetData>
    <row r="2" spans="2:13" ht="51.75" customHeight="1" x14ac:dyDescent="0.25"/>
    <row r="3" spans="2:13" x14ac:dyDescent="0.25">
      <c r="B3" t="s">
        <v>59</v>
      </c>
      <c r="D3" s="1" t="s">
        <v>60</v>
      </c>
      <c r="E3" s="1" t="s">
        <v>61</v>
      </c>
      <c r="F3" s="1" t="s">
        <v>62</v>
      </c>
      <c r="G3" s="1" t="s">
        <v>63</v>
      </c>
      <c r="H3" s="1" t="s">
        <v>64</v>
      </c>
      <c r="I3" s="1" t="s">
        <v>65</v>
      </c>
      <c r="K3" s="4" t="s">
        <v>89</v>
      </c>
      <c r="L3" t="s">
        <v>91</v>
      </c>
      <c r="M3" t="s">
        <v>92</v>
      </c>
    </row>
    <row r="4" spans="2:13" x14ac:dyDescent="0.25">
      <c r="B4" t="s">
        <v>58</v>
      </c>
      <c r="D4">
        <v>1001</v>
      </c>
      <c r="E4" s="2" t="s">
        <v>66</v>
      </c>
      <c r="F4" s="2" t="s">
        <v>67</v>
      </c>
      <c r="G4">
        <v>5</v>
      </c>
      <c r="H4" s="3">
        <v>2.5</v>
      </c>
      <c r="I4" s="3">
        <v>12.5</v>
      </c>
      <c r="K4" s="5" t="s">
        <v>70</v>
      </c>
      <c r="L4" s="3">
        <v>25.5</v>
      </c>
      <c r="M4" s="3">
        <v>30.6</v>
      </c>
    </row>
    <row r="5" spans="2:13" x14ac:dyDescent="0.25">
      <c r="B5" t="s">
        <v>0</v>
      </c>
      <c r="D5">
        <v>1002</v>
      </c>
      <c r="E5" s="2" t="s">
        <v>66</v>
      </c>
      <c r="F5" s="2" t="s">
        <v>68</v>
      </c>
      <c r="G5">
        <v>3</v>
      </c>
      <c r="H5" s="3">
        <v>3</v>
      </c>
      <c r="I5" s="3">
        <v>9</v>
      </c>
      <c r="K5" s="5" t="s">
        <v>75</v>
      </c>
      <c r="L5" s="3">
        <v>17.5</v>
      </c>
      <c r="M5" s="3">
        <v>21</v>
      </c>
    </row>
    <row r="6" spans="2:13" x14ac:dyDescent="0.25">
      <c r="B6" t="s">
        <v>1</v>
      </c>
      <c r="D6">
        <v>1003</v>
      </c>
      <c r="E6" s="2" t="s">
        <v>66</v>
      </c>
      <c r="F6" s="2" t="s">
        <v>69</v>
      </c>
      <c r="G6">
        <v>2</v>
      </c>
      <c r="H6" s="3">
        <v>3.5</v>
      </c>
      <c r="I6" s="3">
        <v>7</v>
      </c>
      <c r="K6" s="5" t="s">
        <v>85</v>
      </c>
      <c r="L6" s="3">
        <v>14.25</v>
      </c>
      <c r="M6" s="3">
        <v>17.100000000000001</v>
      </c>
    </row>
    <row r="7" spans="2:13" x14ac:dyDescent="0.25">
      <c r="B7" t="s">
        <v>2</v>
      </c>
      <c r="D7">
        <v>1004</v>
      </c>
      <c r="E7" s="2" t="s">
        <v>70</v>
      </c>
      <c r="F7" s="2" t="s">
        <v>67</v>
      </c>
      <c r="G7">
        <v>4</v>
      </c>
      <c r="H7" s="3">
        <v>3.75</v>
      </c>
      <c r="I7" s="3">
        <v>15</v>
      </c>
      <c r="K7" s="5" t="s">
        <v>72</v>
      </c>
      <c r="L7" s="3">
        <v>13</v>
      </c>
      <c r="M7" s="3">
        <v>15.6</v>
      </c>
    </row>
    <row r="8" spans="2:13" x14ac:dyDescent="0.25">
      <c r="B8" t="s">
        <v>3</v>
      </c>
      <c r="D8">
        <v>1005</v>
      </c>
      <c r="E8" s="2" t="s">
        <v>70</v>
      </c>
      <c r="F8" s="2" t="s">
        <v>68</v>
      </c>
      <c r="G8">
        <v>6</v>
      </c>
      <c r="H8" s="3">
        <v>4.25</v>
      </c>
      <c r="I8" s="3">
        <v>25.5</v>
      </c>
      <c r="K8" s="5" t="s">
        <v>76</v>
      </c>
      <c r="L8" s="3">
        <v>12.75</v>
      </c>
      <c r="M8" s="3">
        <v>15.3</v>
      </c>
    </row>
    <row r="9" spans="2:13" x14ac:dyDescent="0.25">
      <c r="B9" t="s">
        <v>4</v>
      </c>
      <c r="D9">
        <v>1006</v>
      </c>
      <c r="E9" s="2" t="s">
        <v>70</v>
      </c>
      <c r="F9" s="2" t="s">
        <v>69</v>
      </c>
      <c r="G9">
        <v>2</v>
      </c>
      <c r="H9" s="3">
        <v>4.75</v>
      </c>
      <c r="I9" s="3">
        <v>9.5</v>
      </c>
      <c r="K9" s="5" t="s">
        <v>81</v>
      </c>
      <c r="L9" s="3">
        <v>12</v>
      </c>
      <c r="M9" s="3">
        <v>14.4</v>
      </c>
    </row>
    <row r="10" spans="2:13" x14ac:dyDescent="0.25">
      <c r="B10" t="s">
        <v>5</v>
      </c>
      <c r="D10">
        <v>1007</v>
      </c>
      <c r="E10" s="2" t="s">
        <v>71</v>
      </c>
      <c r="F10" s="2" t="s">
        <v>67</v>
      </c>
      <c r="G10">
        <v>3</v>
      </c>
      <c r="H10" s="3">
        <v>3</v>
      </c>
      <c r="I10" s="3">
        <v>9</v>
      </c>
      <c r="K10" s="5" t="s">
        <v>86</v>
      </c>
      <c r="L10" s="3">
        <v>10</v>
      </c>
      <c r="M10" s="3">
        <v>12</v>
      </c>
    </row>
    <row r="11" spans="2:13" x14ac:dyDescent="0.25">
      <c r="B11" t="s">
        <v>6</v>
      </c>
      <c r="D11">
        <v>1008</v>
      </c>
      <c r="E11" s="2" t="s">
        <v>71</v>
      </c>
      <c r="F11" s="2" t="s">
        <v>68</v>
      </c>
      <c r="G11">
        <v>2</v>
      </c>
      <c r="H11" s="3">
        <v>3.5</v>
      </c>
      <c r="I11" s="3">
        <v>7</v>
      </c>
      <c r="K11" s="5" t="s">
        <v>74</v>
      </c>
      <c r="L11" s="3">
        <v>9.5</v>
      </c>
      <c r="M11" s="3">
        <v>11.4</v>
      </c>
    </row>
    <row r="12" spans="2:13" x14ac:dyDescent="0.25">
      <c r="B12" t="s">
        <v>7</v>
      </c>
      <c r="D12">
        <v>1009</v>
      </c>
      <c r="E12" s="2" t="s">
        <v>71</v>
      </c>
      <c r="F12" s="2" t="s">
        <v>69</v>
      </c>
      <c r="G12">
        <v>1</v>
      </c>
      <c r="H12" s="3">
        <v>4</v>
      </c>
      <c r="I12" s="3">
        <v>4</v>
      </c>
      <c r="K12" s="5" t="s">
        <v>83</v>
      </c>
      <c r="L12" s="3">
        <v>9</v>
      </c>
      <c r="M12" s="3">
        <v>10.8</v>
      </c>
    </row>
    <row r="13" spans="2:13" x14ac:dyDescent="0.25">
      <c r="B13" t="s">
        <v>8</v>
      </c>
      <c r="D13">
        <v>1010</v>
      </c>
      <c r="E13" s="2" t="s">
        <v>72</v>
      </c>
      <c r="F13" s="2" t="s">
        <v>67</v>
      </c>
      <c r="G13">
        <v>6</v>
      </c>
      <c r="H13" s="3">
        <v>2.75</v>
      </c>
      <c r="I13" s="3">
        <v>16.5</v>
      </c>
      <c r="K13" s="5" t="s">
        <v>80</v>
      </c>
      <c r="L13" s="3">
        <v>9</v>
      </c>
      <c r="M13" s="3">
        <v>10.8</v>
      </c>
    </row>
    <row r="14" spans="2:13" x14ac:dyDescent="0.25">
      <c r="B14" t="s">
        <v>9</v>
      </c>
      <c r="D14">
        <v>1011</v>
      </c>
      <c r="E14" s="2" t="s">
        <v>72</v>
      </c>
      <c r="F14" s="2" t="s">
        <v>68</v>
      </c>
      <c r="G14">
        <v>4</v>
      </c>
      <c r="H14" s="3">
        <v>3.25</v>
      </c>
      <c r="I14" s="3">
        <v>13</v>
      </c>
      <c r="K14" s="5" t="s">
        <v>66</v>
      </c>
      <c r="L14" s="3">
        <v>9</v>
      </c>
      <c r="M14" s="3">
        <v>10.8</v>
      </c>
    </row>
    <row r="15" spans="2:13" x14ac:dyDescent="0.25">
      <c r="B15" t="s">
        <v>10</v>
      </c>
      <c r="D15">
        <v>1012</v>
      </c>
      <c r="E15" s="2" t="s">
        <v>72</v>
      </c>
      <c r="F15" s="2" t="s">
        <v>69</v>
      </c>
      <c r="G15">
        <v>3</v>
      </c>
      <c r="H15" s="3">
        <v>3.75</v>
      </c>
      <c r="I15" s="3">
        <v>11.25</v>
      </c>
      <c r="K15" s="5" t="s">
        <v>77</v>
      </c>
      <c r="L15" s="3">
        <v>7.5</v>
      </c>
      <c r="M15" s="3">
        <v>9</v>
      </c>
    </row>
    <row r="16" spans="2:13" x14ac:dyDescent="0.25">
      <c r="B16" t="s">
        <v>11</v>
      </c>
      <c r="D16">
        <v>1013</v>
      </c>
      <c r="E16" s="2" t="s">
        <v>73</v>
      </c>
      <c r="F16" s="2" t="s">
        <v>67</v>
      </c>
      <c r="G16">
        <v>2</v>
      </c>
      <c r="H16" s="3">
        <v>4.5</v>
      </c>
      <c r="I16" s="3">
        <v>9</v>
      </c>
      <c r="K16" s="5" t="s">
        <v>71</v>
      </c>
      <c r="L16" s="3">
        <v>7</v>
      </c>
      <c r="M16" s="3">
        <v>8.4</v>
      </c>
    </row>
    <row r="17" spans="2:13" x14ac:dyDescent="0.25">
      <c r="B17" t="s">
        <v>12</v>
      </c>
      <c r="D17">
        <v>1014</v>
      </c>
      <c r="E17" s="2" t="s">
        <v>73</v>
      </c>
      <c r="F17" s="2" t="s">
        <v>68</v>
      </c>
      <c r="G17">
        <v>1</v>
      </c>
      <c r="H17" s="3">
        <v>5</v>
      </c>
      <c r="I17" s="3">
        <v>5</v>
      </c>
      <c r="K17" s="5" t="s">
        <v>79</v>
      </c>
      <c r="L17" s="3">
        <v>6.25</v>
      </c>
      <c r="M17" s="3">
        <v>7.5</v>
      </c>
    </row>
    <row r="18" spans="2:13" x14ac:dyDescent="0.25">
      <c r="B18" t="s">
        <v>13</v>
      </c>
      <c r="D18">
        <v>1015</v>
      </c>
      <c r="E18" s="2" t="s">
        <v>73</v>
      </c>
      <c r="F18" s="2" t="s">
        <v>69</v>
      </c>
      <c r="G18">
        <v>2</v>
      </c>
      <c r="H18" s="3">
        <v>5.5</v>
      </c>
      <c r="I18" s="3">
        <v>11</v>
      </c>
      <c r="K18" s="5" t="s">
        <v>82</v>
      </c>
      <c r="L18" s="3">
        <v>5.25</v>
      </c>
      <c r="M18" s="3">
        <v>6.3</v>
      </c>
    </row>
    <row r="19" spans="2:13" x14ac:dyDescent="0.25">
      <c r="B19" t="s">
        <v>14</v>
      </c>
      <c r="D19">
        <v>1016</v>
      </c>
      <c r="E19" s="2" t="s">
        <v>74</v>
      </c>
      <c r="F19" s="2" t="s">
        <v>67</v>
      </c>
      <c r="G19">
        <v>3</v>
      </c>
      <c r="H19" s="3">
        <v>4.25</v>
      </c>
      <c r="I19" s="3">
        <v>12.75</v>
      </c>
      <c r="K19" s="5" t="s">
        <v>78</v>
      </c>
      <c r="L19" s="3">
        <v>5</v>
      </c>
      <c r="M19" s="3">
        <v>6</v>
      </c>
    </row>
    <row r="20" spans="2:13" x14ac:dyDescent="0.25">
      <c r="B20" t="s">
        <v>15</v>
      </c>
      <c r="D20">
        <v>1017</v>
      </c>
      <c r="E20" s="2" t="s">
        <v>74</v>
      </c>
      <c r="F20" s="2" t="s">
        <v>68</v>
      </c>
      <c r="G20">
        <v>2</v>
      </c>
      <c r="H20" s="3">
        <v>4.75</v>
      </c>
      <c r="I20" s="3">
        <v>9.5</v>
      </c>
      <c r="K20" s="5" t="s">
        <v>87</v>
      </c>
      <c r="L20" s="3">
        <v>5</v>
      </c>
      <c r="M20" s="3">
        <v>6</v>
      </c>
    </row>
    <row r="21" spans="2:13" x14ac:dyDescent="0.25">
      <c r="B21" t="s">
        <v>16</v>
      </c>
      <c r="D21">
        <v>1018</v>
      </c>
      <c r="E21" s="2" t="s">
        <v>74</v>
      </c>
      <c r="F21" s="2" t="s">
        <v>69</v>
      </c>
      <c r="G21">
        <v>1</v>
      </c>
      <c r="H21" s="3">
        <v>5.25</v>
      </c>
      <c r="I21" s="3">
        <v>5.25</v>
      </c>
      <c r="K21" s="5" t="s">
        <v>73</v>
      </c>
      <c r="L21" s="3">
        <v>5</v>
      </c>
      <c r="M21" s="3">
        <v>6</v>
      </c>
    </row>
    <row r="22" spans="2:13" x14ac:dyDescent="0.25">
      <c r="B22" t="s">
        <v>17</v>
      </c>
      <c r="D22">
        <v>1019</v>
      </c>
      <c r="E22" s="2" t="s">
        <v>75</v>
      </c>
      <c r="F22" s="2" t="s">
        <v>67</v>
      </c>
      <c r="G22">
        <v>4</v>
      </c>
      <c r="H22" s="3">
        <v>3</v>
      </c>
      <c r="I22" s="3">
        <v>12</v>
      </c>
      <c r="K22" s="5" t="s">
        <v>84</v>
      </c>
      <c r="L22" s="3">
        <v>4.25</v>
      </c>
      <c r="M22" s="3">
        <v>5.0999999999999996</v>
      </c>
    </row>
    <row r="23" spans="2:13" x14ac:dyDescent="0.25">
      <c r="B23" t="s">
        <v>18</v>
      </c>
      <c r="D23">
        <v>1020</v>
      </c>
      <c r="E23" s="2" t="s">
        <v>75</v>
      </c>
      <c r="F23" s="2" t="s">
        <v>68</v>
      </c>
      <c r="G23">
        <v>5</v>
      </c>
      <c r="H23" s="3">
        <v>3.5</v>
      </c>
      <c r="I23" s="3">
        <v>17.5</v>
      </c>
      <c r="K23" s="5" t="s">
        <v>90</v>
      </c>
      <c r="L23" s="3">
        <v>186.75</v>
      </c>
      <c r="M23" s="3">
        <v>224.1</v>
      </c>
    </row>
    <row r="24" spans="2:13" x14ac:dyDescent="0.25">
      <c r="B24" t="s">
        <v>19</v>
      </c>
      <c r="D24">
        <v>1021</v>
      </c>
      <c r="E24" s="2" t="s">
        <v>75</v>
      </c>
      <c r="F24" s="2" t="s">
        <v>69</v>
      </c>
      <c r="G24">
        <v>3</v>
      </c>
      <c r="H24" s="3">
        <v>4</v>
      </c>
      <c r="I24" s="3">
        <v>12</v>
      </c>
    </row>
    <row r="25" spans="2:13" x14ac:dyDescent="0.25">
      <c r="B25" t="s">
        <v>20</v>
      </c>
      <c r="D25">
        <v>1022</v>
      </c>
      <c r="E25" s="2" t="s">
        <v>76</v>
      </c>
      <c r="F25" s="2" t="s">
        <v>67</v>
      </c>
      <c r="G25">
        <v>2</v>
      </c>
      <c r="H25" s="3">
        <v>3.75</v>
      </c>
      <c r="I25" s="3">
        <v>7.5</v>
      </c>
    </row>
    <row r="26" spans="2:13" x14ac:dyDescent="0.25">
      <c r="B26" t="s">
        <v>21</v>
      </c>
      <c r="D26">
        <v>1023</v>
      </c>
      <c r="E26" s="2" t="s">
        <v>76</v>
      </c>
      <c r="F26" s="2" t="s">
        <v>68</v>
      </c>
      <c r="G26">
        <v>3</v>
      </c>
      <c r="H26" s="3">
        <v>4.25</v>
      </c>
      <c r="I26" s="3">
        <v>12.75</v>
      </c>
    </row>
    <row r="27" spans="2:13" x14ac:dyDescent="0.25">
      <c r="B27" t="s">
        <v>22</v>
      </c>
      <c r="D27">
        <v>1024</v>
      </c>
      <c r="E27" s="2" t="s">
        <v>76</v>
      </c>
      <c r="F27" s="2" t="s">
        <v>69</v>
      </c>
      <c r="G27">
        <v>1</v>
      </c>
      <c r="H27" s="3">
        <v>4.75</v>
      </c>
      <c r="I27" s="3">
        <v>4.75</v>
      </c>
    </row>
    <row r="28" spans="2:13" x14ac:dyDescent="0.25">
      <c r="B28" t="s">
        <v>23</v>
      </c>
      <c r="D28">
        <v>1025</v>
      </c>
      <c r="E28" s="2" t="s">
        <v>77</v>
      </c>
      <c r="F28" s="2" t="s">
        <v>67</v>
      </c>
      <c r="G28">
        <v>1</v>
      </c>
      <c r="H28" s="3">
        <v>3.25</v>
      </c>
      <c r="I28" s="3">
        <v>3.25</v>
      </c>
    </row>
    <row r="29" spans="2:13" x14ac:dyDescent="0.25">
      <c r="B29" t="s">
        <v>24</v>
      </c>
      <c r="D29">
        <v>1026</v>
      </c>
      <c r="E29" s="2" t="s">
        <v>77</v>
      </c>
      <c r="F29" s="2" t="s">
        <v>68</v>
      </c>
      <c r="G29">
        <v>2</v>
      </c>
      <c r="H29" s="3">
        <v>3.75</v>
      </c>
      <c r="I29" s="3">
        <v>7.5</v>
      </c>
    </row>
    <row r="30" spans="2:13" x14ac:dyDescent="0.25">
      <c r="B30" t="s">
        <v>25</v>
      </c>
      <c r="D30">
        <v>1027</v>
      </c>
      <c r="E30" s="2" t="s">
        <v>77</v>
      </c>
      <c r="F30" s="2" t="s">
        <v>69</v>
      </c>
      <c r="G30">
        <v>2</v>
      </c>
      <c r="H30" s="3">
        <v>4.25</v>
      </c>
      <c r="I30" s="3">
        <v>8.5</v>
      </c>
    </row>
    <row r="31" spans="2:13" x14ac:dyDescent="0.25">
      <c r="B31" t="s">
        <v>26</v>
      </c>
      <c r="D31">
        <v>1028</v>
      </c>
      <c r="E31" s="2" t="s">
        <v>78</v>
      </c>
      <c r="F31" s="2" t="s">
        <v>67</v>
      </c>
      <c r="G31">
        <v>1</v>
      </c>
      <c r="H31" s="3">
        <v>4.5</v>
      </c>
      <c r="I31" s="3">
        <v>4.5</v>
      </c>
    </row>
    <row r="32" spans="2:13" x14ac:dyDescent="0.25">
      <c r="B32" t="s">
        <v>27</v>
      </c>
      <c r="D32">
        <v>1029</v>
      </c>
      <c r="E32" s="2" t="s">
        <v>78</v>
      </c>
      <c r="F32" s="2" t="s">
        <v>68</v>
      </c>
      <c r="G32">
        <v>1</v>
      </c>
      <c r="H32" s="3">
        <v>5</v>
      </c>
      <c r="I32" s="3">
        <v>5</v>
      </c>
    </row>
    <row r="33" spans="2:9" x14ac:dyDescent="0.25">
      <c r="B33" t="s">
        <v>28</v>
      </c>
      <c r="D33">
        <v>1030</v>
      </c>
      <c r="E33" s="2" t="s">
        <v>78</v>
      </c>
      <c r="F33" s="2" t="s">
        <v>69</v>
      </c>
      <c r="G33">
        <v>1</v>
      </c>
      <c r="H33" s="3">
        <v>5.5</v>
      </c>
      <c r="I33" s="3">
        <v>5.5</v>
      </c>
    </row>
    <row r="34" spans="2:9" x14ac:dyDescent="0.25">
      <c r="B34" t="s">
        <v>29</v>
      </c>
      <c r="D34">
        <v>1031</v>
      </c>
      <c r="E34" s="2" t="s">
        <v>79</v>
      </c>
      <c r="F34" s="2" t="s">
        <v>67</v>
      </c>
      <c r="G34">
        <v>2</v>
      </c>
      <c r="H34" s="3">
        <v>5.75</v>
      </c>
      <c r="I34" s="3">
        <v>11.5</v>
      </c>
    </row>
    <row r="35" spans="2:9" x14ac:dyDescent="0.25">
      <c r="B35" t="s">
        <v>30</v>
      </c>
      <c r="D35">
        <v>1032</v>
      </c>
      <c r="E35" s="2" t="s">
        <v>79</v>
      </c>
      <c r="F35" s="2" t="s">
        <v>68</v>
      </c>
      <c r="G35">
        <v>1</v>
      </c>
      <c r="H35" s="3">
        <v>6.25</v>
      </c>
      <c r="I35" s="3">
        <v>6.25</v>
      </c>
    </row>
    <row r="36" spans="2:9" x14ac:dyDescent="0.25">
      <c r="B36" t="s">
        <v>31</v>
      </c>
      <c r="D36">
        <v>1033</v>
      </c>
      <c r="E36" s="2" t="s">
        <v>79</v>
      </c>
      <c r="F36" s="2" t="s">
        <v>69</v>
      </c>
      <c r="G36">
        <v>1</v>
      </c>
      <c r="H36" s="3">
        <v>6.75</v>
      </c>
      <c r="I36" s="3">
        <v>6.75</v>
      </c>
    </row>
    <row r="37" spans="2:9" x14ac:dyDescent="0.25">
      <c r="B37" t="s">
        <v>32</v>
      </c>
      <c r="D37">
        <v>1034</v>
      </c>
      <c r="E37" s="2" t="s">
        <v>80</v>
      </c>
      <c r="F37" s="2" t="s">
        <v>67</v>
      </c>
      <c r="G37">
        <v>3</v>
      </c>
      <c r="H37" s="3">
        <v>4</v>
      </c>
      <c r="I37" s="3">
        <v>12</v>
      </c>
    </row>
    <row r="38" spans="2:9" x14ac:dyDescent="0.25">
      <c r="B38" t="s">
        <v>33</v>
      </c>
      <c r="D38">
        <v>1035</v>
      </c>
      <c r="E38" s="2" t="s">
        <v>80</v>
      </c>
      <c r="F38" s="2" t="s">
        <v>68</v>
      </c>
      <c r="G38">
        <v>2</v>
      </c>
      <c r="H38" s="3">
        <v>4.5</v>
      </c>
      <c r="I38" s="3">
        <v>9</v>
      </c>
    </row>
    <row r="39" spans="2:9" x14ac:dyDescent="0.25">
      <c r="B39" t="s">
        <v>34</v>
      </c>
      <c r="D39">
        <v>1036</v>
      </c>
      <c r="E39" s="2" t="s">
        <v>80</v>
      </c>
      <c r="F39" s="2" t="s">
        <v>69</v>
      </c>
      <c r="G39">
        <v>1</v>
      </c>
      <c r="H39" s="3">
        <v>5</v>
      </c>
      <c r="I39" s="3">
        <v>5</v>
      </c>
    </row>
    <row r="40" spans="2:9" x14ac:dyDescent="0.25">
      <c r="B40" t="s">
        <v>35</v>
      </c>
      <c r="D40">
        <v>1037</v>
      </c>
      <c r="E40" s="2" t="s">
        <v>81</v>
      </c>
      <c r="F40" s="2" t="s">
        <v>67</v>
      </c>
      <c r="G40">
        <v>4</v>
      </c>
      <c r="H40" s="3">
        <v>3.5</v>
      </c>
      <c r="I40" s="3">
        <v>14</v>
      </c>
    </row>
    <row r="41" spans="2:9" x14ac:dyDescent="0.25">
      <c r="B41" t="s">
        <v>36</v>
      </c>
      <c r="D41">
        <v>1038</v>
      </c>
      <c r="E41" s="2" t="s">
        <v>81</v>
      </c>
      <c r="F41" s="2" t="s">
        <v>68</v>
      </c>
      <c r="G41">
        <v>3</v>
      </c>
      <c r="H41" s="3">
        <v>4</v>
      </c>
      <c r="I41" s="3">
        <v>12</v>
      </c>
    </row>
    <row r="42" spans="2:9" x14ac:dyDescent="0.25">
      <c r="B42" t="s">
        <v>37</v>
      </c>
      <c r="D42">
        <v>1039</v>
      </c>
      <c r="E42" s="2" t="s">
        <v>81</v>
      </c>
      <c r="F42" s="2" t="s">
        <v>69</v>
      </c>
      <c r="G42">
        <v>2</v>
      </c>
      <c r="H42" s="3">
        <v>4.5</v>
      </c>
      <c r="I42" s="3">
        <v>9</v>
      </c>
    </row>
    <row r="43" spans="2:9" x14ac:dyDescent="0.25">
      <c r="B43" t="s">
        <v>38</v>
      </c>
      <c r="D43">
        <v>1040</v>
      </c>
      <c r="E43" s="2" t="s">
        <v>82</v>
      </c>
      <c r="F43" s="2" t="s">
        <v>67</v>
      </c>
      <c r="G43">
        <v>2</v>
      </c>
      <c r="H43" s="3">
        <v>4.75</v>
      </c>
      <c r="I43" s="3">
        <v>9.5</v>
      </c>
    </row>
    <row r="44" spans="2:9" x14ac:dyDescent="0.25">
      <c r="B44" t="s">
        <v>39</v>
      </c>
      <c r="D44">
        <v>1041</v>
      </c>
      <c r="E44" s="2" t="s">
        <v>82</v>
      </c>
      <c r="F44" s="2" t="s">
        <v>68</v>
      </c>
      <c r="G44">
        <v>1</v>
      </c>
      <c r="H44" s="3">
        <v>5.25</v>
      </c>
      <c r="I44" s="3">
        <v>5.25</v>
      </c>
    </row>
    <row r="45" spans="2:9" x14ac:dyDescent="0.25">
      <c r="B45" t="s">
        <v>40</v>
      </c>
      <c r="D45">
        <v>1042</v>
      </c>
      <c r="E45" s="2" t="s">
        <v>82</v>
      </c>
      <c r="F45" s="2" t="s">
        <v>69</v>
      </c>
      <c r="G45">
        <v>1</v>
      </c>
      <c r="H45" s="3">
        <v>5.75</v>
      </c>
      <c r="I45" s="3">
        <v>5.75</v>
      </c>
    </row>
    <row r="46" spans="2:9" x14ac:dyDescent="0.25">
      <c r="B46" t="s">
        <v>41</v>
      </c>
      <c r="D46">
        <v>1043</v>
      </c>
      <c r="E46" s="2" t="s">
        <v>83</v>
      </c>
      <c r="F46" s="2" t="s">
        <v>67</v>
      </c>
      <c r="G46">
        <v>3</v>
      </c>
      <c r="H46" s="3">
        <v>4</v>
      </c>
      <c r="I46" s="3">
        <v>12</v>
      </c>
    </row>
    <row r="47" spans="2:9" x14ac:dyDescent="0.25">
      <c r="B47" t="s">
        <v>42</v>
      </c>
      <c r="D47">
        <v>1044</v>
      </c>
      <c r="E47" s="2" t="s">
        <v>83</v>
      </c>
      <c r="F47" s="2" t="s">
        <v>68</v>
      </c>
      <c r="G47">
        <v>2</v>
      </c>
      <c r="H47" s="3">
        <v>4.5</v>
      </c>
      <c r="I47" s="3">
        <v>9</v>
      </c>
    </row>
    <row r="48" spans="2:9" x14ac:dyDescent="0.25">
      <c r="B48" t="s">
        <v>43</v>
      </c>
      <c r="D48">
        <v>1045</v>
      </c>
      <c r="E48" s="2" t="s">
        <v>83</v>
      </c>
      <c r="F48" s="2" t="s">
        <v>69</v>
      </c>
      <c r="G48">
        <v>2</v>
      </c>
      <c r="H48" s="3">
        <v>5</v>
      </c>
      <c r="I48" s="3">
        <v>10</v>
      </c>
    </row>
    <row r="49" spans="2:9" x14ac:dyDescent="0.25">
      <c r="B49" t="s">
        <v>44</v>
      </c>
      <c r="D49">
        <v>1046</v>
      </c>
      <c r="E49" s="2" t="s">
        <v>84</v>
      </c>
      <c r="F49" s="2" t="s">
        <v>67</v>
      </c>
      <c r="G49">
        <v>1</v>
      </c>
      <c r="H49" s="3">
        <v>3.75</v>
      </c>
      <c r="I49" s="3">
        <v>3.75</v>
      </c>
    </row>
    <row r="50" spans="2:9" x14ac:dyDescent="0.25">
      <c r="B50" t="s">
        <v>45</v>
      </c>
      <c r="D50">
        <v>1047</v>
      </c>
      <c r="E50" s="2" t="s">
        <v>84</v>
      </c>
      <c r="F50" s="2" t="s">
        <v>68</v>
      </c>
      <c r="G50">
        <v>1</v>
      </c>
      <c r="H50" s="3">
        <v>4.25</v>
      </c>
      <c r="I50" s="3">
        <v>4.25</v>
      </c>
    </row>
    <row r="51" spans="2:9" x14ac:dyDescent="0.25">
      <c r="B51" t="s">
        <v>46</v>
      </c>
      <c r="D51">
        <v>1048</v>
      </c>
      <c r="E51" s="2" t="s">
        <v>84</v>
      </c>
      <c r="F51" s="2" t="s">
        <v>69</v>
      </c>
      <c r="G51">
        <v>1</v>
      </c>
      <c r="H51" s="3">
        <v>4.75</v>
      </c>
      <c r="I51" s="3">
        <v>4.75</v>
      </c>
    </row>
    <row r="52" spans="2:9" x14ac:dyDescent="0.25">
      <c r="B52" t="s">
        <v>47</v>
      </c>
      <c r="D52">
        <v>1049</v>
      </c>
      <c r="E52" s="2" t="s">
        <v>85</v>
      </c>
      <c r="F52" s="2" t="s">
        <v>67</v>
      </c>
      <c r="G52">
        <v>2</v>
      </c>
      <c r="H52" s="3">
        <v>4.25</v>
      </c>
      <c r="I52" s="3">
        <v>8.5</v>
      </c>
    </row>
    <row r="53" spans="2:9" x14ac:dyDescent="0.25">
      <c r="B53" t="s">
        <v>48</v>
      </c>
      <c r="D53">
        <v>1050</v>
      </c>
      <c r="E53" s="2" t="s">
        <v>85</v>
      </c>
      <c r="F53" s="2" t="s">
        <v>68</v>
      </c>
      <c r="G53">
        <v>3</v>
      </c>
      <c r="H53" s="3">
        <v>4.75</v>
      </c>
      <c r="I53" s="3">
        <v>14.25</v>
      </c>
    </row>
    <row r="54" spans="2:9" x14ac:dyDescent="0.25">
      <c r="B54" t="s">
        <v>49</v>
      </c>
      <c r="D54">
        <v>1051</v>
      </c>
      <c r="E54" s="2" t="s">
        <v>85</v>
      </c>
      <c r="F54" s="2" t="s">
        <v>69</v>
      </c>
      <c r="G54">
        <v>1</v>
      </c>
      <c r="H54" s="3">
        <v>5.25</v>
      </c>
      <c r="I54" s="3">
        <v>5.25</v>
      </c>
    </row>
    <row r="55" spans="2:9" x14ac:dyDescent="0.25">
      <c r="B55" t="s">
        <v>50</v>
      </c>
      <c r="D55">
        <v>1052</v>
      </c>
      <c r="E55" s="2" t="s">
        <v>86</v>
      </c>
      <c r="F55" s="2" t="s">
        <v>67</v>
      </c>
      <c r="G55">
        <v>1</v>
      </c>
      <c r="H55" s="3">
        <v>4.5</v>
      </c>
      <c r="I55" s="3">
        <v>4.5</v>
      </c>
    </row>
    <row r="56" spans="2:9" x14ac:dyDescent="0.25">
      <c r="B56" t="s">
        <v>51</v>
      </c>
      <c r="D56">
        <v>1053</v>
      </c>
      <c r="E56" s="2" t="s">
        <v>86</v>
      </c>
      <c r="F56" s="2" t="s">
        <v>68</v>
      </c>
      <c r="G56">
        <v>2</v>
      </c>
      <c r="H56" s="3">
        <v>5</v>
      </c>
      <c r="I56" s="3">
        <v>10</v>
      </c>
    </row>
    <row r="57" spans="2:9" x14ac:dyDescent="0.25">
      <c r="B57" t="s">
        <v>52</v>
      </c>
      <c r="D57">
        <v>1054</v>
      </c>
      <c r="E57" s="2" t="s">
        <v>86</v>
      </c>
      <c r="F57" s="2" t="s">
        <v>69</v>
      </c>
      <c r="G57">
        <v>1</v>
      </c>
      <c r="H57" s="3">
        <v>5.5</v>
      </c>
      <c r="I57" s="3">
        <v>5.5</v>
      </c>
    </row>
    <row r="58" spans="2:9" x14ac:dyDescent="0.25">
      <c r="B58" t="s">
        <v>53</v>
      </c>
      <c r="D58">
        <v>1055</v>
      </c>
      <c r="E58" s="2" t="s">
        <v>87</v>
      </c>
      <c r="F58" s="2" t="s">
        <v>67</v>
      </c>
      <c r="G58">
        <v>2</v>
      </c>
      <c r="H58" s="3">
        <v>4.5</v>
      </c>
      <c r="I58" s="3">
        <v>9</v>
      </c>
    </row>
    <row r="59" spans="2:9" x14ac:dyDescent="0.25">
      <c r="B59" t="s">
        <v>54</v>
      </c>
      <c r="D59">
        <v>1056</v>
      </c>
      <c r="E59" s="2" t="s">
        <v>87</v>
      </c>
      <c r="F59" s="2" t="s">
        <v>68</v>
      </c>
      <c r="G59">
        <v>1</v>
      </c>
      <c r="H59" s="3">
        <v>5</v>
      </c>
      <c r="I59" s="3">
        <v>5</v>
      </c>
    </row>
    <row r="60" spans="2:9" x14ac:dyDescent="0.25">
      <c r="B60" t="s">
        <v>55</v>
      </c>
      <c r="D60">
        <v>1057</v>
      </c>
      <c r="E60" s="2" t="s">
        <v>87</v>
      </c>
      <c r="F60" s="2" t="s">
        <v>69</v>
      </c>
      <c r="G60">
        <v>2</v>
      </c>
      <c r="H60" s="3">
        <v>5.5</v>
      </c>
      <c r="I60" s="3">
        <v>11</v>
      </c>
    </row>
    <row r="61" spans="2:9" x14ac:dyDescent="0.25">
      <c r="B61" t="s">
        <v>56</v>
      </c>
      <c r="D61">
        <v>1058</v>
      </c>
      <c r="E61" s="2" t="s">
        <v>88</v>
      </c>
      <c r="F61" s="2" t="s">
        <v>67</v>
      </c>
      <c r="G61">
        <v>3</v>
      </c>
      <c r="H61" s="3">
        <v>4.25</v>
      </c>
      <c r="I61" s="3">
        <v>12.75</v>
      </c>
    </row>
    <row r="62" spans="2:9" x14ac:dyDescent="0.25">
      <c r="B62" t="s">
        <v>57</v>
      </c>
    </row>
  </sheetData>
  <pageMargins left="0.7" right="0.7" top="0.75" bottom="0.75" header="0.3" footer="0.3"/>
  <drawing r:id="rId2"/>
  <tableParts count="2">
    <tablePart r:id="rId3"/>
    <tablePart r:id="rId4"/>
  </tableParts>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1EDED6-C538-444B-8A41-CC61B72588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Coffee 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 Ashby</dc:creator>
  <cp:lastModifiedBy>Тарас Андрійович Осипчук</cp:lastModifiedBy>
  <dcterms:created xsi:type="dcterms:W3CDTF">2023-07-20T16:40:04Z</dcterms:created>
  <dcterms:modified xsi:type="dcterms:W3CDTF">2026-06-28T08:20:50Z</dcterms:modified>
</cp:coreProperties>
</file>