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5-Challenge_InteractiveSalesChart\"/>
    </mc:Choice>
  </mc:AlternateContent>
  <xr:revisionPtr revIDLastSave="0" documentId="13_ncr:1_{08EF64F3-AAAC-43FE-9C00-7AAFDB12A88E}" xr6:coauthVersionLast="47" xr6:coauthVersionMax="47" xr10:uidLastSave="{00000000-0000-0000-0000-000000000000}"/>
  <bookViews>
    <workbookView xWindow="-120" yWindow="-120" windowWidth="29040" windowHeight="15720" xr2:uid="{B5D735B1-8AE6-7748-B844-C333C75D73BA}"/>
  </bookViews>
  <sheets>
    <sheet name="excel-challenge-45" sheetId="1" r:id="rId1"/>
  </sheets>
  <definedNames>
    <definedName name="items">_xlfn.ANCHORARRAY(#REF!)</definedName>
    <definedName name="sales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L16" i="1" a="1"/>
  <c r="L16" i="1" s="1"/>
  <c r="M16" i="1" s="1"/>
  <c r="M24" i="1" l="1"/>
  <c r="M31" i="1"/>
  <c r="M23" i="1"/>
  <c r="M30" i="1"/>
  <c r="M22" i="1"/>
  <c r="M29" i="1"/>
  <c r="M21" i="1"/>
  <c r="M28" i="1"/>
  <c r="M20" i="1"/>
  <c r="M27" i="1"/>
  <c r="M19" i="1"/>
  <c r="M26" i="1"/>
  <c r="M18" i="1"/>
  <c r="M25" i="1"/>
  <c r="M17" i="1"/>
  <c r="L33" i="1" l="1" a="1"/>
  <c r="L33" i="1" l="1"/>
  <c r="K33" i="1" s="1"/>
  <c r="K34" i="1"/>
  <c r="K42" i="1"/>
  <c r="K35" i="1"/>
  <c r="K43" i="1"/>
  <c r="K36" i="1"/>
  <c r="K44" i="1"/>
  <c r="K47" i="1"/>
  <c r="K37" i="1"/>
  <c r="K45" i="1"/>
  <c r="K39" i="1"/>
  <c r="K38" i="1"/>
  <c r="K46" i="1"/>
  <c r="K40" i="1"/>
  <c r="K48" i="1"/>
  <c r="K41" i="1"/>
  <c r="K50" i="1" l="1" a="1"/>
  <c r="K5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<sst xmlns="http://schemas.openxmlformats.org/spreadsheetml/2006/main" count="133" uniqueCount="40">
  <si>
    <t>GoSkills Excel Challenge 45</t>
  </si>
  <si>
    <t>The Data</t>
  </si>
  <si>
    <t>Task #1: Add the category and sales per date</t>
  </si>
  <si>
    <t>Task #2: Calculate the total sales for each item within a specified date range</t>
  </si>
  <si>
    <t>Task #3: Create a dynamic chart to showcase this sales data.</t>
  </si>
  <si>
    <t>Item Name</t>
  </si>
  <si>
    <t>Category</t>
  </si>
  <si>
    <t>Price per item</t>
  </si>
  <si>
    <t>Date</t>
  </si>
  <si>
    <t>Qty</t>
  </si>
  <si>
    <t>Item</t>
  </si>
  <si>
    <t>Sales</t>
  </si>
  <si>
    <t>From:</t>
  </si>
  <si>
    <t>Category:</t>
  </si>
  <si>
    <t>Anystyle Eggs</t>
  </si>
  <si>
    <t>Breakfast menu</t>
  </si>
  <si>
    <t>To:</t>
  </si>
  <si>
    <t>Bottled Water</t>
  </si>
  <si>
    <t>Beverage menu</t>
  </si>
  <si>
    <t>Cheeseburger</t>
  </si>
  <si>
    <t>Burgers</t>
  </si>
  <si>
    <t>Items</t>
  </si>
  <si>
    <t>Your chart here</t>
  </si>
  <si>
    <t>Classic Hamburger</t>
  </si>
  <si>
    <t>Coffee</t>
  </si>
  <si>
    <t>Fruit Juice</t>
  </si>
  <si>
    <t xml:space="preserve">Grilled Cheese </t>
  </si>
  <si>
    <t>Sandwiches</t>
  </si>
  <si>
    <t>Hash Browns</t>
  </si>
  <si>
    <t>Sides</t>
  </si>
  <si>
    <t xml:space="preserve">Metro Express </t>
  </si>
  <si>
    <t xml:space="preserve">Power Express </t>
  </si>
  <si>
    <t>Spanish Omlette</t>
  </si>
  <si>
    <t>Toast</t>
  </si>
  <si>
    <t>Fries</t>
  </si>
  <si>
    <t>Vegetable Soup</t>
  </si>
  <si>
    <t>Soups</t>
  </si>
  <si>
    <t>Seafood Chowder</t>
  </si>
  <si>
    <t>Chicken Soup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</si>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</sst>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6" formatCode="_-[$$-409]* #,##0.00_ ;_-[$$-409]* \-#,##0.00\ ;_-[$$-409]* &quot;-&quot;??_ ;_-@_ "/>
  </numFmts>
  <fonts count="7" x14ac:knownFonts="1">
    <font>
      <sz val="12"/>
      <color theme="1"/>
      <name val="Aptos Narrow"/>
      <family val="2"/>
      <scheme val="minor"/>
    </font>
    <font>
      <b/>
      <sz val="25"/>
      <color theme="1"/>
      <name val="Arial"/>
      <family val="2"/>
    </font>
    <font>
      <b/>
      <sz val="16"/>
      <color theme="1"/>
      <name val="Arial"/>
      <family val="2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0" fillId="4" borderId="1" xfId="0" applyFill="1" applyBorder="1"/>
    <xf numFmtId="16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2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6" fontId="0" fillId="0" borderId="0" xfId="0" applyNumberFormat="1"/>
    <xf numFmtId="14" fontId="0" fillId="4" borderId="1" xfId="0" applyNumberFormat="1" applyFill="1" applyBorder="1"/>
    <xf numFmtId="166" fontId="0" fillId="4" borderId="1" xfId="0" applyNumberFormat="1" applyFill="1" applyBorder="1"/>
  </cellXfs>
  <cellStyles count="1">
    <cellStyle name="Normal" xfId="0" builtinId="0"/>
  </cellStyles>
  <dxfs count="6">
    <dxf>
      <numFmt numFmtId="166" formatCode="_-[$$-409]* #,##0.00_ ;_-[$$-409]* \-#,##0.00\ ;_-[$$-409]* &quot;-&quot;??_ ;_-@_ 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5" formatCode="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961362048756412E-2"/>
          <c:y val="5.7163730027030263E-2"/>
          <c:w val="0.96124241704588043"/>
          <c:h val="0.871173618937866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'excel-challenge-45'!$K$50:$L$51</c:f>
              <c:multiLvlStrCache>
                <c:ptCount val="2"/>
                <c:lvl>
                  <c:pt idx="0">
                    <c:v>Cheeseburger</c:v>
                  </c:pt>
                  <c:pt idx="1">
                    <c:v>Classic Hamburger</c:v>
                  </c:pt>
                </c:lvl>
                <c:lvl>
                  <c:pt idx="0">
                    <c:v>Burgers</c:v>
                  </c:pt>
                  <c:pt idx="1">
                    <c:v>Burgers</c:v>
                  </c:pt>
                </c:lvl>
              </c:multiLvlStrCache>
            </c:multiLvlStrRef>
          </c:cat>
          <c:val>
            <c:numRef>
              <c:f>'excel-challenge-45'!$M$50:$M$51</c:f>
              <c:numCache>
                <c:formatCode>General</c:formatCode>
                <c:ptCount val="2"/>
                <c:pt idx="0">
                  <c:v>744.59999999999991</c:v>
                </c:pt>
                <c:pt idx="1">
                  <c:v>771.15000000000009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8-45E0-9E70-A3CFA3C1F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176703"/>
        <c:axId val="1875177183"/>
      </c:barChart>
      <c:catAx>
        <c:axId val="18751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77183"/>
        <c:crosses val="autoZero"/>
        <c:auto val="1"/>
        <c:lblAlgn val="ctr"/>
        <c:lblOffset val="100"/>
        <c:noMultiLvlLbl val="0"/>
      </c:catAx>
      <c:valAx>
        <c:axId val="18751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7670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25400</xdr:rowOff>
    </xdr:from>
    <xdr:to>
      <xdr:col>1</xdr:col>
      <xdr:colOff>899160</xdr:colOff>
      <xdr:row>3</xdr:row>
      <xdr:rowOff>157108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F098B-9C78-AD44-993D-9CCEC759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1800"/>
          <a:ext cx="2032000" cy="334908"/>
        </a:xfrm>
        <a:prstGeom prst="rect">
          <a:avLst/>
        </a:prstGeom>
      </xdr:spPr>
    </xdr:pic>
    <xdr:clientData/>
  </xdr:twoCellAnchor>
  <xdr:twoCellAnchor>
    <xdr:from>
      <xdr:col>14</xdr:col>
      <xdr:colOff>27894</xdr:colOff>
      <xdr:row>14</xdr:row>
      <xdr:rowOff>19050</xdr:rowOff>
    </xdr:from>
    <xdr:to>
      <xdr:col>28</xdr:col>
      <xdr:colOff>13607</xdr:colOff>
      <xdr:row>51</xdr:row>
      <xdr:rowOff>40821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DBAF16-8281-8D76-46E1-5282BA5BB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C4F2C-696F-1343-BC20-831BD5B77E97}" name="Menu" displayName="Menu" ref="A12:C29" totalsRowShown="0">
  <autoFilter ref="A12:C29" xr:uid="{5D4207D1-FAEC-B948-B3E5-89B5FD48901C}"/>
  <tableColumns count="3">
    <tableColumn id="1" xr3:uid="{F7785009-38A2-CA40-8C83-EDB45ECC62AC}" name="Item Name"/>
    <tableColumn id="2" xr3:uid="{FCC8A948-8A71-3B44-A810-98A8783A41A0}" name="Category"/>
    <tableColumn id="3" xr3:uid="{7F7F3083-90C1-6E45-8DF0-3E5684B2A5CE}" name="Price per item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86FE1-2516-CF4A-BDFA-F2393717A270}" name="Table2" displayName="Table2" ref="E12:I92" totalsRowShown="0" headerRowDxfId="4">
  <autoFilter ref="E12:I92" xr:uid="{F2EA4752-3BEF-1A4A-A06E-75E902718031}"/>
  <tableColumns count="5">
    <tableColumn id="1" xr3:uid="{FBD6B529-4839-4442-AB04-3390FE35B848}" name="Date" dataDxfId="3"/>
    <tableColumn id="2" xr3:uid="{2EA98A66-6BAC-1B45-B495-1240234005FA}" name="Qty" dataDxfId="2"/>
    <tableColumn id="3" xr3:uid="{DE76D539-7934-1240-A72A-25B8A3C95956}" name="Item"/>
    <tableColumn id="4" xr3:uid="{8D9EA02B-6D6D-124B-824D-23DFD3ABBBE3}" name="Category" dataDxfId="1">
      <calculatedColumnFormula>_xlfn.XLOOKUP(Table2[[#This Row],[Item]],Menu[Item Name],Menu[Category])</calculatedColumnFormula>
    </tableColumn>
    <tableColumn id="5" xr3:uid="{A9655DE6-9554-354C-ACD7-84CBC30E4CD5}" name="Sales" dataDxfId="0">
      <calculatedColumnFormula>_xlfn.XLOOKUP(Table2[[#This Row],[Item]],Menu[Item Name],Menu[Price per item])*Table2[[#This Row],[Qty]]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44A2-6AF2-404D-9735-9F5CA9C6351E}">
  <dimension ref="A2:AC92"/>
  <sheetViews>
    <sheetView showGridLines="0" tabSelected="1" topLeftCell="F7" zoomScale="70" zoomScaleNormal="70" workbookViewId="0">
      <selection activeCell="S11" sqref="S11"/>
    </sheetView>
  </sheetViews>
  <sheetFormatPr defaultColWidth="10.875" defaultRowHeight="15.75" x14ac:dyDescent="0.25"/>
  <cols>
    <col min="1" max="1" width="16" bestFit="1" customWidth="1"/>
    <col min="2" max="2" width="13.375" customWidth="1"/>
    <col min="3" max="3" width="15" customWidth="1"/>
    <col min="4" max="4" width="5.875" customWidth="1"/>
    <col min="5" max="6" width="13.375" customWidth="1"/>
    <col min="7" max="7" width="20.875" customWidth="1"/>
    <col min="8" max="10" width="13.375" customWidth="1"/>
    <col min="11" max="11" width="13.625" bestFit="1" customWidth="1"/>
    <col min="12" max="13" width="25.875" customWidth="1"/>
    <col min="14" max="14" width="5.875" customWidth="1"/>
    <col min="15" max="15" width="13.375" customWidth="1"/>
    <col min="16" max="16" width="25.875" customWidth="1"/>
  </cols>
  <sheetData>
    <row r="2" spans="1:29" x14ac:dyDescent="0.25">
      <c r="A2" s="26"/>
      <c r="B2" s="26"/>
    </row>
    <row r="3" spans="1:29" x14ac:dyDescent="0.25">
      <c r="A3" s="26"/>
      <c r="B3" s="26"/>
    </row>
    <row r="5" spans="1:29" x14ac:dyDescent="0.25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9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9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9" spans="1:29" ht="25.15" customHeight="1" x14ac:dyDescent="0.25">
      <c r="A9" s="28" t="s">
        <v>1</v>
      </c>
      <c r="B9" s="28"/>
      <c r="C9" s="28"/>
      <c r="E9" s="28" t="s">
        <v>2</v>
      </c>
      <c r="F9" s="28"/>
      <c r="G9" s="28"/>
      <c r="H9" s="28"/>
      <c r="I9" s="28"/>
      <c r="J9" s="12"/>
      <c r="L9" s="29" t="s">
        <v>3</v>
      </c>
      <c r="M9" s="29"/>
      <c r="O9" s="30" t="s">
        <v>4</v>
      </c>
      <c r="P9" s="30"/>
      <c r="Q9" s="30"/>
      <c r="R9" s="30"/>
      <c r="S9" s="30"/>
      <c r="T9" s="30"/>
    </row>
    <row r="10" spans="1:29" ht="25.15" customHeight="1" x14ac:dyDescent="0.25">
      <c r="A10" s="28"/>
      <c r="B10" s="28"/>
      <c r="C10" s="28"/>
      <c r="E10" s="28"/>
      <c r="F10" s="28"/>
      <c r="G10" s="28"/>
      <c r="H10" s="28"/>
      <c r="I10" s="28"/>
      <c r="J10" s="12"/>
      <c r="L10" s="29"/>
      <c r="M10" s="29"/>
      <c r="O10" s="30"/>
      <c r="P10" s="30"/>
      <c r="Q10" s="30"/>
      <c r="R10" s="30"/>
      <c r="S10" s="30"/>
      <c r="T10" s="30"/>
    </row>
    <row r="11" spans="1:29" ht="16.5" thickBot="1" x14ac:dyDescent="0.3"/>
    <row r="12" spans="1:29" ht="16.5" thickBot="1" x14ac:dyDescent="0.3">
      <c r="A12" t="s">
        <v>5</v>
      </c>
      <c r="B12" t="s">
        <v>6</v>
      </c>
      <c r="C12" t="s">
        <v>7</v>
      </c>
      <c r="E12" s="1" t="s">
        <v>8</v>
      </c>
      <c r="F12" s="1" t="s">
        <v>9</v>
      </c>
      <c r="G12" s="1" t="s">
        <v>10</v>
      </c>
      <c r="H12" s="2" t="s">
        <v>6</v>
      </c>
      <c r="I12" s="2" t="s">
        <v>11</v>
      </c>
      <c r="J12" s="2"/>
      <c r="L12" s="3" t="s">
        <v>12</v>
      </c>
      <c r="M12" s="32">
        <v>45558</v>
      </c>
      <c r="O12" s="13" t="s">
        <v>13</v>
      </c>
      <c r="P12" s="15" t="s">
        <v>20</v>
      </c>
    </row>
    <row r="13" spans="1:29" ht="16.5" thickBot="1" x14ac:dyDescent="0.3">
      <c r="A13" t="s">
        <v>14</v>
      </c>
      <c r="B13" t="s">
        <v>15</v>
      </c>
      <c r="C13" s="5">
        <v>3.25</v>
      </c>
      <c r="E13" s="6">
        <v>45558</v>
      </c>
      <c r="F13" s="7">
        <v>7</v>
      </c>
      <c r="G13" t="s">
        <v>14</v>
      </c>
      <c r="H13" t="str">
        <f>_xlfn.XLOOKUP(Table2[[#This Row],[Item]],Menu[Item Name],Menu[Category])</f>
        <v>Breakfast menu</v>
      </c>
      <c r="I13" s="31">
        <f>_xlfn.XLOOKUP(Table2[[#This Row],[Item]],Menu[Item Name],Menu[Price per item])*Table2[[#This Row],[Qty]]</f>
        <v>22.75</v>
      </c>
      <c r="J13" s="31"/>
      <c r="L13" s="3" t="s">
        <v>16</v>
      </c>
      <c r="M13" s="32">
        <v>45560</v>
      </c>
      <c r="O13" s="14"/>
      <c r="P13" s="16"/>
    </row>
    <row r="14" spans="1:29" ht="16.5" thickBot="1" x14ac:dyDescent="0.3">
      <c r="A14" t="s">
        <v>17</v>
      </c>
      <c r="B14" t="s">
        <v>18</v>
      </c>
      <c r="C14" s="5">
        <v>1.65</v>
      </c>
      <c r="E14" s="6">
        <v>45558</v>
      </c>
      <c r="F14" s="7">
        <v>16</v>
      </c>
      <c r="G14" t="s">
        <v>17</v>
      </c>
      <c r="H14" t="str">
        <f>_xlfn.XLOOKUP(Table2[[#This Row],[Item]],Menu[Item Name],Menu[Category])</f>
        <v>Beverage menu</v>
      </c>
      <c r="I14" s="31">
        <f>_xlfn.XLOOKUP(Table2[[#This Row],[Item]],Menu[Item Name],Menu[Price per item])*Table2[[#This Row],[Qty]]</f>
        <v>26.4</v>
      </c>
      <c r="J14" s="31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9" ht="16.5" thickBot="1" x14ac:dyDescent="0.3">
      <c r="A15" t="s">
        <v>19</v>
      </c>
      <c r="B15" t="s">
        <v>20</v>
      </c>
      <c r="C15" s="5">
        <v>10.95</v>
      </c>
      <c r="E15" s="6">
        <v>45558</v>
      </c>
      <c r="F15" s="7">
        <v>22</v>
      </c>
      <c r="G15" t="s">
        <v>19</v>
      </c>
      <c r="H15" t="str">
        <f>_xlfn.XLOOKUP(Table2[[#This Row],[Item]],Menu[Item Name],Menu[Category])</f>
        <v>Burgers</v>
      </c>
      <c r="I15" s="31">
        <f>_xlfn.XLOOKUP(Table2[[#This Row],[Item]],Menu[Item Name],Menu[Price per item])*Table2[[#This Row],[Qty]]</f>
        <v>240.89999999999998</v>
      </c>
      <c r="J15" s="31"/>
      <c r="L15" s="3" t="s">
        <v>21</v>
      </c>
      <c r="M15" s="3" t="s">
        <v>11</v>
      </c>
      <c r="N15" s="9"/>
      <c r="O15" s="17" t="s">
        <v>22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9"/>
      <c r="AC15" s="10"/>
    </row>
    <row r="16" spans="1:29" ht="16.5" thickBot="1" x14ac:dyDescent="0.3">
      <c r="A16" t="s">
        <v>23</v>
      </c>
      <c r="B16" t="s">
        <v>20</v>
      </c>
      <c r="C16" s="5">
        <v>7.95</v>
      </c>
      <c r="E16" s="6">
        <v>45558</v>
      </c>
      <c r="F16" s="7">
        <v>42</v>
      </c>
      <c r="G16" t="s">
        <v>23</v>
      </c>
      <c r="H16" t="str">
        <f>_xlfn.XLOOKUP(Table2[[#This Row],[Item]],Menu[Item Name],Menu[Category])</f>
        <v>Burgers</v>
      </c>
      <c r="I16" s="31">
        <f>_xlfn.XLOOKUP(Table2[[#This Row],[Item]],Menu[Item Name],Menu[Price per item])*Table2[[#This Row],[Qty]]</f>
        <v>333.90000000000003</v>
      </c>
      <c r="J16" s="31"/>
      <c r="L16" s="4" t="str" cm="1">
        <f t="array" ref="L16:L32">Menu[Item Name]</f>
        <v>Anystyle Eggs</v>
      </c>
      <c r="M16" s="33">
        <f>SUMIFS(Table2[Sales],Table2[Date],"&gt;="&amp;$M$12,Table2[Date],"&lt;="&amp;$M$13,Table2[Item],"="&amp;L16)</f>
        <v>159.25</v>
      </c>
      <c r="N16" s="9"/>
      <c r="O16" s="20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/>
      <c r="AC16" s="10"/>
    </row>
    <row r="17" spans="1:29" ht="16.5" thickBot="1" x14ac:dyDescent="0.3">
      <c r="A17" t="s">
        <v>24</v>
      </c>
      <c r="B17" t="s">
        <v>18</v>
      </c>
      <c r="C17" s="5">
        <v>2.95</v>
      </c>
      <c r="E17" s="6">
        <v>45558</v>
      </c>
      <c r="F17" s="7">
        <v>36</v>
      </c>
      <c r="G17" t="s">
        <v>24</v>
      </c>
      <c r="H17" t="str">
        <f>_xlfn.XLOOKUP(Table2[[#This Row],[Item]],Menu[Item Name],Menu[Category])</f>
        <v>Beverage menu</v>
      </c>
      <c r="I17" s="31">
        <f>_xlfn.XLOOKUP(Table2[[#This Row],[Item]],Menu[Item Name],Menu[Price per item])*Table2[[#This Row],[Qty]]</f>
        <v>106.2</v>
      </c>
      <c r="J17" s="31"/>
      <c r="L17" s="4" t="str">
        <v>Bottled Water</v>
      </c>
      <c r="M17" s="33">
        <f>SUMIFS(Table2[Sales],Table2[Date],"&gt;="&amp;$M$12,Table2[Date],"&lt;="&amp;$M$13,Table2[Item],"="&amp;L17)</f>
        <v>120.44999999999999</v>
      </c>
      <c r="N17" s="9"/>
      <c r="O17" s="20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/>
      <c r="AC17" s="10"/>
    </row>
    <row r="18" spans="1:29" ht="16.5" thickBot="1" x14ac:dyDescent="0.3">
      <c r="A18" t="s">
        <v>25</v>
      </c>
      <c r="B18" t="s">
        <v>18</v>
      </c>
      <c r="C18" s="5">
        <v>3.35</v>
      </c>
      <c r="E18" s="6">
        <v>45558</v>
      </c>
      <c r="F18" s="7">
        <v>48</v>
      </c>
      <c r="G18" t="s">
        <v>25</v>
      </c>
      <c r="H18" t="str">
        <f>_xlfn.XLOOKUP(Table2[[#This Row],[Item]],Menu[Item Name],Menu[Category])</f>
        <v>Beverage menu</v>
      </c>
      <c r="I18" s="31">
        <f>_xlfn.XLOOKUP(Table2[[#This Row],[Item]],Menu[Item Name],Menu[Price per item])*Table2[[#This Row],[Qty]]</f>
        <v>160.80000000000001</v>
      </c>
      <c r="J18" s="31"/>
      <c r="L18" s="4" t="str">
        <v>Cheeseburger</v>
      </c>
      <c r="M18" s="33">
        <f>SUMIFS(Table2[Sales],Table2[Date],"&gt;="&amp;$M$12,Table2[Date],"&lt;="&amp;$M$13,Table2[Item],"="&amp;L18)</f>
        <v>744.59999999999991</v>
      </c>
      <c r="N18" s="9"/>
      <c r="O18" s="2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/>
      <c r="AC18" s="10"/>
    </row>
    <row r="19" spans="1:29" ht="16.5" thickBot="1" x14ac:dyDescent="0.3">
      <c r="A19" t="s">
        <v>26</v>
      </c>
      <c r="B19" t="s">
        <v>27</v>
      </c>
      <c r="C19" s="5">
        <v>4.5</v>
      </c>
      <c r="E19" s="6">
        <v>45558</v>
      </c>
      <c r="F19" s="7">
        <v>7</v>
      </c>
      <c r="G19" t="s">
        <v>26</v>
      </c>
      <c r="H19" t="str">
        <f>_xlfn.XLOOKUP(Table2[[#This Row],[Item]],Menu[Item Name],Menu[Category])</f>
        <v>Sandwiches</v>
      </c>
      <c r="I19" s="31">
        <f>_xlfn.XLOOKUP(Table2[[#This Row],[Item]],Menu[Item Name],Menu[Price per item])*Table2[[#This Row],[Qty]]</f>
        <v>31.5</v>
      </c>
      <c r="J19" s="31"/>
      <c r="L19" s="4" t="str">
        <v>Classic Hamburger</v>
      </c>
      <c r="M19" s="33">
        <f>SUMIFS(Table2[Sales],Table2[Date],"&gt;="&amp;$M$12,Table2[Date],"&lt;="&amp;$M$13,Table2[Item],"="&amp;L19)</f>
        <v>771.15000000000009</v>
      </c>
      <c r="N19" s="9"/>
      <c r="O19" s="20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/>
      <c r="AC19" s="10"/>
    </row>
    <row r="20" spans="1:29" ht="16.5" thickBot="1" x14ac:dyDescent="0.3">
      <c r="A20" t="s">
        <v>28</v>
      </c>
      <c r="B20" t="s">
        <v>29</v>
      </c>
      <c r="C20" s="5">
        <v>2.5</v>
      </c>
      <c r="E20" s="6">
        <v>45558</v>
      </c>
      <c r="F20" s="7">
        <v>38</v>
      </c>
      <c r="G20" t="s">
        <v>28</v>
      </c>
      <c r="H20" t="str">
        <f>_xlfn.XLOOKUP(Table2[[#This Row],[Item]],Menu[Item Name],Menu[Category])</f>
        <v>Sides</v>
      </c>
      <c r="I20" s="31">
        <f>_xlfn.XLOOKUP(Table2[[#This Row],[Item]],Menu[Item Name],Menu[Price per item])*Table2[[#This Row],[Qty]]</f>
        <v>95</v>
      </c>
      <c r="J20" s="31"/>
      <c r="L20" s="4" t="str">
        <v>Coffee</v>
      </c>
      <c r="M20" s="33">
        <f>SUMIFS(Table2[Sales],Table2[Date],"&gt;="&amp;$M$12,Table2[Date],"&lt;="&amp;$M$13,Table2[Item],"="&amp;L20)</f>
        <v>268.45</v>
      </c>
      <c r="N20" s="9"/>
      <c r="O20" s="2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2"/>
      <c r="AC20" s="10"/>
    </row>
    <row r="21" spans="1:29" ht="16.5" thickBot="1" x14ac:dyDescent="0.3">
      <c r="A21" t="s">
        <v>30</v>
      </c>
      <c r="B21" t="s">
        <v>27</v>
      </c>
      <c r="C21" s="5">
        <v>7.95</v>
      </c>
      <c r="E21" s="6">
        <v>45558</v>
      </c>
      <c r="F21" s="7">
        <v>31</v>
      </c>
      <c r="G21" t="s">
        <v>30</v>
      </c>
      <c r="H21" t="str">
        <f>_xlfn.XLOOKUP(Table2[[#This Row],[Item]],Menu[Item Name],Menu[Category])</f>
        <v>Sandwiches</v>
      </c>
      <c r="I21" s="31">
        <f>_xlfn.XLOOKUP(Table2[[#This Row],[Item]],Menu[Item Name],Menu[Price per item])*Table2[[#This Row],[Qty]]</f>
        <v>246.45000000000002</v>
      </c>
      <c r="J21" s="31"/>
      <c r="L21" s="4" t="str">
        <v>Fruit Juice</v>
      </c>
      <c r="M21" s="33">
        <f>SUMIFS(Table2[Sales],Table2[Date],"&gt;="&amp;$M$12,Table2[Date],"&lt;="&amp;$M$13,Table2[Item],"="&amp;L21)</f>
        <v>268</v>
      </c>
      <c r="N21" s="9"/>
      <c r="O21" s="20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2"/>
      <c r="AC21" s="10"/>
    </row>
    <row r="22" spans="1:29" ht="16.5" thickBot="1" x14ac:dyDescent="0.3">
      <c r="A22" t="s">
        <v>31</v>
      </c>
      <c r="B22" t="s">
        <v>27</v>
      </c>
      <c r="C22" s="5">
        <v>7.95</v>
      </c>
      <c r="E22" s="6">
        <v>45558</v>
      </c>
      <c r="F22" s="7">
        <v>39</v>
      </c>
      <c r="G22" t="s">
        <v>31</v>
      </c>
      <c r="H22" t="str">
        <f>_xlfn.XLOOKUP(Table2[[#This Row],[Item]],Menu[Item Name],Menu[Category])</f>
        <v>Sandwiches</v>
      </c>
      <c r="I22" s="31">
        <f>_xlfn.XLOOKUP(Table2[[#This Row],[Item]],Menu[Item Name],Menu[Price per item])*Table2[[#This Row],[Qty]]</f>
        <v>310.05</v>
      </c>
      <c r="J22" s="31"/>
      <c r="L22" s="4" t="str">
        <v xml:space="preserve">Grilled Cheese </v>
      </c>
      <c r="M22" s="33">
        <f>SUMIFS(Table2[Sales],Table2[Date],"&gt;="&amp;$M$12,Table2[Date],"&lt;="&amp;$M$13,Table2[Item],"="&amp;L22)</f>
        <v>180</v>
      </c>
      <c r="N22" s="9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2"/>
      <c r="AC22" s="10"/>
    </row>
    <row r="23" spans="1:29" ht="16.5" thickBot="1" x14ac:dyDescent="0.3">
      <c r="A23" t="s">
        <v>32</v>
      </c>
      <c r="B23" t="s">
        <v>15</v>
      </c>
      <c r="C23" s="5">
        <v>3.95</v>
      </c>
      <c r="E23" s="6">
        <v>45558</v>
      </c>
      <c r="F23" s="7">
        <v>26</v>
      </c>
      <c r="G23" t="s">
        <v>32</v>
      </c>
      <c r="H23" t="str">
        <f>_xlfn.XLOOKUP(Table2[[#This Row],[Item]],Menu[Item Name],Menu[Category])</f>
        <v>Breakfast menu</v>
      </c>
      <c r="I23" s="31">
        <f>_xlfn.XLOOKUP(Table2[[#This Row],[Item]],Menu[Item Name],Menu[Price per item])*Table2[[#This Row],[Qty]]</f>
        <v>102.7</v>
      </c>
      <c r="J23" s="31"/>
      <c r="L23" s="4" t="str">
        <v>Hash Browns</v>
      </c>
      <c r="M23" s="33">
        <f>SUMIFS(Table2[Sales],Table2[Date],"&gt;="&amp;$M$12,Table2[Date],"&lt;="&amp;$M$13,Table2[Item],"="&amp;L23)</f>
        <v>275</v>
      </c>
      <c r="N23" s="9"/>
      <c r="O23" s="20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2"/>
      <c r="AC23" s="10"/>
    </row>
    <row r="24" spans="1:29" ht="16.5" thickBot="1" x14ac:dyDescent="0.3">
      <c r="A24" t="s">
        <v>33</v>
      </c>
      <c r="B24" t="s">
        <v>29</v>
      </c>
      <c r="C24" s="5">
        <v>2.35</v>
      </c>
      <c r="E24" s="6">
        <v>45558</v>
      </c>
      <c r="F24" s="7">
        <v>26</v>
      </c>
      <c r="G24" t="s">
        <v>33</v>
      </c>
      <c r="H24" t="str">
        <f>_xlfn.XLOOKUP(Table2[[#This Row],[Item]],Menu[Item Name],Menu[Category])</f>
        <v>Sides</v>
      </c>
      <c r="I24" s="31">
        <f>_xlfn.XLOOKUP(Table2[[#This Row],[Item]],Menu[Item Name],Menu[Price per item])*Table2[[#This Row],[Qty]]</f>
        <v>61.1</v>
      </c>
      <c r="J24" s="31"/>
      <c r="L24" s="4" t="str">
        <v xml:space="preserve">Metro Express </v>
      </c>
      <c r="M24" s="33">
        <f>SUMIFS(Table2[Sales],Table2[Date],"&gt;="&amp;$M$12,Table2[Date],"&lt;="&amp;$M$13,Table2[Item],"="&amp;L24)</f>
        <v>723.45</v>
      </c>
      <c r="N24" s="9"/>
      <c r="O24" s="20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2"/>
      <c r="AC24" s="10"/>
    </row>
    <row r="25" spans="1:29" ht="16.5" thickBot="1" x14ac:dyDescent="0.3">
      <c r="A25" t="s">
        <v>34</v>
      </c>
      <c r="B25" t="s">
        <v>29</v>
      </c>
      <c r="C25" s="5">
        <v>3.25</v>
      </c>
      <c r="E25" s="6">
        <v>45558</v>
      </c>
      <c r="F25" s="7">
        <v>40</v>
      </c>
      <c r="G25" t="s">
        <v>34</v>
      </c>
      <c r="H25" t="str">
        <f>_xlfn.XLOOKUP(Table2[[#This Row],[Item]],Menu[Item Name],Menu[Category])</f>
        <v>Sides</v>
      </c>
      <c r="I25" s="31">
        <f>_xlfn.XLOOKUP(Table2[[#This Row],[Item]],Menu[Item Name],Menu[Price per item])*Table2[[#This Row],[Qty]]</f>
        <v>130</v>
      </c>
      <c r="J25" s="31"/>
      <c r="L25" s="4" t="str">
        <v xml:space="preserve">Power Express </v>
      </c>
      <c r="M25" s="33">
        <f>SUMIFS(Table2[Sales],Table2[Date],"&gt;="&amp;$M$12,Table2[Date],"&lt;="&amp;$M$13,Table2[Item],"="&amp;L25)</f>
        <v>580.35</v>
      </c>
      <c r="N25" s="9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2"/>
      <c r="AC25" s="10"/>
    </row>
    <row r="26" spans="1:29" ht="16.5" thickBot="1" x14ac:dyDescent="0.3">
      <c r="A26" t="s">
        <v>35</v>
      </c>
      <c r="B26" t="s">
        <v>36</v>
      </c>
      <c r="C26" s="5">
        <v>5.25</v>
      </c>
      <c r="E26" s="6">
        <v>45558</v>
      </c>
      <c r="F26" s="7">
        <v>6</v>
      </c>
      <c r="G26" t="s">
        <v>35</v>
      </c>
      <c r="H26" t="str">
        <f>_xlfn.XLOOKUP(Table2[[#This Row],[Item]],Menu[Item Name],Menu[Category])</f>
        <v>Soups</v>
      </c>
      <c r="I26" s="31">
        <f>_xlfn.XLOOKUP(Table2[[#This Row],[Item]],Menu[Item Name],Menu[Price per item])*Table2[[#This Row],[Qty]]</f>
        <v>31.5</v>
      </c>
      <c r="J26" s="31"/>
      <c r="L26" s="4" t="str">
        <v>Spanish Omlette</v>
      </c>
      <c r="M26" s="33">
        <f>SUMIFS(Table2[Sales],Table2[Date],"&gt;="&amp;$M$12,Table2[Date],"&lt;="&amp;$M$13,Table2[Item],"="&amp;L26)</f>
        <v>418.70000000000005</v>
      </c>
      <c r="N26" s="9"/>
      <c r="O26" s="20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2"/>
      <c r="AC26" s="10"/>
    </row>
    <row r="27" spans="1:29" ht="16.5" thickBot="1" x14ac:dyDescent="0.3">
      <c r="A27" t="s">
        <v>37</v>
      </c>
      <c r="B27" t="s">
        <v>36</v>
      </c>
      <c r="C27" s="5">
        <v>5.25</v>
      </c>
      <c r="E27" s="6">
        <v>45558</v>
      </c>
      <c r="F27" s="7">
        <v>40</v>
      </c>
      <c r="G27" t="s">
        <v>37</v>
      </c>
      <c r="H27" t="str">
        <f>_xlfn.XLOOKUP(Table2[[#This Row],[Item]],Menu[Item Name],Menu[Category])</f>
        <v>Soups</v>
      </c>
      <c r="I27" s="31">
        <f>_xlfn.XLOOKUP(Table2[[#This Row],[Item]],Menu[Item Name],Menu[Price per item])*Table2[[#This Row],[Qty]]</f>
        <v>210</v>
      </c>
      <c r="J27" s="31"/>
      <c r="L27" s="4" t="str">
        <v>Toast</v>
      </c>
      <c r="M27" s="33">
        <f>SUMIFS(Table2[Sales],Table2[Date],"&gt;="&amp;$M$12,Table2[Date],"&lt;="&amp;$M$13,Table2[Item],"="&amp;L27)</f>
        <v>249.10000000000002</v>
      </c>
      <c r="N27" s="9"/>
      <c r="O27" s="20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2"/>
      <c r="AC27" s="10"/>
    </row>
    <row r="28" spans="1:29" ht="16.5" thickBot="1" x14ac:dyDescent="0.3">
      <c r="A28" t="s">
        <v>38</v>
      </c>
      <c r="B28" t="s">
        <v>36</v>
      </c>
      <c r="C28" s="5">
        <v>5.25</v>
      </c>
      <c r="E28" s="6">
        <v>45558</v>
      </c>
      <c r="F28" s="7">
        <v>46</v>
      </c>
      <c r="G28" t="s">
        <v>38</v>
      </c>
      <c r="H28" t="str">
        <f>_xlfn.XLOOKUP(Table2[[#This Row],[Item]],Menu[Item Name],Menu[Category])</f>
        <v>Soups</v>
      </c>
      <c r="I28" s="31">
        <f>_xlfn.XLOOKUP(Table2[[#This Row],[Item]],Menu[Item Name],Menu[Price per item])*Table2[[#This Row],[Qty]]</f>
        <v>241.5</v>
      </c>
      <c r="J28" s="31"/>
      <c r="L28" s="4" t="str">
        <v>Fries</v>
      </c>
      <c r="M28" s="33">
        <f>SUMIFS(Table2[Sales],Table2[Date],"&gt;="&amp;$M$12,Table2[Date],"&lt;="&amp;$M$13,Table2[Item],"="&amp;L28)</f>
        <v>308.75</v>
      </c>
      <c r="N28" s="9"/>
      <c r="O28" s="20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2"/>
      <c r="AC28" s="10"/>
    </row>
    <row r="29" spans="1:29" ht="16.5" thickBot="1" x14ac:dyDescent="0.3">
      <c r="B29" t="s">
        <v>39</v>
      </c>
      <c r="C29" s="5"/>
      <c r="E29" s="6">
        <v>45559</v>
      </c>
      <c r="F29" s="7">
        <v>7</v>
      </c>
      <c r="G29" t="s">
        <v>14</v>
      </c>
      <c r="H29" t="str">
        <f>_xlfn.XLOOKUP(Table2[[#This Row],[Item]],Menu[Item Name],Menu[Category])</f>
        <v>Breakfast menu</v>
      </c>
      <c r="I29" s="31">
        <f>_xlfn.XLOOKUP(Table2[[#This Row],[Item]],Menu[Item Name],Menu[Price per item])*Table2[[#This Row],[Qty]]</f>
        <v>22.75</v>
      </c>
      <c r="J29" s="31"/>
      <c r="L29" s="4" t="str">
        <v>Vegetable Soup</v>
      </c>
      <c r="M29" s="33">
        <f>SUMIFS(Table2[Sales],Table2[Date],"&gt;="&amp;$M$12,Table2[Date],"&lt;="&amp;$M$13,Table2[Item],"="&amp;L29)</f>
        <v>320.25</v>
      </c>
      <c r="N29" s="9"/>
      <c r="O29" s="20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2"/>
      <c r="AC29" s="10"/>
    </row>
    <row r="30" spans="1:29" ht="16.5" thickBot="1" x14ac:dyDescent="0.3">
      <c r="E30" s="6">
        <v>45559</v>
      </c>
      <c r="F30" s="7">
        <v>22</v>
      </c>
      <c r="G30" t="s">
        <v>17</v>
      </c>
      <c r="H30" t="str">
        <f>_xlfn.XLOOKUP(Table2[[#This Row],[Item]],Menu[Item Name],Menu[Category])</f>
        <v>Beverage menu</v>
      </c>
      <c r="I30" s="31">
        <f>_xlfn.XLOOKUP(Table2[[#This Row],[Item]],Menu[Item Name],Menu[Price per item])*Table2[[#This Row],[Qty]]</f>
        <v>36.299999999999997</v>
      </c>
      <c r="J30" s="31"/>
      <c r="L30" s="4" t="str">
        <v>Seafood Chowder</v>
      </c>
      <c r="M30" s="33">
        <f>SUMIFS(Table2[Sales],Table2[Date],"&gt;="&amp;$M$12,Table2[Date],"&lt;="&amp;$M$13,Table2[Item],"="&amp;L30)</f>
        <v>630</v>
      </c>
      <c r="N30" s="9"/>
      <c r="O30" s="20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2"/>
      <c r="AC30" s="10"/>
    </row>
    <row r="31" spans="1:29" ht="16.5" thickBot="1" x14ac:dyDescent="0.3">
      <c r="E31" s="6">
        <v>45559</v>
      </c>
      <c r="F31" s="7">
        <v>13</v>
      </c>
      <c r="G31" t="s">
        <v>19</v>
      </c>
      <c r="H31" t="str">
        <f>_xlfn.XLOOKUP(Table2[[#This Row],[Item]],Menu[Item Name],Menu[Category])</f>
        <v>Burgers</v>
      </c>
      <c r="I31" s="31">
        <f>_xlfn.XLOOKUP(Table2[[#This Row],[Item]],Menu[Item Name],Menu[Price per item])*Table2[[#This Row],[Qty]]</f>
        <v>142.35</v>
      </c>
      <c r="J31" s="31"/>
      <c r="L31" s="4" t="str">
        <v>Chicken Soup</v>
      </c>
      <c r="M31" s="33">
        <f>SUMIFS(Table2[Sales],Table2[Date],"&gt;="&amp;$M$12,Table2[Date],"&lt;="&amp;$M$13,Table2[Item],"="&amp;L31)</f>
        <v>393.75</v>
      </c>
      <c r="N31" s="9"/>
      <c r="O31" s="20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2"/>
      <c r="AC31" s="10"/>
    </row>
    <row r="32" spans="1:29" x14ac:dyDescent="0.25">
      <c r="E32" s="6">
        <v>45559</v>
      </c>
      <c r="F32" s="7">
        <v>6</v>
      </c>
      <c r="G32" t="s">
        <v>23</v>
      </c>
      <c r="H32" t="str">
        <f>_xlfn.XLOOKUP(Table2[[#This Row],[Item]],Menu[Item Name],Menu[Category])</f>
        <v>Burgers</v>
      </c>
      <c r="I32" s="31">
        <f>_xlfn.XLOOKUP(Table2[[#This Row],[Item]],Menu[Item Name],Menu[Price per item])*Table2[[#This Row],[Qty]]</f>
        <v>47.7</v>
      </c>
      <c r="J32" s="31"/>
      <c r="L32">
        <v>0</v>
      </c>
      <c r="N32" s="9"/>
      <c r="O32" s="20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2"/>
      <c r="AC32" s="10"/>
    </row>
    <row r="33" spans="5:29" x14ac:dyDescent="0.25">
      <c r="E33" s="6">
        <v>45559</v>
      </c>
      <c r="F33" s="7">
        <v>19</v>
      </c>
      <c r="G33" t="s">
        <v>24</v>
      </c>
      <c r="H33" t="str">
        <f>_xlfn.XLOOKUP(Table2[[#This Row],[Item]],Menu[Item Name],Menu[Category])</f>
        <v>Beverage menu</v>
      </c>
      <c r="I33" s="31">
        <f>_xlfn.XLOOKUP(Table2[[#This Row],[Item]],Menu[Item Name],Menu[Price per item])*Table2[[#This Row],[Qty]]</f>
        <v>56.050000000000004</v>
      </c>
      <c r="J33" s="31"/>
      <c r="K33" t="str">
        <f>_xlfn.XLOOKUP(L33,Menu[Item Name],Menu[Category])</f>
        <v>Breakfast menu</v>
      </c>
      <c r="L33" t="str" cm="1">
        <f t="array" ref="L33:M48">L16:M31</f>
        <v>Anystyle Eggs</v>
      </c>
      <c r="M33">
        <v>159.25</v>
      </c>
      <c r="N33" s="9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2"/>
      <c r="AC33" s="10"/>
    </row>
    <row r="34" spans="5:29" x14ac:dyDescent="0.25">
      <c r="E34" s="6">
        <v>45559</v>
      </c>
      <c r="F34" s="7">
        <v>24</v>
      </c>
      <c r="G34" t="s">
        <v>25</v>
      </c>
      <c r="H34" t="str">
        <f>_xlfn.XLOOKUP(Table2[[#This Row],[Item]],Menu[Item Name],Menu[Category])</f>
        <v>Beverage menu</v>
      </c>
      <c r="I34" s="31">
        <f>_xlfn.XLOOKUP(Table2[[#This Row],[Item]],Menu[Item Name],Menu[Price per item])*Table2[[#This Row],[Qty]]</f>
        <v>80.400000000000006</v>
      </c>
      <c r="J34" s="31"/>
      <c r="K34" t="str">
        <f>_xlfn.XLOOKUP(L34,Menu[Item Name],Menu[Category])</f>
        <v>Beverage menu</v>
      </c>
      <c r="L34" t="str">
        <v>Bottled Water</v>
      </c>
      <c r="M34">
        <v>120.44999999999999</v>
      </c>
      <c r="N34" s="9"/>
      <c r="O34" s="20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2"/>
      <c r="AC34" s="10"/>
    </row>
    <row r="35" spans="5:29" x14ac:dyDescent="0.25">
      <c r="E35" s="6">
        <v>45559</v>
      </c>
      <c r="F35" s="7">
        <v>15</v>
      </c>
      <c r="G35" t="s">
        <v>26</v>
      </c>
      <c r="H35" t="str">
        <f>_xlfn.XLOOKUP(Table2[[#This Row],[Item]],Menu[Item Name],Menu[Category])</f>
        <v>Sandwiches</v>
      </c>
      <c r="I35" s="31">
        <f>_xlfn.XLOOKUP(Table2[[#This Row],[Item]],Menu[Item Name],Menu[Price per item])*Table2[[#This Row],[Qty]]</f>
        <v>67.5</v>
      </c>
      <c r="J35" s="31"/>
      <c r="K35" t="str">
        <f>_xlfn.XLOOKUP(L35,Menu[Item Name],Menu[Category])</f>
        <v>Burgers</v>
      </c>
      <c r="L35" t="str">
        <v>Cheeseburger</v>
      </c>
      <c r="M35">
        <v>744.59999999999991</v>
      </c>
      <c r="N35" s="9"/>
      <c r="O35" s="20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2"/>
      <c r="AC35" s="10"/>
    </row>
    <row r="36" spans="5:29" x14ac:dyDescent="0.25">
      <c r="E36" s="6">
        <v>45559</v>
      </c>
      <c r="F36" s="7">
        <v>24</v>
      </c>
      <c r="G36" t="s">
        <v>28</v>
      </c>
      <c r="H36" t="str">
        <f>_xlfn.XLOOKUP(Table2[[#This Row],[Item]],Menu[Item Name],Menu[Category])</f>
        <v>Sides</v>
      </c>
      <c r="I36" s="31">
        <f>_xlfn.XLOOKUP(Table2[[#This Row],[Item]],Menu[Item Name],Menu[Price per item])*Table2[[#This Row],[Qty]]</f>
        <v>60</v>
      </c>
      <c r="J36" s="31"/>
      <c r="K36" t="str">
        <f>_xlfn.XLOOKUP(L36,Menu[Item Name],Menu[Category])</f>
        <v>Burgers</v>
      </c>
      <c r="L36" t="str">
        <v>Classic Hamburger</v>
      </c>
      <c r="M36">
        <v>771.15000000000009</v>
      </c>
      <c r="N36" s="9"/>
      <c r="O36" s="20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2"/>
      <c r="AC36" s="10"/>
    </row>
    <row r="37" spans="5:29" x14ac:dyDescent="0.25">
      <c r="E37" s="6">
        <v>45559</v>
      </c>
      <c r="F37" s="7">
        <v>16</v>
      </c>
      <c r="G37" t="s">
        <v>30</v>
      </c>
      <c r="H37" t="str">
        <f>_xlfn.XLOOKUP(Table2[[#This Row],[Item]],Menu[Item Name],Menu[Category])</f>
        <v>Sandwiches</v>
      </c>
      <c r="I37" s="31">
        <f>_xlfn.XLOOKUP(Table2[[#This Row],[Item]],Menu[Item Name],Menu[Price per item])*Table2[[#This Row],[Qty]]</f>
        <v>127.2</v>
      </c>
      <c r="J37" s="31"/>
      <c r="K37" t="str">
        <f>_xlfn.XLOOKUP(L37,Menu[Item Name],Menu[Category])</f>
        <v>Beverage menu</v>
      </c>
      <c r="L37" t="str">
        <v>Coffee</v>
      </c>
      <c r="M37">
        <v>268.45</v>
      </c>
      <c r="N37" s="9"/>
      <c r="O37" s="20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2"/>
      <c r="AC37" s="10"/>
    </row>
    <row r="38" spans="5:29" x14ac:dyDescent="0.25">
      <c r="E38" s="6">
        <v>45559</v>
      </c>
      <c r="F38" s="7">
        <v>5</v>
      </c>
      <c r="G38" t="s">
        <v>31</v>
      </c>
      <c r="H38" t="str">
        <f>_xlfn.XLOOKUP(Table2[[#This Row],[Item]],Menu[Item Name],Menu[Category])</f>
        <v>Sandwiches</v>
      </c>
      <c r="I38" s="31">
        <f>_xlfn.XLOOKUP(Table2[[#This Row],[Item]],Menu[Item Name],Menu[Price per item])*Table2[[#This Row],[Qty]]</f>
        <v>39.75</v>
      </c>
      <c r="J38" s="31"/>
      <c r="K38" t="str">
        <f>_xlfn.XLOOKUP(L38,Menu[Item Name],Menu[Category])</f>
        <v>Beverage menu</v>
      </c>
      <c r="L38" t="str">
        <v>Fruit Juice</v>
      </c>
      <c r="M38">
        <v>268</v>
      </c>
      <c r="N38" s="9"/>
      <c r="O38" s="2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2"/>
      <c r="AC38" s="10"/>
    </row>
    <row r="39" spans="5:29" x14ac:dyDescent="0.25">
      <c r="E39" s="6">
        <v>45559</v>
      </c>
      <c r="F39" s="7">
        <v>31</v>
      </c>
      <c r="G39" t="s">
        <v>32</v>
      </c>
      <c r="H39" t="str">
        <f>_xlfn.XLOOKUP(Table2[[#This Row],[Item]],Menu[Item Name],Menu[Category])</f>
        <v>Breakfast menu</v>
      </c>
      <c r="I39" s="31">
        <f>_xlfn.XLOOKUP(Table2[[#This Row],[Item]],Menu[Item Name],Menu[Price per item])*Table2[[#This Row],[Qty]]</f>
        <v>122.45</v>
      </c>
      <c r="J39" s="31"/>
      <c r="K39" t="str">
        <f>_xlfn.XLOOKUP(L39,Menu[Item Name],Menu[Category])</f>
        <v>Sandwiches</v>
      </c>
      <c r="L39" t="str">
        <v xml:space="preserve">Grilled Cheese </v>
      </c>
      <c r="M39">
        <v>180</v>
      </c>
      <c r="N39" s="9"/>
      <c r="O39" s="20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2"/>
      <c r="AC39" s="10"/>
    </row>
    <row r="40" spans="5:29" x14ac:dyDescent="0.25">
      <c r="E40" s="6">
        <v>45559</v>
      </c>
      <c r="F40" s="7">
        <v>48</v>
      </c>
      <c r="G40" t="s">
        <v>33</v>
      </c>
      <c r="H40" t="str">
        <f>_xlfn.XLOOKUP(Table2[[#This Row],[Item]],Menu[Item Name],Menu[Category])</f>
        <v>Sides</v>
      </c>
      <c r="I40" s="31">
        <f>_xlfn.XLOOKUP(Table2[[#This Row],[Item]],Menu[Item Name],Menu[Price per item])*Table2[[#This Row],[Qty]]</f>
        <v>112.80000000000001</v>
      </c>
      <c r="J40" s="31"/>
      <c r="K40" t="str">
        <f>_xlfn.XLOOKUP(L40,Menu[Item Name],Menu[Category])</f>
        <v>Sides</v>
      </c>
      <c r="L40" t="str">
        <v>Hash Browns</v>
      </c>
      <c r="M40">
        <v>275</v>
      </c>
      <c r="N40" s="9"/>
      <c r="O40" s="20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2"/>
      <c r="AC40" s="10"/>
    </row>
    <row r="41" spans="5:29" x14ac:dyDescent="0.25">
      <c r="E41" s="6">
        <v>45559</v>
      </c>
      <c r="F41" s="7">
        <v>47</v>
      </c>
      <c r="G41" t="s">
        <v>34</v>
      </c>
      <c r="H41" t="str">
        <f>_xlfn.XLOOKUP(Table2[[#This Row],[Item]],Menu[Item Name],Menu[Category])</f>
        <v>Sides</v>
      </c>
      <c r="I41" s="31">
        <f>_xlfn.XLOOKUP(Table2[[#This Row],[Item]],Menu[Item Name],Menu[Price per item])*Table2[[#This Row],[Qty]]</f>
        <v>152.75</v>
      </c>
      <c r="J41" s="31"/>
      <c r="K41" t="str">
        <f>_xlfn.XLOOKUP(L41,Menu[Item Name],Menu[Category])</f>
        <v>Sandwiches</v>
      </c>
      <c r="L41" t="str">
        <v xml:space="preserve">Metro Express </v>
      </c>
      <c r="M41">
        <v>723.45</v>
      </c>
      <c r="N41" s="9"/>
      <c r="O41" s="20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2"/>
      <c r="AC41" s="10"/>
    </row>
    <row r="42" spans="5:29" x14ac:dyDescent="0.25">
      <c r="E42" s="6">
        <v>45559</v>
      </c>
      <c r="F42" s="7">
        <v>47</v>
      </c>
      <c r="G42" t="s">
        <v>35</v>
      </c>
      <c r="H42" t="str">
        <f>_xlfn.XLOOKUP(Table2[[#This Row],[Item]],Menu[Item Name],Menu[Category])</f>
        <v>Soups</v>
      </c>
      <c r="I42" s="31">
        <f>_xlfn.XLOOKUP(Table2[[#This Row],[Item]],Menu[Item Name],Menu[Price per item])*Table2[[#This Row],[Qty]]</f>
        <v>246.75</v>
      </c>
      <c r="J42" s="31"/>
      <c r="K42" t="str">
        <f>_xlfn.XLOOKUP(L42,Menu[Item Name],Menu[Category])</f>
        <v>Sandwiches</v>
      </c>
      <c r="L42" t="str">
        <v xml:space="preserve">Power Express </v>
      </c>
      <c r="M42">
        <v>580.35</v>
      </c>
      <c r="N42" s="9"/>
      <c r="O42" s="20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2"/>
      <c r="AC42" s="10"/>
    </row>
    <row r="43" spans="5:29" x14ac:dyDescent="0.25">
      <c r="E43" s="6">
        <v>45559</v>
      </c>
      <c r="F43" s="7">
        <v>44</v>
      </c>
      <c r="G43" t="s">
        <v>37</v>
      </c>
      <c r="H43" t="str">
        <f>_xlfn.XLOOKUP(Table2[[#This Row],[Item]],Menu[Item Name],Menu[Category])</f>
        <v>Soups</v>
      </c>
      <c r="I43" s="31">
        <f>_xlfn.XLOOKUP(Table2[[#This Row],[Item]],Menu[Item Name],Menu[Price per item])*Table2[[#This Row],[Qty]]</f>
        <v>231</v>
      </c>
      <c r="J43" s="31"/>
      <c r="K43" t="str">
        <f>_xlfn.XLOOKUP(L43,Menu[Item Name],Menu[Category])</f>
        <v>Breakfast menu</v>
      </c>
      <c r="L43" t="str">
        <v>Spanish Omlette</v>
      </c>
      <c r="M43">
        <v>418.70000000000005</v>
      </c>
      <c r="N43" s="9"/>
      <c r="O43" s="20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2"/>
      <c r="AC43" s="10"/>
    </row>
    <row r="44" spans="5:29" x14ac:dyDescent="0.25">
      <c r="E44" s="6">
        <v>45559</v>
      </c>
      <c r="F44" s="7">
        <v>9</v>
      </c>
      <c r="G44" t="s">
        <v>38</v>
      </c>
      <c r="H44" t="str">
        <f>_xlfn.XLOOKUP(Table2[[#This Row],[Item]],Menu[Item Name],Menu[Category])</f>
        <v>Soups</v>
      </c>
      <c r="I44" s="31">
        <f>_xlfn.XLOOKUP(Table2[[#This Row],[Item]],Menu[Item Name],Menu[Price per item])*Table2[[#This Row],[Qty]]</f>
        <v>47.25</v>
      </c>
      <c r="J44" s="31"/>
      <c r="K44" t="str">
        <f>_xlfn.XLOOKUP(L44,Menu[Item Name],Menu[Category])</f>
        <v>Sides</v>
      </c>
      <c r="L44" t="str">
        <v>Toast</v>
      </c>
      <c r="M44">
        <v>249.10000000000002</v>
      </c>
      <c r="N44" s="9"/>
      <c r="O44" s="20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2"/>
      <c r="AC44" s="10"/>
    </row>
    <row r="45" spans="5:29" x14ac:dyDescent="0.25">
      <c r="E45" s="6">
        <v>45560</v>
      </c>
      <c r="F45" s="7">
        <v>35</v>
      </c>
      <c r="G45" t="s">
        <v>14</v>
      </c>
      <c r="H45" t="str">
        <f>_xlfn.XLOOKUP(Table2[[#This Row],[Item]],Menu[Item Name],Menu[Category])</f>
        <v>Breakfast menu</v>
      </c>
      <c r="I45" s="31">
        <f>_xlfn.XLOOKUP(Table2[[#This Row],[Item]],Menu[Item Name],Menu[Price per item])*Table2[[#This Row],[Qty]]</f>
        <v>113.75</v>
      </c>
      <c r="J45" s="31"/>
      <c r="K45" t="str">
        <f>_xlfn.XLOOKUP(L45,Menu[Item Name],Menu[Category])</f>
        <v>Sides</v>
      </c>
      <c r="L45" t="str">
        <v>Fries</v>
      </c>
      <c r="M45">
        <v>308.75</v>
      </c>
      <c r="N45" s="9"/>
      <c r="O45" s="20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2"/>
      <c r="AC45" s="10"/>
    </row>
    <row r="46" spans="5:29" x14ac:dyDescent="0.25">
      <c r="E46" s="6">
        <v>45560</v>
      </c>
      <c r="F46" s="7">
        <v>35</v>
      </c>
      <c r="G46" t="s">
        <v>17</v>
      </c>
      <c r="H46" t="str">
        <f>_xlfn.XLOOKUP(Table2[[#This Row],[Item]],Menu[Item Name],Menu[Category])</f>
        <v>Beverage menu</v>
      </c>
      <c r="I46" s="31">
        <f>_xlfn.XLOOKUP(Table2[[#This Row],[Item]],Menu[Item Name],Menu[Price per item])*Table2[[#This Row],[Qty]]</f>
        <v>57.75</v>
      </c>
      <c r="J46" s="31"/>
      <c r="K46" t="str">
        <f>_xlfn.XLOOKUP(L46,Menu[Item Name],Menu[Category])</f>
        <v>Soups</v>
      </c>
      <c r="L46" t="str">
        <v>Vegetable Soup</v>
      </c>
      <c r="M46">
        <v>320.25</v>
      </c>
      <c r="N46" s="9"/>
      <c r="O46" s="20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2"/>
      <c r="AC46" s="10"/>
    </row>
    <row r="47" spans="5:29" x14ac:dyDescent="0.25">
      <c r="E47" s="6">
        <v>45560</v>
      </c>
      <c r="F47" s="7">
        <v>33</v>
      </c>
      <c r="G47" t="s">
        <v>19</v>
      </c>
      <c r="H47" t="str">
        <f>_xlfn.XLOOKUP(Table2[[#This Row],[Item]],Menu[Item Name],Menu[Category])</f>
        <v>Burgers</v>
      </c>
      <c r="I47" s="31">
        <f>_xlfn.XLOOKUP(Table2[[#This Row],[Item]],Menu[Item Name],Menu[Price per item])*Table2[[#This Row],[Qty]]</f>
        <v>361.34999999999997</v>
      </c>
      <c r="J47" s="31"/>
      <c r="K47" t="str">
        <f>_xlfn.XLOOKUP(L47,Menu[Item Name],Menu[Category])</f>
        <v>Soups</v>
      </c>
      <c r="L47" t="str">
        <v>Seafood Chowder</v>
      </c>
      <c r="M47">
        <v>630</v>
      </c>
      <c r="N47" s="9"/>
      <c r="O47" s="20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2"/>
      <c r="AC47" s="10"/>
    </row>
    <row r="48" spans="5:29" x14ac:dyDescent="0.25">
      <c r="E48" s="6">
        <v>45560</v>
      </c>
      <c r="F48" s="7">
        <v>49</v>
      </c>
      <c r="G48" t="s">
        <v>23</v>
      </c>
      <c r="H48" t="str">
        <f>_xlfn.XLOOKUP(Table2[[#This Row],[Item]],Menu[Item Name],Menu[Category])</f>
        <v>Burgers</v>
      </c>
      <c r="I48" s="31">
        <f>_xlfn.XLOOKUP(Table2[[#This Row],[Item]],Menu[Item Name],Menu[Price per item])*Table2[[#This Row],[Qty]]</f>
        <v>389.55</v>
      </c>
      <c r="J48" s="31"/>
      <c r="K48" t="str">
        <f>_xlfn.XLOOKUP(L48,Menu[Item Name],Menu[Category])</f>
        <v>Soups</v>
      </c>
      <c r="L48" t="str">
        <v>Chicken Soup</v>
      </c>
      <c r="M48">
        <v>393.75</v>
      </c>
      <c r="N48" s="9"/>
      <c r="O48" s="20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2"/>
      <c r="AC48" s="10"/>
    </row>
    <row r="49" spans="5:29" x14ac:dyDescent="0.25">
      <c r="E49" s="6">
        <v>45560</v>
      </c>
      <c r="F49" s="7">
        <v>36</v>
      </c>
      <c r="G49" t="s">
        <v>24</v>
      </c>
      <c r="H49" t="str">
        <f>_xlfn.XLOOKUP(Table2[[#This Row],[Item]],Menu[Item Name],Menu[Category])</f>
        <v>Beverage menu</v>
      </c>
      <c r="I49" s="31">
        <f>_xlfn.XLOOKUP(Table2[[#This Row],[Item]],Menu[Item Name],Menu[Price per item])*Table2[[#This Row],[Qty]]</f>
        <v>106.2</v>
      </c>
      <c r="J49" s="31"/>
      <c r="N49" s="9"/>
      <c r="O49" s="20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2"/>
      <c r="AC49" s="10"/>
    </row>
    <row r="50" spans="5:29" x14ac:dyDescent="0.25">
      <c r="E50" s="6">
        <v>45560</v>
      </c>
      <c r="F50" s="7">
        <v>8</v>
      </c>
      <c r="G50" t="s">
        <v>25</v>
      </c>
      <c r="H50" t="str">
        <f>_xlfn.XLOOKUP(Table2[[#This Row],[Item]],Menu[Item Name],Menu[Category])</f>
        <v>Beverage menu</v>
      </c>
      <c r="I50" s="31">
        <f>_xlfn.XLOOKUP(Table2[[#This Row],[Item]],Menu[Item Name],Menu[Price per item])*Table2[[#This Row],[Qty]]</f>
        <v>26.8</v>
      </c>
      <c r="J50" s="31"/>
      <c r="K50" t="str" cm="1">
        <f t="array" ref="K50:M51">IF(P12="ALL",K33:M48,_xlfn._xlws.FILTER(K33:M48,K33:K48=P12))</f>
        <v>Burgers</v>
      </c>
      <c r="L50" t="str">
        <v>Cheeseburger</v>
      </c>
      <c r="M50">
        <v>744.59999999999991</v>
      </c>
      <c r="N50" s="9"/>
      <c r="O50" s="20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2"/>
      <c r="AC50" s="10"/>
    </row>
    <row r="51" spans="5:29" x14ac:dyDescent="0.25">
      <c r="E51" s="6">
        <v>45560</v>
      </c>
      <c r="F51" s="7">
        <v>18</v>
      </c>
      <c r="G51" t="s">
        <v>26</v>
      </c>
      <c r="H51" t="str">
        <f>_xlfn.XLOOKUP(Table2[[#This Row],[Item]],Menu[Item Name],Menu[Category])</f>
        <v>Sandwiches</v>
      </c>
      <c r="I51" s="31">
        <f>_xlfn.XLOOKUP(Table2[[#This Row],[Item]],Menu[Item Name],Menu[Price per item])*Table2[[#This Row],[Qty]]</f>
        <v>81</v>
      </c>
      <c r="J51" s="31"/>
      <c r="K51" t="str">
        <v>Burgers</v>
      </c>
      <c r="L51" t="str">
        <v>Classic Hamburger</v>
      </c>
      <c r="M51">
        <v>771.15000000000009</v>
      </c>
      <c r="N51" s="9"/>
      <c r="O51" s="23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5"/>
      <c r="AC51" s="10"/>
    </row>
    <row r="52" spans="5:29" x14ac:dyDescent="0.25">
      <c r="E52" s="6">
        <v>45560</v>
      </c>
      <c r="F52" s="7">
        <v>48</v>
      </c>
      <c r="G52" t="s">
        <v>28</v>
      </c>
      <c r="H52" t="str">
        <f>_xlfn.XLOOKUP(Table2[[#This Row],[Item]],Menu[Item Name],Menu[Category])</f>
        <v>Sides</v>
      </c>
      <c r="I52" s="31">
        <f>_xlfn.XLOOKUP(Table2[[#This Row],[Item]],Menu[Item Name],Menu[Price per item])*Table2[[#This Row],[Qty]]</f>
        <v>120</v>
      </c>
      <c r="J52" s="3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5:29" x14ac:dyDescent="0.25">
      <c r="E53" s="6">
        <v>45560</v>
      </c>
      <c r="F53" s="7">
        <v>44</v>
      </c>
      <c r="G53" t="s">
        <v>30</v>
      </c>
      <c r="H53" t="str">
        <f>_xlfn.XLOOKUP(Table2[[#This Row],[Item]],Menu[Item Name],Menu[Category])</f>
        <v>Sandwiches</v>
      </c>
      <c r="I53" s="31">
        <f>_xlfn.XLOOKUP(Table2[[#This Row],[Item]],Menu[Item Name],Menu[Price per item])*Table2[[#This Row],[Qty]]</f>
        <v>349.8</v>
      </c>
      <c r="J53" s="31"/>
    </row>
    <row r="54" spans="5:29" x14ac:dyDescent="0.25">
      <c r="E54" s="6">
        <v>45560</v>
      </c>
      <c r="F54" s="7">
        <v>29</v>
      </c>
      <c r="G54" t="s">
        <v>31</v>
      </c>
      <c r="H54" t="str">
        <f>_xlfn.XLOOKUP(Table2[[#This Row],[Item]],Menu[Item Name],Menu[Category])</f>
        <v>Sandwiches</v>
      </c>
      <c r="I54" s="31">
        <f>_xlfn.XLOOKUP(Table2[[#This Row],[Item]],Menu[Item Name],Menu[Price per item])*Table2[[#This Row],[Qty]]</f>
        <v>230.55</v>
      </c>
      <c r="J54" s="31"/>
    </row>
    <row r="55" spans="5:29" x14ac:dyDescent="0.25">
      <c r="E55" s="6">
        <v>45560</v>
      </c>
      <c r="F55" s="7">
        <v>49</v>
      </c>
      <c r="G55" t="s">
        <v>32</v>
      </c>
      <c r="H55" t="str">
        <f>_xlfn.XLOOKUP(Table2[[#This Row],[Item]],Menu[Item Name],Menu[Category])</f>
        <v>Breakfast menu</v>
      </c>
      <c r="I55" s="31">
        <f>_xlfn.XLOOKUP(Table2[[#This Row],[Item]],Menu[Item Name],Menu[Price per item])*Table2[[#This Row],[Qty]]</f>
        <v>193.55</v>
      </c>
      <c r="J55" s="31"/>
    </row>
    <row r="56" spans="5:29" x14ac:dyDescent="0.25">
      <c r="E56" s="6">
        <v>45560</v>
      </c>
      <c r="F56" s="7">
        <v>32</v>
      </c>
      <c r="G56" t="s">
        <v>33</v>
      </c>
      <c r="H56" t="str">
        <f>_xlfn.XLOOKUP(Table2[[#This Row],[Item]],Menu[Item Name],Menu[Category])</f>
        <v>Sides</v>
      </c>
      <c r="I56" s="31">
        <f>_xlfn.XLOOKUP(Table2[[#This Row],[Item]],Menu[Item Name],Menu[Price per item])*Table2[[#This Row],[Qty]]</f>
        <v>75.2</v>
      </c>
      <c r="J56" s="31"/>
    </row>
    <row r="57" spans="5:29" x14ac:dyDescent="0.25">
      <c r="E57" s="6">
        <v>45560</v>
      </c>
      <c r="F57" s="7">
        <v>8</v>
      </c>
      <c r="G57" t="s">
        <v>34</v>
      </c>
      <c r="H57" t="str">
        <f>_xlfn.XLOOKUP(Table2[[#This Row],[Item]],Menu[Item Name],Menu[Category])</f>
        <v>Sides</v>
      </c>
      <c r="I57" s="31">
        <f>_xlfn.XLOOKUP(Table2[[#This Row],[Item]],Menu[Item Name],Menu[Price per item])*Table2[[#This Row],[Qty]]</f>
        <v>26</v>
      </c>
      <c r="J57" s="31"/>
    </row>
    <row r="58" spans="5:29" x14ac:dyDescent="0.25">
      <c r="E58" s="6">
        <v>45560</v>
      </c>
      <c r="F58" s="7">
        <v>8</v>
      </c>
      <c r="G58" t="s">
        <v>35</v>
      </c>
      <c r="H58" t="str">
        <f>_xlfn.XLOOKUP(Table2[[#This Row],[Item]],Menu[Item Name],Menu[Category])</f>
        <v>Soups</v>
      </c>
      <c r="I58" s="31">
        <f>_xlfn.XLOOKUP(Table2[[#This Row],[Item]],Menu[Item Name],Menu[Price per item])*Table2[[#This Row],[Qty]]</f>
        <v>42</v>
      </c>
      <c r="J58" s="31"/>
    </row>
    <row r="59" spans="5:29" x14ac:dyDescent="0.25">
      <c r="E59" s="6">
        <v>45560</v>
      </c>
      <c r="F59" s="7">
        <v>36</v>
      </c>
      <c r="G59" t="s">
        <v>37</v>
      </c>
      <c r="H59" t="str">
        <f>_xlfn.XLOOKUP(Table2[[#This Row],[Item]],Menu[Item Name],Menu[Category])</f>
        <v>Soups</v>
      </c>
      <c r="I59" s="31">
        <f>_xlfn.XLOOKUP(Table2[[#This Row],[Item]],Menu[Item Name],Menu[Price per item])*Table2[[#This Row],[Qty]]</f>
        <v>189</v>
      </c>
      <c r="J59" s="31"/>
    </row>
    <row r="60" spans="5:29" x14ac:dyDescent="0.25">
      <c r="E60" s="6">
        <v>45560</v>
      </c>
      <c r="F60" s="7">
        <v>20</v>
      </c>
      <c r="G60" t="s">
        <v>38</v>
      </c>
      <c r="H60" t="str">
        <f>_xlfn.XLOOKUP(Table2[[#This Row],[Item]],Menu[Item Name],Menu[Category])</f>
        <v>Soups</v>
      </c>
      <c r="I60" s="31">
        <f>_xlfn.XLOOKUP(Table2[[#This Row],[Item]],Menu[Item Name],Menu[Price per item])*Table2[[#This Row],[Qty]]</f>
        <v>105</v>
      </c>
      <c r="J60" s="31"/>
    </row>
    <row r="61" spans="5:29" x14ac:dyDescent="0.25">
      <c r="E61" s="6">
        <v>45561</v>
      </c>
      <c r="F61" s="7">
        <v>35</v>
      </c>
      <c r="G61" t="s">
        <v>14</v>
      </c>
      <c r="H61" t="str">
        <f>_xlfn.XLOOKUP(Table2[[#This Row],[Item]],Menu[Item Name],Menu[Category])</f>
        <v>Breakfast menu</v>
      </c>
      <c r="I61" s="31">
        <f>_xlfn.XLOOKUP(Table2[[#This Row],[Item]],Menu[Item Name],Menu[Price per item])*Table2[[#This Row],[Qty]]</f>
        <v>113.75</v>
      </c>
      <c r="J61" s="31"/>
    </row>
    <row r="62" spans="5:29" x14ac:dyDescent="0.25">
      <c r="E62" s="6">
        <v>45561</v>
      </c>
      <c r="F62" s="7">
        <v>21</v>
      </c>
      <c r="G62" t="s">
        <v>17</v>
      </c>
      <c r="H62" t="str">
        <f>_xlfn.XLOOKUP(Table2[[#This Row],[Item]],Menu[Item Name],Menu[Category])</f>
        <v>Beverage menu</v>
      </c>
      <c r="I62" s="31">
        <f>_xlfn.XLOOKUP(Table2[[#This Row],[Item]],Menu[Item Name],Menu[Price per item])*Table2[[#This Row],[Qty]]</f>
        <v>34.65</v>
      </c>
      <c r="J62" s="31"/>
    </row>
    <row r="63" spans="5:29" x14ac:dyDescent="0.25">
      <c r="E63" s="6">
        <v>45561</v>
      </c>
      <c r="F63" s="7">
        <v>6</v>
      </c>
      <c r="G63" t="s">
        <v>19</v>
      </c>
      <c r="H63" t="str">
        <f>_xlfn.XLOOKUP(Table2[[#This Row],[Item]],Menu[Item Name],Menu[Category])</f>
        <v>Burgers</v>
      </c>
      <c r="I63" s="31">
        <f>_xlfn.XLOOKUP(Table2[[#This Row],[Item]],Menu[Item Name],Menu[Price per item])*Table2[[#This Row],[Qty]]</f>
        <v>65.699999999999989</v>
      </c>
      <c r="J63" s="31"/>
    </row>
    <row r="64" spans="5:29" x14ac:dyDescent="0.25">
      <c r="E64" s="6">
        <v>45561</v>
      </c>
      <c r="F64" s="7">
        <v>6</v>
      </c>
      <c r="G64" t="s">
        <v>23</v>
      </c>
      <c r="H64" t="str">
        <f>_xlfn.XLOOKUP(Table2[[#This Row],[Item]],Menu[Item Name],Menu[Category])</f>
        <v>Burgers</v>
      </c>
      <c r="I64" s="31">
        <f>_xlfn.XLOOKUP(Table2[[#This Row],[Item]],Menu[Item Name],Menu[Price per item])*Table2[[#This Row],[Qty]]</f>
        <v>47.7</v>
      </c>
      <c r="J64" s="31"/>
    </row>
    <row r="65" spans="5:10" x14ac:dyDescent="0.25">
      <c r="E65" s="6">
        <v>45561</v>
      </c>
      <c r="F65" s="7">
        <v>14</v>
      </c>
      <c r="G65" t="s">
        <v>24</v>
      </c>
      <c r="H65" t="str">
        <f>_xlfn.XLOOKUP(Table2[[#This Row],[Item]],Menu[Item Name],Menu[Category])</f>
        <v>Beverage menu</v>
      </c>
      <c r="I65" s="31">
        <f>_xlfn.XLOOKUP(Table2[[#This Row],[Item]],Menu[Item Name],Menu[Price per item])*Table2[[#This Row],[Qty]]</f>
        <v>41.300000000000004</v>
      </c>
      <c r="J65" s="31"/>
    </row>
    <row r="66" spans="5:10" x14ac:dyDescent="0.25">
      <c r="E66" s="6">
        <v>45561</v>
      </c>
      <c r="F66" s="7">
        <v>14</v>
      </c>
      <c r="G66" t="s">
        <v>25</v>
      </c>
      <c r="H66" t="str">
        <f>_xlfn.XLOOKUP(Table2[[#This Row],[Item]],Menu[Item Name],Menu[Category])</f>
        <v>Beverage menu</v>
      </c>
      <c r="I66" s="31">
        <f>_xlfn.XLOOKUP(Table2[[#This Row],[Item]],Menu[Item Name],Menu[Price per item])*Table2[[#This Row],[Qty]]</f>
        <v>46.9</v>
      </c>
      <c r="J66" s="31"/>
    </row>
    <row r="67" spans="5:10" x14ac:dyDescent="0.25">
      <c r="E67" s="6">
        <v>45561</v>
      </c>
      <c r="F67" s="7">
        <v>26</v>
      </c>
      <c r="G67" t="s">
        <v>26</v>
      </c>
      <c r="H67" t="str">
        <f>_xlfn.XLOOKUP(Table2[[#This Row],[Item]],Menu[Item Name],Menu[Category])</f>
        <v>Sandwiches</v>
      </c>
      <c r="I67" s="31">
        <f>_xlfn.XLOOKUP(Table2[[#This Row],[Item]],Menu[Item Name],Menu[Price per item])*Table2[[#This Row],[Qty]]</f>
        <v>117</v>
      </c>
      <c r="J67" s="31"/>
    </row>
    <row r="68" spans="5:10" x14ac:dyDescent="0.25">
      <c r="E68" s="6">
        <v>45561</v>
      </c>
      <c r="F68" s="7">
        <v>47</v>
      </c>
      <c r="G68" t="s">
        <v>28</v>
      </c>
      <c r="H68" t="str">
        <f>_xlfn.XLOOKUP(Table2[[#This Row],[Item]],Menu[Item Name],Menu[Category])</f>
        <v>Sides</v>
      </c>
      <c r="I68" s="31">
        <f>_xlfn.XLOOKUP(Table2[[#This Row],[Item]],Menu[Item Name],Menu[Price per item])*Table2[[#This Row],[Qty]]</f>
        <v>117.5</v>
      </c>
      <c r="J68" s="31"/>
    </row>
    <row r="69" spans="5:10" x14ac:dyDescent="0.25">
      <c r="E69" s="6">
        <v>45561</v>
      </c>
      <c r="F69" s="7">
        <v>9</v>
      </c>
      <c r="G69" t="s">
        <v>30</v>
      </c>
      <c r="H69" t="str">
        <f>_xlfn.XLOOKUP(Table2[[#This Row],[Item]],Menu[Item Name],Menu[Category])</f>
        <v>Sandwiches</v>
      </c>
      <c r="I69" s="31">
        <f>_xlfn.XLOOKUP(Table2[[#This Row],[Item]],Menu[Item Name],Menu[Price per item])*Table2[[#This Row],[Qty]]</f>
        <v>71.55</v>
      </c>
      <c r="J69" s="31"/>
    </row>
    <row r="70" spans="5:10" x14ac:dyDescent="0.25">
      <c r="E70" s="6">
        <v>45561</v>
      </c>
      <c r="F70" s="7">
        <v>27</v>
      </c>
      <c r="G70" t="s">
        <v>31</v>
      </c>
      <c r="H70" t="str">
        <f>_xlfn.XLOOKUP(Table2[[#This Row],[Item]],Menu[Item Name],Menu[Category])</f>
        <v>Sandwiches</v>
      </c>
      <c r="I70" s="31">
        <f>_xlfn.XLOOKUP(Table2[[#This Row],[Item]],Menu[Item Name],Menu[Price per item])*Table2[[#This Row],[Qty]]</f>
        <v>214.65</v>
      </c>
      <c r="J70" s="31"/>
    </row>
    <row r="71" spans="5:10" x14ac:dyDescent="0.25">
      <c r="E71" s="6">
        <v>45561</v>
      </c>
      <c r="F71" s="7">
        <v>10</v>
      </c>
      <c r="G71" t="s">
        <v>32</v>
      </c>
      <c r="H71" t="str">
        <f>_xlfn.XLOOKUP(Table2[[#This Row],[Item]],Menu[Item Name],Menu[Category])</f>
        <v>Breakfast menu</v>
      </c>
      <c r="I71" s="31">
        <f>_xlfn.XLOOKUP(Table2[[#This Row],[Item]],Menu[Item Name],Menu[Price per item])*Table2[[#This Row],[Qty]]</f>
        <v>39.5</v>
      </c>
      <c r="J71" s="31"/>
    </row>
    <row r="72" spans="5:10" x14ac:dyDescent="0.25">
      <c r="E72" s="6">
        <v>45561</v>
      </c>
      <c r="F72" s="7">
        <v>26</v>
      </c>
      <c r="G72" t="s">
        <v>33</v>
      </c>
      <c r="H72" t="str">
        <f>_xlfn.XLOOKUP(Table2[[#This Row],[Item]],Menu[Item Name],Menu[Category])</f>
        <v>Sides</v>
      </c>
      <c r="I72" s="31">
        <f>_xlfn.XLOOKUP(Table2[[#This Row],[Item]],Menu[Item Name],Menu[Price per item])*Table2[[#This Row],[Qty]]</f>
        <v>61.1</v>
      </c>
      <c r="J72" s="31"/>
    </row>
    <row r="73" spans="5:10" x14ac:dyDescent="0.25">
      <c r="E73" s="6">
        <v>45561</v>
      </c>
      <c r="F73" s="7">
        <v>19</v>
      </c>
      <c r="G73" t="s">
        <v>34</v>
      </c>
      <c r="H73" t="str">
        <f>_xlfn.XLOOKUP(Table2[[#This Row],[Item]],Menu[Item Name],Menu[Category])</f>
        <v>Sides</v>
      </c>
      <c r="I73" s="31">
        <f>_xlfn.XLOOKUP(Table2[[#This Row],[Item]],Menu[Item Name],Menu[Price per item])*Table2[[#This Row],[Qty]]</f>
        <v>61.75</v>
      </c>
      <c r="J73" s="31"/>
    </row>
    <row r="74" spans="5:10" x14ac:dyDescent="0.25">
      <c r="E74" s="6">
        <v>45561</v>
      </c>
      <c r="F74" s="7">
        <v>46</v>
      </c>
      <c r="G74" t="s">
        <v>35</v>
      </c>
      <c r="H74" t="str">
        <f>_xlfn.XLOOKUP(Table2[[#This Row],[Item]],Menu[Item Name],Menu[Category])</f>
        <v>Soups</v>
      </c>
      <c r="I74" s="31">
        <f>_xlfn.XLOOKUP(Table2[[#This Row],[Item]],Menu[Item Name],Menu[Price per item])*Table2[[#This Row],[Qty]]</f>
        <v>241.5</v>
      </c>
      <c r="J74" s="31"/>
    </row>
    <row r="75" spans="5:10" x14ac:dyDescent="0.25">
      <c r="E75" s="6">
        <v>45561</v>
      </c>
      <c r="F75" s="7">
        <v>23</v>
      </c>
      <c r="G75" t="s">
        <v>37</v>
      </c>
      <c r="H75" t="str">
        <f>_xlfn.XLOOKUP(Table2[[#This Row],[Item]],Menu[Item Name],Menu[Category])</f>
        <v>Soups</v>
      </c>
      <c r="I75" s="31">
        <f>_xlfn.XLOOKUP(Table2[[#This Row],[Item]],Menu[Item Name],Menu[Price per item])*Table2[[#This Row],[Qty]]</f>
        <v>120.75</v>
      </c>
      <c r="J75" s="31"/>
    </row>
    <row r="76" spans="5:10" x14ac:dyDescent="0.25">
      <c r="E76" s="6">
        <v>45561</v>
      </c>
      <c r="F76" s="7">
        <v>45</v>
      </c>
      <c r="G76" t="s">
        <v>38</v>
      </c>
      <c r="H76" t="str">
        <f>_xlfn.XLOOKUP(Table2[[#This Row],[Item]],Menu[Item Name],Menu[Category])</f>
        <v>Soups</v>
      </c>
      <c r="I76" s="31">
        <f>_xlfn.XLOOKUP(Table2[[#This Row],[Item]],Menu[Item Name],Menu[Price per item])*Table2[[#This Row],[Qty]]</f>
        <v>236.25</v>
      </c>
      <c r="J76" s="31"/>
    </row>
    <row r="77" spans="5:10" x14ac:dyDescent="0.25">
      <c r="E77" s="6">
        <v>45562</v>
      </c>
      <c r="F77" s="7">
        <v>8</v>
      </c>
      <c r="G77" t="s">
        <v>14</v>
      </c>
      <c r="H77" t="str">
        <f>_xlfn.XLOOKUP(Table2[[#This Row],[Item]],Menu[Item Name],Menu[Category])</f>
        <v>Breakfast menu</v>
      </c>
      <c r="I77" s="31">
        <f>_xlfn.XLOOKUP(Table2[[#This Row],[Item]],Menu[Item Name],Menu[Price per item])*Table2[[#This Row],[Qty]]</f>
        <v>26</v>
      </c>
      <c r="J77" s="31"/>
    </row>
    <row r="78" spans="5:10" x14ac:dyDescent="0.25">
      <c r="E78" s="6">
        <v>45562</v>
      </c>
      <c r="F78" s="7">
        <v>17</v>
      </c>
      <c r="G78" t="s">
        <v>17</v>
      </c>
      <c r="H78" t="str">
        <f>_xlfn.XLOOKUP(Table2[[#This Row],[Item]],Menu[Item Name],Menu[Category])</f>
        <v>Beverage menu</v>
      </c>
      <c r="I78" s="31">
        <f>_xlfn.XLOOKUP(Table2[[#This Row],[Item]],Menu[Item Name],Menu[Price per item])*Table2[[#This Row],[Qty]]</f>
        <v>28.049999999999997</v>
      </c>
      <c r="J78" s="31"/>
    </row>
    <row r="79" spans="5:10" x14ac:dyDescent="0.25">
      <c r="E79" s="6">
        <v>45562</v>
      </c>
      <c r="F79" s="7">
        <v>6</v>
      </c>
      <c r="G79" t="s">
        <v>19</v>
      </c>
      <c r="H79" t="str">
        <f>_xlfn.XLOOKUP(Table2[[#This Row],[Item]],Menu[Item Name],Menu[Category])</f>
        <v>Burgers</v>
      </c>
      <c r="I79" s="31">
        <f>_xlfn.XLOOKUP(Table2[[#This Row],[Item]],Menu[Item Name],Menu[Price per item])*Table2[[#This Row],[Qty]]</f>
        <v>65.699999999999989</v>
      </c>
      <c r="J79" s="31"/>
    </row>
    <row r="80" spans="5:10" x14ac:dyDescent="0.25">
      <c r="E80" s="6">
        <v>45562</v>
      </c>
      <c r="F80" s="7">
        <v>15</v>
      </c>
      <c r="G80" t="s">
        <v>23</v>
      </c>
      <c r="H80" t="str">
        <f>_xlfn.XLOOKUP(Table2[[#This Row],[Item]],Menu[Item Name],Menu[Category])</f>
        <v>Burgers</v>
      </c>
      <c r="I80" s="31">
        <f>_xlfn.XLOOKUP(Table2[[#This Row],[Item]],Menu[Item Name],Menu[Price per item])*Table2[[#This Row],[Qty]]</f>
        <v>119.25</v>
      </c>
      <c r="J80" s="31"/>
    </row>
    <row r="81" spans="5:10" x14ac:dyDescent="0.25">
      <c r="E81" s="6">
        <v>45562</v>
      </c>
      <c r="F81" s="7">
        <v>23</v>
      </c>
      <c r="G81" t="s">
        <v>24</v>
      </c>
      <c r="H81" t="str">
        <f>_xlfn.XLOOKUP(Table2[[#This Row],[Item]],Menu[Item Name],Menu[Category])</f>
        <v>Beverage menu</v>
      </c>
      <c r="I81" s="31">
        <f>_xlfn.XLOOKUP(Table2[[#This Row],[Item]],Menu[Item Name],Menu[Price per item])*Table2[[#This Row],[Qty]]</f>
        <v>67.850000000000009</v>
      </c>
      <c r="J81" s="31"/>
    </row>
    <row r="82" spans="5:10" x14ac:dyDescent="0.25">
      <c r="E82" s="6">
        <v>45562</v>
      </c>
      <c r="F82" s="7">
        <v>29</v>
      </c>
      <c r="G82" t="s">
        <v>25</v>
      </c>
      <c r="H82" t="str">
        <f>_xlfn.XLOOKUP(Table2[[#This Row],[Item]],Menu[Item Name],Menu[Category])</f>
        <v>Beverage menu</v>
      </c>
      <c r="I82" s="31">
        <f>_xlfn.XLOOKUP(Table2[[#This Row],[Item]],Menu[Item Name],Menu[Price per item])*Table2[[#This Row],[Qty]]</f>
        <v>97.15</v>
      </c>
      <c r="J82" s="31"/>
    </row>
    <row r="83" spans="5:10" x14ac:dyDescent="0.25">
      <c r="E83" s="6">
        <v>45562</v>
      </c>
      <c r="F83" s="7">
        <v>26</v>
      </c>
      <c r="G83" t="s">
        <v>26</v>
      </c>
      <c r="H83" t="str">
        <f>_xlfn.XLOOKUP(Table2[[#This Row],[Item]],Menu[Item Name],Menu[Category])</f>
        <v>Sandwiches</v>
      </c>
      <c r="I83" s="31">
        <f>_xlfn.XLOOKUP(Table2[[#This Row],[Item]],Menu[Item Name],Menu[Price per item])*Table2[[#This Row],[Qty]]</f>
        <v>117</v>
      </c>
      <c r="J83" s="31"/>
    </row>
    <row r="84" spans="5:10" x14ac:dyDescent="0.25">
      <c r="E84" s="6">
        <v>45562</v>
      </c>
      <c r="F84" s="7">
        <v>14</v>
      </c>
      <c r="G84" t="s">
        <v>28</v>
      </c>
      <c r="H84" t="str">
        <f>_xlfn.XLOOKUP(Table2[[#This Row],[Item]],Menu[Item Name],Menu[Category])</f>
        <v>Sides</v>
      </c>
      <c r="I84" s="31">
        <f>_xlfn.XLOOKUP(Table2[[#This Row],[Item]],Menu[Item Name],Menu[Price per item])*Table2[[#This Row],[Qty]]</f>
        <v>35</v>
      </c>
      <c r="J84" s="31"/>
    </row>
    <row r="85" spans="5:10" x14ac:dyDescent="0.25">
      <c r="E85" s="6">
        <v>45562</v>
      </c>
      <c r="F85" s="7">
        <v>29</v>
      </c>
      <c r="G85" t="s">
        <v>30</v>
      </c>
      <c r="H85" t="str">
        <f>_xlfn.XLOOKUP(Table2[[#This Row],[Item]],Menu[Item Name],Menu[Category])</f>
        <v>Sandwiches</v>
      </c>
      <c r="I85" s="31">
        <f>_xlfn.XLOOKUP(Table2[[#This Row],[Item]],Menu[Item Name],Menu[Price per item])*Table2[[#This Row],[Qty]]</f>
        <v>230.55</v>
      </c>
      <c r="J85" s="31"/>
    </row>
    <row r="86" spans="5:10" x14ac:dyDescent="0.25">
      <c r="E86" s="6">
        <v>45562</v>
      </c>
      <c r="F86" s="7">
        <v>15</v>
      </c>
      <c r="G86" t="s">
        <v>31</v>
      </c>
      <c r="H86" t="str">
        <f>_xlfn.XLOOKUP(Table2[[#This Row],[Item]],Menu[Item Name],Menu[Category])</f>
        <v>Sandwiches</v>
      </c>
      <c r="I86" s="31">
        <f>_xlfn.XLOOKUP(Table2[[#This Row],[Item]],Menu[Item Name],Menu[Price per item])*Table2[[#This Row],[Qty]]</f>
        <v>119.25</v>
      </c>
      <c r="J86" s="31"/>
    </row>
    <row r="87" spans="5:10" x14ac:dyDescent="0.25">
      <c r="E87" s="6">
        <v>45562</v>
      </c>
      <c r="F87" s="7">
        <v>47</v>
      </c>
      <c r="G87" t="s">
        <v>32</v>
      </c>
      <c r="H87" t="str">
        <f>_xlfn.XLOOKUP(Table2[[#This Row],[Item]],Menu[Item Name],Menu[Category])</f>
        <v>Breakfast menu</v>
      </c>
      <c r="I87" s="31">
        <f>_xlfn.XLOOKUP(Table2[[#This Row],[Item]],Menu[Item Name],Menu[Price per item])*Table2[[#This Row],[Qty]]</f>
        <v>185.65</v>
      </c>
      <c r="J87" s="31"/>
    </row>
    <row r="88" spans="5:10" x14ac:dyDescent="0.25">
      <c r="E88" s="6">
        <v>45562</v>
      </c>
      <c r="F88" s="7">
        <v>13</v>
      </c>
      <c r="G88" t="s">
        <v>33</v>
      </c>
      <c r="H88" t="str">
        <f>_xlfn.XLOOKUP(Table2[[#This Row],[Item]],Menu[Item Name],Menu[Category])</f>
        <v>Sides</v>
      </c>
      <c r="I88" s="31">
        <f>_xlfn.XLOOKUP(Table2[[#This Row],[Item]],Menu[Item Name],Menu[Price per item])*Table2[[#This Row],[Qty]]</f>
        <v>30.55</v>
      </c>
      <c r="J88" s="31"/>
    </row>
    <row r="89" spans="5:10" x14ac:dyDescent="0.25">
      <c r="E89" s="6">
        <v>45562</v>
      </c>
      <c r="F89" s="7">
        <v>49</v>
      </c>
      <c r="G89" t="s">
        <v>34</v>
      </c>
      <c r="H89" t="str">
        <f>_xlfn.XLOOKUP(Table2[[#This Row],[Item]],Menu[Item Name],Menu[Category])</f>
        <v>Sides</v>
      </c>
      <c r="I89" s="31">
        <f>_xlfn.XLOOKUP(Table2[[#This Row],[Item]],Menu[Item Name],Menu[Price per item])*Table2[[#This Row],[Qty]]</f>
        <v>159.25</v>
      </c>
      <c r="J89" s="31"/>
    </row>
    <row r="90" spans="5:10" x14ac:dyDescent="0.25">
      <c r="E90" s="6">
        <v>45562</v>
      </c>
      <c r="F90" s="7">
        <v>15</v>
      </c>
      <c r="G90" t="s">
        <v>35</v>
      </c>
      <c r="H90" t="str">
        <f>_xlfn.XLOOKUP(Table2[[#This Row],[Item]],Menu[Item Name],Menu[Category])</f>
        <v>Soups</v>
      </c>
      <c r="I90" s="31">
        <f>_xlfn.XLOOKUP(Table2[[#This Row],[Item]],Menu[Item Name],Menu[Price per item])*Table2[[#This Row],[Qty]]</f>
        <v>78.75</v>
      </c>
      <c r="J90" s="31"/>
    </row>
    <row r="91" spans="5:10" x14ac:dyDescent="0.25">
      <c r="E91" s="6">
        <v>45562</v>
      </c>
      <c r="F91" s="7">
        <v>5</v>
      </c>
      <c r="G91" t="s">
        <v>37</v>
      </c>
      <c r="H91" t="str">
        <f>_xlfn.XLOOKUP(Table2[[#This Row],[Item]],Menu[Item Name],Menu[Category])</f>
        <v>Soups</v>
      </c>
      <c r="I91" s="31">
        <f>_xlfn.XLOOKUP(Table2[[#This Row],[Item]],Menu[Item Name],Menu[Price per item])*Table2[[#This Row],[Qty]]</f>
        <v>26.25</v>
      </c>
      <c r="J91" s="31"/>
    </row>
    <row r="92" spans="5:10" x14ac:dyDescent="0.25">
      <c r="E92" s="6">
        <v>45562</v>
      </c>
      <c r="F92" s="7">
        <v>42</v>
      </c>
      <c r="G92" t="s">
        <v>38</v>
      </c>
      <c r="H92" t="str">
        <f>_xlfn.XLOOKUP(Table2[[#This Row],[Item]],Menu[Item Name],Menu[Category])</f>
        <v>Soups</v>
      </c>
      <c r="I92" s="31">
        <f>_xlfn.XLOOKUP(Table2[[#This Row],[Item]],Menu[Item Name],Menu[Price per item])*Table2[[#This Row],[Qty]]</f>
        <v>220.5</v>
      </c>
      <c r="J92" s="31"/>
    </row>
  </sheetData>
  <mergeCells count="9">
    <mergeCell ref="O12:O13"/>
    <mergeCell ref="P12:P13"/>
    <mergeCell ref="O15:AB51"/>
    <mergeCell ref="A2:B3"/>
    <mergeCell ref="A5:AB7"/>
    <mergeCell ref="A9:C10"/>
    <mergeCell ref="E9:I10"/>
    <mergeCell ref="L9:M10"/>
    <mergeCell ref="O9:T10"/>
  </mergeCells>
  <dataValidations count="2">
    <dataValidation type="list" allowBlank="1" showInputMessage="1" showErrorMessage="1" sqref="M12:M13" xr:uid="{A9A008B4-2E47-440D-9675-502C7B7350C4}">
      <formula1>$E$13:$E$92</formula1>
    </dataValidation>
    <dataValidation type="list" allowBlank="1" showInputMessage="1" showErrorMessage="1" sqref="P12:P13" xr:uid="{9B7C25E8-434B-4F4F-ADFE-736DCEF0735C}">
      <formula1>$B$13:$B$29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excel-challenge-45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Castro Jorge</dc:creator>
  <cp:lastModifiedBy>Тарас Андрійович Осипчук</cp:lastModifiedBy>
  <dcterms:created xsi:type="dcterms:W3CDTF">2024-10-03T18:06:45Z</dcterms:created>
  <dcterms:modified xsi:type="dcterms:W3CDTF">2026-06-30T17:53:13Z</dcterms:modified>
</cp:coreProperties>
</file>