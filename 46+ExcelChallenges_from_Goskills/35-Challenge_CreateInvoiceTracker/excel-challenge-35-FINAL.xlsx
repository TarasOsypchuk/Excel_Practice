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35-Challenge_CreateInvoiceTracker\"/>
    </mc:Choice>
  </mc:AlternateContent>
  <xr:revisionPtr revIDLastSave="0" documentId="13_ncr:1_{44CC2561-57A2-45AF-BC68-2ED0E8162E67}" xr6:coauthVersionLast="47" xr6:coauthVersionMax="47" xr10:uidLastSave="{00000000-0000-0000-0000-000000000000}"/>
  <bookViews>
    <workbookView xWindow="-120" yWindow="-120" windowWidth="29040" windowHeight="15720" xr2:uid="{CCFA952B-2539-4FED-8F4B-7B07899B101D}"/>
  </bookViews>
  <sheets>
    <sheet name="Invoices" sheetId="1" r:id="rId1"/>
  </sheets>
  <definedNames>
    <definedName name="ExternalData_1" localSheetId="0" hidden="1">Invoices!$B$13:$G$30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1" l="1" a="1"/>
  <c r="G15" i="1"/>
  <c r="G16" i="1" a="1"/>
  <c r="G16" i="1" s="1"/>
  <c r="G17" i="1" a="1"/>
  <c r="G17" i="1" s="1"/>
  <c r="G18" i="1" a="1"/>
  <c r="G18" i="1"/>
  <c r="G19" i="1" a="1"/>
  <c r="G19" i="1"/>
  <c r="G20" i="1" a="1"/>
  <c r="G20" i="1" s="1"/>
  <c r="G21" i="1" a="1"/>
  <c r="G21" i="1" s="1"/>
  <c r="G22" i="1" a="1"/>
  <c r="G22" i="1"/>
  <c r="G23" i="1" a="1"/>
  <c r="G23" i="1"/>
  <c r="G24" i="1" a="1"/>
  <c r="G24" i="1" s="1"/>
  <c r="G25" i="1" a="1"/>
  <c r="G25" i="1" s="1"/>
  <c r="G26" i="1" a="1"/>
  <c r="G26" i="1"/>
  <c r="G27" i="1" a="1"/>
  <c r="G27" i="1"/>
  <c r="G28" i="1" a="1"/>
  <c r="G28" i="1" s="1"/>
  <c r="G29" i="1" a="1"/>
  <c r="G29" i="1" s="1"/>
  <c r="G30" i="1" a="1"/>
  <c r="G30" i="1"/>
  <c r="G14" i="1" a="1"/>
  <c r="G14" i="1" s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55F6AA-33A8-438B-B959-1093DF8F342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<sst xmlns="http://schemas.openxmlformats.org/spreadsheetml/2006/main" count="99" uniqueCount="59">
  <si>
    <t>Invoice #</t>
  </si>
  <si>
    <t>Due Date</t>
  </si>
  <si>
    <t>Client</t>
  </si>
  <si>
    <t>Amount</t>
  </si>
  <si>
    <t>INV2394</t>
  </si>
  <si>
    <t>INV1913</t>
  </si>
  <si>
    <t>INV2711</t>
  </si>
  <si>
    <t>INV1314</t>
  </si>
  <si>
    <t>INV1193</t>
  </si>
  <si>
    <t>INV2351</t>
  </si>
  <si>
    <t>INV1878</t>
  </si>
  <si>
    <t>INV2282</t>
  </si>
  <si>
    <t>INV1186</t>
  </si>
  <si>
    <t>INV1076</t>
  </si>
  <si>
    <t>INV1379</t>
  </si>
  <si>
    <t>INV1912</t>
  </si>
  <si>
    <t>INV2003</t>
  </si>
  <si>
    <t>INV1478</t>
  </si>
  <si>
    <t>INV2064</t>
  </si>
  <si>
    <t>INV2643</t>
  </si>
  <si>
    <t>Client A</t>
  </si>
  <si>
    <t>Client B</t>
  </si>
  <si>
    <t>Client C</t>
  </si>
  <si>
    <t>Client D</t>
  </si>
  <si>
    <t>Client E</t>
  </si>
  <si>
    <t>Client F</t>
  </si>
  <si>
    <t>Client G</t>
  </si>
  <si>
    <t>Client H</t>
  </si>
  <si>
    <t>Client I</t>
  </si>
  <si>
    <t>Client J</t>
  </si>
  <si>
    <t>Client K</t>
  </si>
  <si>
    <t>Client L</t>
  </si>
  <si>
    <t>Client M</t>
  </si>
  <si>
    <t>Client N</t>
  </si>
  <si>
    <t>Client O</t>
  </si>
  <si>
    <t>Client P</t>
  </si>
  <si>
    <t>Client Q</t>
  </si>
  <si>
    <t>Status</t>
  </si>
  <si>
    <t>Days Left</t>
  </si>
  <si>
    <t>Current Date: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</si>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</sst>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b/>
      <i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1" applyFont="1"/>
    <xf numFmtId="14" fontId="0" fillId="2" borderId="2" xfId="0" applyNumberFormat="1" applyFill="1" applyBorder="1"/>
    <xf numFmtId="0" fontId="2" fillId="0" borderId="1" xfId="0" applyFont="1" applyBorder="1"/>
    <xf numFmtId="0" fontId="0" fillId="0" borderId="0" xfId="0" applyNumberFormat="1"/>
    <xf numFmtId="22" fontId="0" fillId="0" borderId="0" xfId="0" applyNumberFormat="1"/>
  </cellXfs>
  <cellStyles count="2">
    <cellStyle name="Comma" xfId="1" builtinId="3"/>
    <cellStyle name="Normal" xfId="0" builtinId="0"/>
  </cellStyles>
  <dxfs count="5">
    <dxf>
      <font>
        <b/>
        <i val="0"/>
        <color rgb="FFFF0000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465716</xdr:colOff>
      <xdr:row>12</xdr:row>
      <xdr:rowOff>41238</xdr:rowOff>
    </xdr:from>
    <xdr:to>
      <xdr:col>17</xdr:col>
      <xdr:colOff>121471</xdr:colOff>
      <xdr:row>35</xdr:row>
      <xdr:rowOff>86958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453EA7-8D56-4071-AD9F-C1C8789D0D6A}"/>
            </a:ext>
          </a:extLst>
        </xdr:cNvPr>
        <xdr:cNvSpPr txBox="1"/>
      </xdr:nvSpPr>
      <xdr:spPr>
        <a:xfrm>
          <a:off x="9195098" y="2327238"/>
          <a:ext cx="4967344" cy="442722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Invoice Tracker Challenge</a:t>
          </a:r>
        </a:p>
        <a:p>
          <a:pPr marL="0" indent="0"/>
          <a:endParaRPr lang="en-US" sz="1100" b="0">
            <a:solidFill>
              <a:schemeClr val="tx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marL="0" indent="0"/>
          <a:r>
            <a:rPr lang="en-US" sz="1100" b="0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1. Enter today's</a:t>
          </a:r>
          <a:r>
            <a:rPr lang="en-US" sz="1100" b="0" baseline="0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date into cell C2 using a formula. </a:t>
          </a:r>
        </a:p>
        <a:p>
          <a:pPr marL="0" indent="0"/>
          <a:endParaRPr lang="en-US" sz="1100" b="0" baseline="0">
            <a:solidFill>
              <a:schemeClr val="tx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marL="0" indent="0"/>
          <a:r>
            <a:rPr lang="en-US" sz="1100" b="0" baseline="0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2. Change the layout of the data so the column headings are in the columns, not the rows. If you use a formula to do this, remove the underlying formula from the result and reapply formatting. </a:t>
          </a:r>
        </a:p>
        <a:p>
          <a:pPr marL="0" indent="0"/>
          <a:endParaRPr lang="en-US" sz="1100" b="0" baseline="0">
            <a:solidFill>
              <a:schemeClr val="tx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marL="0" indent="0"/>
          <a:r>
            <a:rPr lang="en-US" sz="1100" b="0" baseline="0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3. Convert the data to an Excel table and name the table 'Invoices'. </a:t>
          </a:r>
        </a:p>
        <a:p>
          <a:pPr marL="0" indent="0"/>
          <a:endParaRPr lang="en-US" sz="1100" b="0" baseline="0">
            <a:solidFill>
              <a:schemeClr val="tx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marL="0" indent="0"/>
          <a:r>
            <a:rPr lang="en-US" sz="1100" b="0" baseline="0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4. Apply the table style 'Dark Teal, Table Style, Light 9'. Remove banded rows. </a:t>
          </a:r>
        </a:p>
        <a:p>
          <a:pPr marL="0" indent="0"/>
          <a:endParaRPr lang="en-US" sz="1100" b="0" baseline="0">
            <a:solidFill>
              <a:schemeClr val="tx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marL="0" indent="0"/>
          <a:r>
            <a:rPr lang="en-US" sz="1100" b="0" baseline="0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5. In the 'Days Left' column, calculate the number of days left  based off todays date. Ensure the correct formatting is applied. </a:t>
          </a:r>
        </a:p>
        <a:p>
          <a:pPr marL="0" indent="0"/>
          <a:endParaRPr lang="en-US" sz="1100" b="0" baseline="0">
            <a:solidFill>
              <a:schemeClr val="tx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marL="0" indent="0"/>
          <a:r>
            <a:rPr lang="en-US" sz="1100" b="0" baseline="0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6. In the 'Status' column, add a formula that outputs a status of 'Past Due' for invoices less than 0 days, 'Due Soon' for invoices less than 30 days, and 'OK' for invoices due in 30 days or over. </a:t>
          </a:r>
        </a:p>
        <a:p>
          <a:pPr marL="0" indent="0"/>
          <a:endParaRPr lang="en-US" sz="1100" b="0" baseline="0">
            <a:solidFill>
              <a:schemeClr val="tx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marL="0" indent="0"/>
          <a:r>
            <a:rPr lang="en-US" sz="1100" b="0" baseline="0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7. Apply conditional formatting that highlights the row wherever an invoice has a status of 'Past Due'. </a:t>
          </a:r>
        </a:p>
        <a:p>
          <a:pPr marL="0" indent="0"/>
          <a:endParaRPr lang="en-US" sz="1200" b="0">
            <a:solidFill>
              <a:schemeClr val="tx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C99D33-509B-44CA-865E-70A07E44923A}" autoFormatId="16" applyNumberFormats="0" applyBorderFormats="0" applyFontFormats="0" applyPatternFormats="0" applyAlignmentFormats="0" applyWidthHeightFormats="0">
  <queryTableRefresh nextId="7">
    <queryTableFields count="6">
      <queryTableField id="1" name="Invoice #" tableColumnId="1"/>
      <queryTableField id="2" name="Due Date" tableColumnId="2"/>
      <queryTableField id="3" name="Client" tableColumnId="3"/>
      <queryTableField id="4" name="Amount" tableColumnId="4"/>
      <queryTableField id="5" name="Days Left" tableColumnId="5"/>
      <queryTableField id="6" name="Status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209ED-91FE-4B37-B564-31102C76101B}" name="Table1" displayName="Table1" ref="B5:S11" totalsRowShown="0">
  <autoFilter ref="B5:S11" xr:uid="{AB3209ED-91FE-4B37-B564-31102C76101B}"/>
  <tableColumns count="18">
    <tableColumn id="1" xr3:uid="{5FF5AF6B-CCAB-44C3-8F43-1AF01A0623DA}" name="Column1"/>
    <tableColumn id="2" xr3:uid="{0E83BD7B-BB65-4B51-A33F-EB222FD0A8F8}" name="Column2"/>
    <tableColumn id="3" xr3:uid="{BD8144A9-EC72-4DB9-B4FD-EBD8000DC3B8}" name="Column3"/>
    <tableColumn id="4" xr3:uid="{CB65CC90-0740-43FC-BD69-FC66826A93BA}" name="Column4"/>
    <tableColumn id="5" xr3:uid="{A3CDD2CB-BC0F-4137-BFB2-279B4AA36776}" name="Column5"/>
    <tableColumn id="6" xr3:uid="{8541CCD1-3C40-4EDD-9B05-2D4709A0E076}" name="Column6"/>
    <tableColumn id="7" xr3:uid="{C26781EF-DFD5-48EE-ADCD-5AB7E526C698}" name="Column7"/>
    <tableColumn id="8" xr3:uid="{77F61D04-00B7-4BC5-AC33-BC753A8CC0D0}" name="Column8"/>
    <tableColumn id="9" xr3:uid="{7A149FDF-8D36-4443-9B71-4AB228518E5E}" name="Column9"/>
    <tableColumn id="10" xr3:uid="{1F29CBDB-D2AC-4764-8F00-D6D2005640AA}" name="Column10"/>
    <tableColumn id="11" xr3:uid="{AC57C77F-BE55-4279-9010-A1047A541634}" name="Column11"/>
    <tableColumn id="12" xr3:uid="{2BF6BAD4-4245-433A-BBF0-468E956D1C25}" name="Column12"/>
    <tableColumn id="13" xr3:uid="{6177EFB0-7FE8-40CD-B70F-7680277CFCDA}" name="Column13"/>
    <tableColumn id="14" xr3:uid="{4C050918-1F37-42F1-A2F0-13656C86B600}" name="Column14"/>
    <tableColumn id="15" xr3:uid="{A906D749-3564-439A-9B8C-DC21E35C23C1}" name="Column15"/>
    <tableColumn id="16" xr3:uid="{D9A5EC54-E8C3-4DF4-8050-7B38D079A82F}" name="Column16"/>
    <tableColumn id="17" xr3:uid="{51BB51DA-2163-4008-B9E3-F5CC957FA796}" name="Column17"/>
    <tableColumn id="18" xr3:uid="{372CD54F-D36A-4B6F-92D5-EEB108294A9E}" name="Column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5D8EF2-3F0A-43A5-B4BA-77305D17D095}" name="Table1_1" displayName="Table1_1" ref="B13:G30" tableType="queryTable" totalsRowShown="0">
  <autoFilter ref="B13:G30" xr:uid="{285D8EF2-3F0A-43A5-B4BA-77305D17D095}"/>
  <tableColumns count="6">
    <tableColumn id="1" xr3:uid="{8D8E0FE9-04B2-4B6F-8C45-B261D8366B0C}" uniqueName="1" name="Invoices" queryTableFieldId="1" dataDxfId="4"/>
    <tableColumn id="2" xr3:uid="{91191D96-E19E-4B5E-809D-6D92E86DA397}" uniqueName="2" name="Due Date" queryTableFieldId="2" dataDxfId="3"/>
    <tableColumn id="3" xr3:uid="{D52F17FB-B507-49A5-BEDE-3A17E24D7B24}" uniqueName="3" name="Client" queryTableFieldId="3" dataDxfId="2"/>
    <tableColumn id="4" xr3:uid="{DB5781F1-D6C5-4EC8-9CB6-76DF0182B3EB}" uniqueName="4" name="Amount" queryTableFieldId="4"/>
    <tableColumn id="5" xr3:uid="{33298E43-312F-464A-9AD5-197C22A36920}" uniqueName="5" name="Days Left" queryTableFieldId="5"/>
    <tableColumn id="6" xr3:uid="{5EB67AA4-21F3-4116-84CD-6E6C9930972D}" uniqueName="6" name="Status" queryTableFieldId="6"/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E753-5F25-4979-B87B-FCD1F68EFCB3}">
  <dimension ref="B2:S30"/>
  <sheetViews>
    <sheetView tabSelected="1" zoomScale="85" zoomScaleNormal="85" workbookViewId="0">
      <selection activeCell="R17" sqref="R17"/>
    </sheetView>
  </sheetViews>
  <sheetFormatPr defaultRowHeight="15" x14ac:dyDescent="0.25"/>
  <cols>
    <col min="2" max="2" width="10.375" bestFit="1" customWidth="1"/>
    <col min="3" max="3" width="15.125" bestFit="1" customWidth="1"/>
    <col min="4" max="4" width="8" bestFit="1" customWidth="1"/>
    <col min="5" max="5" width="9.625" bestFit="1" customWidth="1"/>
    <col min="6" max="6" width="10.75" bestFit="1" customWidth="1"/>
    <col min="7" max="7" width="8.375" bestFit="1" customWidth="1"/>
    <col min="8" max="10" width="10.625" customWidth="1"/>
    <col min="11" max="19" width="11.625" customWidth="1"/>
  </cols>
  <sheetData>
    <row r="2" spans="2:19" x14ac:dyDescent="0.25">
      <c r="B2" s="4" t="s">
        <v>39</v>
      </c>
      <c r="C2" s="3">
        <v>45253</v>
      </c>
    </row>
    <row r="5" spans="2:19" x14ac:dyDescent="0.25"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  <c r="Q5" t="s">
        <v>55</v>
      </c>
      <c r="R5" t="s">
        <v>56</v>
      </c>
      <c r="S5" t="s">
        <v>57</v>
      </c>
    </row>
    <row r="6" spans="2:19" x14ac:dyDescent="0.25">
      <c r="B6" t="s">
        <v>0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8</v>
      </c>
      <c r="P6" t="s">
        <v>16</v>
      </c>
      <c r="Q6" t="s">
        <v>17</v>
      </c>
      <c r="R6" t="s">
        <v>18</v>
      </c>
      <c r="S6" t="s">
        <v>19</v>
      </c>
    </row>
    <row r="7" spans="2:19" x14ac:dyDescent="0.25">
      <c r="B7" t="s">
        <v>1</v>
      </c>
      <c r="C7" s="1">
        <v>45250</v>
      </c>
      <c r="D7" s="1">
        <v>45252</v>
      </c>
      <c r="E7" s="1">
        <v>45253</v>
      </c>
      <c r="F7" s="1">
        <v>45209</v>
      </c>
      <c r="G7" s="1">
        <v>45211</v>
      </c>
      <c r="H7" s="1">
        <v>45296</v>
      </c>
      <c r="I7" s="1">
        <v>45311</v>
      </c>
      <c r="J7" s="1">
        <v>45260</v>
      </c>
      <c r="K7" s="1">
        <v>45282</v>
      </c>
      <c r="L7" s="1">
        <v>45296</v>
      </c>
      <c r="M7" s="1">
        <v>45323</v>
      </c>
      <c r="N7" s="1">
        <v>45056</v>
      </c>
      <c r="O7" s="1">
        <v>45181</v>
      </c>
      <c r="P7" s="1">
        <v>45259</v>
      </c>
      <c r="Q7" s="1">
        <v>45253</v>
      </c>
      <c r="R7" s="1">
        <v>45250</v>
      </c>
      <c r="S7" s="1">
        <v>45249</v>
      </c>
    </row>
    <row r="8" spans="2:19" x14ac:dyDescent="0.25">
      <c r="B8" t="s">
        <v>2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35</v>
      </c>
      <c r="S8" t="s">
        <v>36</v>
      </c>
    </row>
    <row r="9" spans="2:19" x14ac:dyDescent="0.25">
      <c r="B9" t="s">
        <v>3</v>
      </c>
      <c r="C9" s="2">
        <v>331</v>
      </c>
      <c r="D9" s="2">
        <v>364</v>
      </c>
      <c r="E9" s="2">
        <v>276</v>
      </c>
      <c r="F9" s="2">
        <v>296</v>
      </c>
      <c r="G9" s="2">
        <v>363</v>
      </c>
      <c r="H9" s="2">
        <v>225</v>
      </c>
      <c r="I9" s="2">
        <v>451</v>
      </c>
      <c r="J9" s="2">
        <v>377</v>
      </c>
      <c r="K9" s="2">
        <v>394</v>
      </c>
      <c r="L9" s="2">
        <v>299</v>
      </c>
      <c r="M9" s="2">
        <v>273</v>
      </c>
      <c r="N9" s="2">
        <v>303</v>
      </c>
      <c r="O9" s="2">
        <v>266</v>
      </c>
      <c r="P9" s="2">
        <v>131</v>
      </c>
      <c r="Q9" s="2">
        <v>176</v>
      </c>
      <c r="R9" s="2">
        <v>331</v>
      </c>
      <c r="S9" s="2">
        <v>286</v>
      </c>
    </row>
    <row r="10" spans="2:19" x14ac:dyDescent="0.25">
      <c r="B10" t="s">
        <v>38</v>
      </c>
    </row>
    <row r="11" spans="2:19" x14ac:dyDescent="0.25">
      <c r="B11" t="s">
        <v>37</v>
      </c>
    </row>
    <row r="13" spans="2:19" x14ac:dyDescent="0.25">
      <c r="B13" t="s">
        <v>58</v>
      </c>
      <c r="C13" t="s">
        <v>1</v>
      </c>
      <c r="D13" t="s">
        <v>2</v>
      </c>
      <c r="E13" t="s">
        <v>3</v>
      </c>
      <c r="F13" t="s">
        <v>38</v>
      </c>
      <c r="G13" t="s">
        <v>37</v>
      </c>
    </row>
    <row r="14" spans="2:19" x14ac:dyDescent="0.25">
      <c r="B14" s="5" t="s">
        <v>4</v>
      </c>
      <c r="C14" s="6">
        <v>45250</v>
      </c>
      <c r="D14" s="5" t="s">
        <v>20</v>
      </c>
      <c r="E14">
        <v>331</v>
      </c>
      <c r="F14">
        <f>_xlfn.DAYS(Table1_1[[#This Row],[Due Date]],$C$2)</f>
        <v>-3</v>
      </c>
      <c r="G14" t="str" cm="1">
        <f t="array" ref="G14">_xlfn.IFS(Table1_1[[#This Row],[Days Left]]&lt;0,"Past Due",Table1_1[[#This Row],[Days Left]]&lt;30,"Due Soon",Table1_1[[#This Row],[Days Left]]&gt;=30,"OK")</f>
        <v>Past Due</v>
      </c>
    </row>
    <row r="15" spans="2:19" x14ac:dyDescent="0.25">
      <c r="B15" s="5" t="s">
        <v>5</v>
      </c>
      <c r="C15" s="6">
        <v>45252</v>
      </c>
      <c r="D15" s="5" t="s">
        <v>21</v>
      </c>
      <c r="E15">
        <v>364</v>
      </c>
      <c r="F15">
        <f>_xlfn.DAYS(Table1_1[[#This Row],[Due Date]],$C$2)</f>
        <v>-1</v>
      </c>
      <c r="G15" t="str" cm="1">
        <f t="array" ref="G15">_xlfn.IFS(Table1_1[[#This Row],[Days Left]]&lt;0,"Past Due",Table1_1[[#This Row],[Days Left]]&lt;30,"Due Soon",Table1_1[[#This Row],[Days Left]]&gt;=30,"OK")</f>
        <v>Past Due</v>
      </c>
    </row>
    <row r="16" spans="2:19" x14ac:dyDescent="0.25">
      <c r="B16" s="5" t="s">
        <v>6</v>
      </c>
      <c r="C16" s="6">
        <v>45253</v>
      </c>
      <c r="D16" s="5" t="s">
        <v>22</v>
      </c>
      <c r="E16">
        <v>276</v>
      </c>
      <c r="F16">
        <f>_xlfn.DAYS(Table1_1[[#This Row],[Due Date]],$C$2)</f>
        <v>0</v>
      </c>
      <c r="G16" t="str" cm="1">
        <f t="array" ref="G16">_xlfn.IFS(Table1_1[[#This Row],[Days Left]]&lt;0,"Past Due",Table1_1[[#This Row],[Days Left]]&lt;30,"Due Soon",Table1_1[[#This Row],[Days Left]]&gt;=30,"OK")</f>
        <v>Due Soon</v>
      </c>
    </row>
    <row r="17" spans="2:7" x14ac:dyDescent="0.25">
      <c r="B17" s="5" t="s">
        <v>7</v>
      </c>
      <c r="C17" s="6">
        <v>45209</v>
      </c>
      <c r="D17" s="5" t="s">
        <v>23</v>
      </c>
      <c r="E17">
        <v>296</v>
      </c>
      <c r="F17">
        <f>_xlfn.DAYS(Table1_1[[#This Row],[Due Date]],$C$2)</f>
        <v>-44</v>
      </c>
      <c r="G17" t="str" cm="1">
        <f t="array" ref="G17">_xlfn.IFS(Table1_1[[#This Row],[Days Left]]&lt;0,"Past Due",Table1_1[[#This Row],[Days Left]]&lt;30,"Due Soon",Table1_1[[#This Row],[Days Left]]&gt;=30,"OK")</f>
        <v>Past Due</v>
      </c>
    </row>
    <row r="18" spans="2:7" x14ac:dyDescent="0.25">
      <c r="B18" s="5" t="s">
        <v>8</v>
      </c>
      <c r="C18" s="6">
        <v>45211</v>
      </c>
      <c r="D18" s="5" t="s">
        <v>24</v>
      </c>
      <c r="E18">
        <v>363</v>
      </c>
      <c r="F18">
        <f>_xlfn.DAYS(Table1_1[[#This Row],[Due Date]],$C$2)</f>
        <v>-42</v>
      </c>
      <c r="G18" t="str" cm="1">
        <f t="array" ref="G18">_xlfn.IFS(Table1_1[[#This Row],[Days Left]]&lt;0,"Past Due",Table1_1[[#This Row],[Days Left]]&lt;30,"Due Soon",Table1_1[[#This Row],[Days Left]]&gt;=30,"OK")</f>
        <v>Past Due</v>
      </c>
    </row>
    <row r="19" spans="2:7" x14ac:dyDescent="0.25">
      <c r="B19" s="5" t="s">
        <v>9</v>
      </c>
      <c r="C19" s="6">
        <v>45296</v>
      </c>
      <c r="D19" s="5" t="s">
        <v>25</v>
      </c>
      <c r="E19">
        <v>225</v>
      </c>
      <c r="F19">
        <f>_xlfn.DAYS(Table1_1[[#This Row],[Due Date]],$C$2)</f>
        <v>43</v>
      </c>
      <c r="G19" t="str" cm="1">
        <f t="array" ref="G19">_xlfn.IFS(Table1_1[[#This Row],[Days Left]]&lt;0,"Past Due",Table1_1[[#This Row],[Days Left]]&lt;30,"Due Soon",Table1_1[[#This Row],[Days Left]]&gt;=30,"OK")</f>
        <v>OK</v>
      </c>
    </row>
    <row r="20" spans="2:7" x14ac:dyDescent="0.25">
      <c r="B20" s="5" t="s">
        <v>10</v>
      </c>
      <c r="C20" s="6">
        <v>45311</v>
      </c>
      <c r="D20" s="5" t="s">
        <v>26</v>
      </c>
      <c r="E20">
        <v>451</v>
      </c>
      <c r="F20">
        <f>_xlfn.DAYS(Table1_1[[#This Row],[Due Date]],$C$2)</f>
        <v>58</v>
      </c>
      <c r="G20" t="str" cm="1">
        <f t="array" ref="G20">_xlfn.IFS(Table1_1[[#This Row],[Days Left]]&lt;0,"Past Due",Table1_1[[#This Row],[Days Left]]&lt;30,"Due Soon",Table1_1[[#This Row],[Days Left]]&gt;=30,"OK")</f>
        <v>OK</v>
      </c>
    </row>
    <row r="21" spans="2:7" x14ac:dyDescent="0.25">
      <c r="B21" s="5" t="s">
        <v>11</v>
      </c>
      <c r="C21" s="6">
        <v>45260</v>
      </c>
      <c r="D21" s="5" t="s">
        <v>27</v>
      </c>
      <c r="E21">
        <v>377</v>
      </c>
      <c r="F21">
        <f>_xlfn.DAYS(Table1_1[[#This Row],[Due Date]],$C$2)</f>
        <v>7</v>
      </c>
      <c r="G21" t="str" cm="1">
        <f t="array" ref="G21">_xlfn.IFS(Table1_1[[#This Row],[Days Left]]&lt;0,"Past Due",Table1_1[[#This Row],[Days Left]]&lt;30,"Due Soon",Table1_1[[#This Row],[Days Left]]&gt;=30,"OK")</f>
        <v>Due Soon</v>
      </c>
    </row>
    <row r="22" spans="2:7" x14ac:dyDescent="0.25">
      <c r="B22" s="5" t="s">
        <v>12</v>
      </c>
      <c r="C22" s="6">
        <v>45282</v>
      </c>
      <c r="D22" s="5" t="s">
        <v>28</v>
      </c>
      <c r="E22">
        <v>394</v>
      </c>
      <c r="F22">
        <f>_xlfn.DAYS(Table1_1[[#This Row],[Due Date]],$C$2)</f>
        <v>29</v>
      </c>
      <c r="G22" t="str" cm="1">
        <f t="array" ref="G22">_xlfn.IFS(Table1_1[[#This Row],[Days Left]]&lt;0,"Past Due",Table1_1[[#This Row],[Days Left]]&lt;30,"Due Soon",Table1_1[[#This Row],[Days Left]]&gt;=30,"OK")</f>
        <v>Due Soon</v>
      </c>
    </row>
    <row r="23" spans="2:7" x14ac:dyDescent="0.25">
      <c r="B23" s="5" t="s">
        <v>13</v>
      </c>
      <c r="C23" s="6">
        <v>45296</v>
      </c>
      <c r="D23" s="5" t="s">
        <v>29</v>
      </c>
      <c r="E23">
        <v>299</v>
      </c>
      <c r="F23">
        <f>_xlfn.DAYS(Table1_1[[#This Row],[Due Date]],$C$2)</f>
        <v>43</v>
      </c>
      <c r="G23" t="str" cm="1">
        <f t="array" ref="G23">_xlfn.IFS(Table1_1[[#This Row],[Days Left]]&lt;0,"Past Due",Table1_1[[#This Row],[Days Left]]&lt;30,"Due Soon",Table1_1[[#This Row],[Days Left]]&gt;=30,"OK")</f>
        <v>OK</v>
      </c>
    </row>
    <row r="24" spans="2:7" x14ac:dyDescent="0.25">
      <c r="B24" s="5" t="s">
        <v>14</v>
      </c>
      <c r="C24" s="6">
        <v>45323</v>
      </c>
      <c r="D24" s="5" t="s">
        <v>30</v>
      </c>
      <c r="E24">
        <v>273</v>
      </c>
      <c r="F24">
        <f>_xlfn.DAYS(Table1_1[[#This Row],[Due Date]],$C$2)</f>
        <v>70</v>
      </c>
      <c r="G24" t="str" cm="1">
        <f t="array" ref="G24">_xlfn.IFS(Table1_1[[#This Row],[Days Left]]&lt;0,"Past Due",Table1_1[[#This Row],[Days Left]]&lt;30,"Due Soon",Table1_1[[#This Row],[Days Left]]&gt;=30,"OK")</f>
        <v>OK</v>
      </c>
    </row>
    <row r="25" spans="2:7" x14ac:dyDescent="0.25">
      <c r="B25" s="5" t="s">
        <v>15</v>
      </c>
      <c r="C25" s="6">
        <v>45056</v>
      </c>
      <c r="D25" s="5" t="s">
        <v>31</v>
      </c>
      <c r="E25">
        <v>303</v>
      </c>
      <c r="F25">
        <f>_xlfn.DAYS(Table1_1[[#This Row],[Due Date]],$C$2)</f>
        <v>-197</v>
      </c>
      <c r="G25" t="str" cm="1">
        <f t="array" ref="G25">_xlfn.IFS(Table1_1[[#This Row],[Days Left]]&lt;0,"Past Due",Table1_1[[#This Row],[Days Left]]&lt;30,"Due Soon",Table1_1[[#This Row],[Days Left]]&gt;=30,"OK")</f>
        <v>Past Due</v>
      </c>
    </row>
    <row r="26" spans="2:7" x14ac:dyDescent="0.25">
      <c r="B26" s="5" t="s">
        <v>8</v>
      </c>
      <c r="C26" s="6">
        <v>45181</v>
      </c>
      <c r="D26" s="5" t="s">
        <v>32</v>
      </c>
      <c r="E26">
        <v>266</v>
      </c>
      <c r="F26">
        <f>_xlfn.DAYS(Table1_1[[#This Row],[Due Date]],$C$2)</f>
        <v>-72</v>
      </c>
      <c r="G26" t="str" cm="1">
        <f t="array" ref="G26">_xlfn.IFS(Table1_1[[#This Row],[Days Left]]&lt;0,"Past Due",Table1_1[[#This Row],[Days Left]]&lt;30,"Due Soon",Table1_1[[#This Row],[Days Left]]&gt;=30,"OK")</f>
        <v>Past Due</v>
      </c>
    </row>
    <row r="27" spans="2:7" x14ac:dyDescent="0.25">
      <c r="B27" s="5" t="s">
        <v>16</v>
      </c>
      <c r="C27" s="6">
        <v>45259</v>
      </c>
      <c r="D27" s="5" t="s">
        <v>33</v>
      </c>
      <c r="E27">
        <v>131</v>
      </c>
      <c r="F27">
        <f>_xlfn.DAYS(Table1_1[[#This Row],[Due Date]],$C$2)</f>
        <v>6</v>
      </c>
      <c r="G27" t="str" cm="1">
        <f t="array" ref="G27">_xlfn.IFS(Table1_1[[#This Row],[Days Left]]&lt;0,"Past Due",Table1_1[[#This Row],[Days Left]]&lt;30,"Due Soon",Table1_1[[#This Row],[Days Left]]&gt;=30,"OK")</f>
        <v>Due Soon</v>
      </c>
    </row>
    <row r="28" spans="2:7" x14ac:dyDescent="0.25">
      <c r="B28" s="5" t="s">
        <v>17</v>
      </c>
      <c r="C28" s="6">
        <v>45253</v>
      </c>
      <c r="D28" s="5" t="s">
        <v>34</v>
      </c>
      <c r="E28">
        <v>176</v>
      </c>
      <c r="F28">
        <f>_xlfn.DAYS(Table1_1[[#This Row],[Due Date]],$C$2)</f>
        <v>0</v>
      </c>
      <c r="G28" t="str" cm="1">
        <f t="array" ref="G28">_xlfn.IFS(Table1_1[[#This Row],[Days Left]]&lt;0,"Past Due",Table1_1[[#This Row],[Days Left]]&lt;30,"Due Soon",Table1_1[[#This Row],[Days Left]]&gt;=30,"OK")</f>
        <v>Due Soon</v>
      </c>
    </row>
    <row r="29" spans="2:7" x14ac:dyDescent="0.25">
      <c r="B29" s="5" t="s">
        <v>18</v>
      </c>
      <c r="C29" s="6">
        <v>45250</v>
      </c>
      <c r="D29" s="5" t="s">
        <v>35</v>
      </c>
      <c r="E29">
        <v>331</v>
      </c>
      <c r="F29">
        <f>_xlfn.DAYS(Table1_1[[#This Row],[Due Date]],$C$2)</f>
        <v>-3</v>
      </c>
      <c r="G29" t="str" cm="1">
        <f t="array" ref="G29">_xlfn.IFS(Table1_1[[#This Row],[Days Left]]&lt;0,"Past Due",Table1_1[[#This Row],[Days Left]]&lt;30,"Due Soon",Table1_1[[#This Row],[Days Left]]&gt;=30,"OK")</f>
        <v>Past Due</v>
      </c>
    </row>
    <row r="30" spans="2:7" x14ac:dyDescent="0.25">
      <c r="B30" s="5" t="s">
        <v>19</v>
      </c>
      <c r="C30" s="6">
        <v>45249</v>
      </c>
      <c r="D30" s="5" t="s">
        <v>36</v>
      </c>
      <c r="E30">
        <v>286</v>
      </c>
      <c r="F30">
        <f>_xlfn.DAYS(Table1_1[[#This Row],[Due Date]],$C$2)</f>
        <v>-4</v>
      </c>
      <c r="G30" t="str" cm="1">
        <f t="array" ref="G30">_xlfn.IFS(Table1_1[[#This Row],[Days Left]]&lt;0,"Past Due",Table1_1[[#This Row],[Days Left]]&lt;30,"Due Soon",Table1_1[[#This Row],[Days Left]]&gt;=30,"OK")</f>
        <v>Past Due</v>
      </c>
    </row>
  </sheetData>
  <conditionalFormatting sqref="G14:G30">
    <cfRule type="expression" dxfId="1" priority="2">
      <formula>"""Past Due"""</formula>
    </cfRule>
  </conditionalFormatting>
  <conditionalFormatting sqref="B14:G30">
    <cfRule type="expression" dxfId="0" priority="1">
      <formula>$G14="Past Due"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73DC82-B8AA-4A52-9B00-C471D2944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Тарас Андрійович Осипчук</cp:lastModifiedBy>
  <dcterms:created xsi:type="dcterms:W3CDTF">2023-11-23T13:29:22Z</dcterms:created>
  <dcterms:modified xsi:type="dcterms:W3CDTF">2026-06-29T11:34:46Z</dcterms:modified>
</cp:coreProperties>
</file>