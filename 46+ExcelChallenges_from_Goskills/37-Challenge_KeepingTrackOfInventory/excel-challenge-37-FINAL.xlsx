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37-Challenge_KeepingTrackOfInventory\"/>
    </mc:Choice>
  </mc:AlternateContent>
  <xr:revisionPtr revIDLastSave="0" documentId="13_ncr:1_{67A70FF7-738A-4D63-A308-D8906F10F61C}" xr6:coauthVersionLast="47" xr6:coauthVersionMax="47" xr10:uidLastSave="{00000000-0000-0000-0000-000000000000}"/>
  <bookViews>
    <workbookView xWindow="-120" yWindow="-120" windowWidth="29040" windowHeight="15720" xr2:uid="{8AA65406-2AE9-4A7D-A0EA-7C0A833E116A}"/>
  </bookViews>
  <sheets>
    <sheet name="EC-3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1" l="1" a="1"/>
  <c r="B10" i="1" s="1"/>
  <c r="K55" i="1"/>
  <c r="L55" i="1" s="1" a="1"/>
  <c r="L55" i="1" s="1"/>
  <c r="L54" i="1" a="1"/>
  <c r="L54" i="1" s="1"/>
  <c r="L53" i="1" a="1"/>
  <c r="L53" i="1" s="1"/>
  <c r="L52" i="1" a="1"/>
  <c r="L52" i="1"/>
  <c r="L51" i="1" a="1"/>
  <c r="L51" i="1"/>
  <c r="L50" i="1" a="1"/>
  <c r="L50" i="1" s="1"/>
  <c r="L49" i="1" a="1"/>
  <c r="L49" i="1" s="1"/>
  <c r="L48" i="1" a="1"/>
  <c r="L48" i="1" s="1"/>
  <c r="L47" i="1" a="1"/>
  <c r="L47" i="1"/>
  <c r="L46" i="1" a="1"/>
  <c r="L46" i="1" s="1"/>
  <c r="L45" i="1" a="1"/>
  <c r="L45" i="1" s="1"/>
  <c r="L44" i="1" a="1"/>
  <c r="L44" i="1" s="1"/>
  <c r="L43" i="1" a="1"/>
  <c r="L43" i="1"/>
  <c r="L42" i="1" a="1"/>
  <c r="L42" i="1" s="1"/>
  <c r="L41" i="1" a="1"/>
  <c r="L41" i="1" s="1"/>
  <c r="L40" i="1" a="1"/>
  <c r="L40" i="1" s="1"/>
  <c r="L39" i="1" a="1"/>
  <c r="L39" i="1"/>
  <c r="L38" i="1" a="1"/>
  <c r="L38" i="1" s="1"/>
  <c r="L37" i="1" a="1"/>
  <c r="L37" i="1" s="1"/>
  <c r="L36" i="1" a="1"/>
  <c r="L36" i="1" s="1"/>
  <c r="L35" i="1" a="1"/>
  <c r="L35" i="1"/>
  <c r="L34" i="1" a="1"/>
  <c r="L34" i="1" s="1"/>
  <c r="L33" i="1" a="1"/>
  <c r="L33" i="1" s="1"/>
  <c r="L32" i="1" a="1"/>
  <c r="L32" i="1" s="1"/>
  <c r="L31" i="1" a="1"/>
  <c r="L31" i="1"/>
  <c r="L30" i="1" a="1"/>
  <c r="L30" i="1" s="1"/>
  <c r="L29" i="1" a="1"/>
  <c r="L29" i="1" s="1"/>
  <c r="L28" i="1" a="1"/>
  <c r="L28" i="1" s="1"/>
  <c r="L27" i="1" a="1"/>
  <c r="L27" i="1"/>
  <c r="L26" i="1" a="1"/>
  <c r="L26" i="1" s="1"/>
  <c r="L25" i="1" a="1"/>
  <c r="L25" i="1" s="1"/>
  <c r="L24" i="1" a="1"/>
  <c r="L24" i="1" s="1"/>
  <c r="L23" i="1" a="1"/>
  <c r="L23" i="1"/>
  <c r="L22" i="1" a="1"/>
  <c r="L22" i="1" s="1"/>
  <c r="L21" i="1" a="1"/>
  <c r="L21" i="1" s="1"/>
  <c r="L20" i="1" a="1"/>
  <c r="L20" i="1" s="1"/>
  <c r="L19" i="1" a="1"/>
  <c r="L19" i="1"/>
  <c r="L18" i="1" a="1"/>
  <c r="L18" i="1" s="1"/>
  <c r="L17" i="1" a="1"/>
  <c r="L17" i="1" s="1"/>
  <c r="L16" i="1" a="1"/>
  <c r="L16" i="1" s="1"/>
  <c r="L15" i="1" a="1"/>
  <c r="L15" i="1"/>
  <c r="L14" i="1" a="1"/>
  <c r="L14" i="1" s="1"/>
  <c r="L13" i="1" a="1"/>
  <c r="L13" i="1" s="1"/>
  <c r="L12" i="1" a="1"/>
  <c r="L12" i="1" s="1"/>
  <c r="L11" i="1" a="1"/>
  <c r="L11" i="1"/>
  <c r="L10" i="1" a="1"/>
  <c r="L10" i="1" s="1"/>
  <c r="L9" i="1" a="1"/>
  <c r="L9" i="1" s="1"/>
  <c r="L8" i="1" a="1"/>
  <c r="L8" i="1" s="1"/>
  <c r="L7" i="1" a="1"/>
  <c r="L7" i="1"/>
  <c r="L6" i="1" a="1"/>
  <c r="L6" i="1" s="1"/>
  <c r="L5" i="1" a="1"/>
  <c r="L5" i="1" s="1"/>
  <c r="L4" i="1" a="1"/>
  <c r="L4" i="1" s="1"/>
  <c r="K5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<sst xmlns="http://schemas.openxmlformats.org/spreadsheetml/2006/main" count="67" uniqueCount="62">
  <si>
    <t>Filter:</t>
  </si>
  <si>
    <t>OK</t>
  </si>
  <si>
    <t>Low Stock</t>
  </si>
  <si>
    <t>Order Now</t>
  </si>
  <si>
    <t>Product</t>
  </si>
  <si>
    <t>Stock</t>
  </si>
  <si>
    <t>Ordered</t>
  </si>
  <si>
    <t>Left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</si>
  <si>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</si>
  <si>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</si>
  <si>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</si>
  <si>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</si>
  <si>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</si>
  <si>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</si>
  <si>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</si>
  <si>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</si>
  <si>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</si>
  <si>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</si>
  <si>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</si>
  <si>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</si>
  <si>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</si>
  <si>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</si>
  <si>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</si>
  <si>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</si>
  <si>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</si>
  <si>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</si>
  <si>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</si>
  <si>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</si>
  <si>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</si>
  <si>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</si>
  <si>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</si>
  <si>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</si>
  <si>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</si>
  <si>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</si>
  <si>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</si>
  <si>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</si>
  <si>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</si>
  <si>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</si>
  <si>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</si>
  <si>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</si>
  <si>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</si>
  <si>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</si>
  <si>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</si>
  <si>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</si>
  <si>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</si>
  <si>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</si>
  <si>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</si>
  <si>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</si>
  <si>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</si>
  <si>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</si>
  <si>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</si>
  <si>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</si>
  <si>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</si>
  <si>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</si>
  <si>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</si>
  <si>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</si>
  <si>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</si>
  <si>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</si>
  <si>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Stock Inventory</t>
  </si>
  <si>
    <t>Product 51</t>
  </si>
  <si>
    <t>Status</t>
  </si>
  <si>
    <t>Product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</si>
</sst>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</font>
    <font>
      <b/>
      <sz val="11"/>
      <color theme="0"/>
      <name val="Aptos"/>
      <family val="2"/>
    </font>
    <font>
      <b/>
      <sz val="11"/>
      <color theme="1"/>
      <name val="Aptos"/>
      <family val="2"/>
    </font>
    <font>
      <b/>
      <sz val="20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/>
    <xf numFmtId="0" fontId="0" fillId="5" borderId="1" xfId="0" applyFill="1" applyBorder="1"/>
    <xf numFmtId="0" fontId="0" fillId="0" borderId="1" xfId="0" applyBorder="1"/>
    <xf numFmtId="0" fontId="2" fillId="2" borderId="1" xfId="0" applyFont="1" applyFill="1" applyBorder="1"/>
    <xf numFmtId="0" fontId="3" fillId="0" borderId="0" xfId="0" applyFont="1" applyAlignment="1">
      <alignment vertical="center"/>
    </xf>
    <xf numFmtId="0" fontId="0" fillId="0" borderId="2" xfId="0" applyFont="1" applyBorder="1"/>
    <xf numFmtId="0" fontId="0" fillId="0" borderId="3" xfId="0" applyFont="1" applyBorder="1"/>
    <xf numFmtId="0" fontId="1" fillId="4" borderId="0" xfId="0" applyFont="1" applyFill="1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solid">
          <fgColor indexed="64"/>
          <bgColor theme="3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556260</xdr:colOff>
      <xdr:row>1</xdr:row>
      <xdr:rowOff>175260</xdr:rowOff>
    </xdr:from>
    <xdr:to>
      <xdr:col>18</xdr:col>
      <xdr:colOff>106680</xdr:colOff>
      <xdr:row>20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07FBBCA-9304-C144-C027-A6D0EB0F06DF}"/>
            </a:ext>
          </a:extLst>
        </xdr:cNvPr>
        <xdr:cNvSpPr txBox="1"/>
      </xdr:nvSpPr>
      <xdr:spPr>
        <a:xfrm>
          <a:off x="10279380" y="601980"/>
          <a:ext cx="3474720" cy="3451860"/>
        </a:xfrm>
        <a:prstGeom prst="rect">
          <a:avLst/>
        </a:prstGeom>
        <a:solidFill>
          <a:schemeClr val="lt1"/>
        </a:solidFill>
        <a:ln w="190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ptos" panose="020B0004020202020204" pitchFamily="34" charset="0"/>
            </a:rPr>
            <a:t>Create a Stock</a:t>
          </a:r>
          <a:r>
            <a:rPr lang="en-US" sz="1100" b="1" baseline="0">
              <a:latin typeface="Aptos" panose="020B0004020202020204" pitchFamily="34" charset="0"/>
            </a:rPr>
            <a:t> Inventory to keep track of items that are in stock or need to be ordered. </a:t>
          </a:r>
        </a:p>
        <a:p>
          <a:endParaRPr lang="en-US" sz="1100" baseline="0">
            <a:latin typeface="Aptos" panose="020B0004020202020204" pitchFamily="34" charset="0"/>
          </a:endParaRPr>
        </a:p>
        <a:p>
          <a:r>
            <a:rPr lang="en-US" sz="1100" baseline="0">
              <a:latin typeface="Aptos" panose="020B0004020202020204" pitchFamily="34" charset="0"/>
            </a:rPr>
            <a:t>- Create a drop-down list in cell </a:t>
          </a:r>
          <a:r>
            <a:rPr lang="en-US" sz="1100" b="1" baseline="0">
              <a:latin typeface="Aptos" panose="020B0004020202020204" pitchFamily="34" charset="0"/>
            </a:rPr>
            <a:t>B5</a:t>
          </a:r>
          <a:r>
            <a:rPr lang="en-US" sz="1100" baseline="0">
              <a:latin typeface="Aptos" panose="020B0004020202020204" pitchFamily="34" charset="0"/>
            </a:rPr>
            <a:t> that lists '</a:t>
          </a:r>
          <a:r>
            <a:rPr lang="en-US" sz="1100" i="1" baseline="0">
              <a:latin typeface="Aptos" panose="020B0004020202020204" pitchFamily="34" charset="0"/>
            </a:rPr>
            <a:t>OK</a:t>
          </a:r>
          <a:r>
            <a:rPr lang="en-US" sz="1100" baseline="0">
              <a:latin typeface="Aptos" panose="020B0004020202020204" pitchFamily="34" charset="0"/>
            </a:rPr>
            <a:t>', </a:t>
          </a:r>
          <a:r>
            <a:rPr lang="en-US" sz="1100" i="1" baseline="0">
              <a:latin typeface="Aptos" panose="020B0004020202020204" pitchFamily="34" charset="0"/>
            </a:rPr>
            <a:t>'Low Stock</a:t>
          </a:r>
          <a:r>
            <a:rPr lang="en-US" sz="1100" baseline="0">
              <a:latin typeface="Aptos" panose="020B0004020202020204" pitchFamily="34" charset="0"/>
            </a:rPr>
            <a:t>' and </a:t>
          </a:r>
          <a:r>
            <a:rPr lang="en-US" sz="1100" i="1" baseline="0">
              <a:latin typeface="Aptos" panose="020B0004020202020204" pitchFamily="34" charset="0"/>
            </a:rPr>
            <a:t>'Order Now</a:t>
          </a:r>
          <a:r>
            <a:rPr lang="en-US" sz="1100" baseline="0">
              <a:latin typeface="Aptos" panose="020B0004020202020204" pitchFamily="34" charset="0"/>
            </a:rPr>
            <a:t>'. Use cell references to create. </a:t>
          </a:r>
        </a:p>
        <a:p>
          <a:endParaRPr lang="en-US" sz="1100" baseline="0">
            <a:latin typeface="Aptos" panose="020B0004020202020204" pitchFamily="34" charset="0"/>
          </a:endParaRPr>
        </a:p>
        <a:p>
          <a:r>
            <a:rPr lang="en-US" sz="1100" baseline="0">
              <a:latin typeface="Aptos" panose="020B0004020202020204" pitchFamily="34" charset="0"/>
            </a:rPr>
            <a:t>- In column L, use logical functions to determine if a product is '</a:t>
          </a:r>
          <a:r>
            <a:rPr lang="en-US" sz="1100" i="1" baseline="0">
              <a:latin typeface="Aptos" panose="020B0004020202020204" pitchFamily="34" charset="0"/>
            </a:rPr>
            <a:t>OK</a:t>
          </a:r>
          <a:r>
            <a:rPr lang="en-US" sz="1100" baseline="0">
              <a:latin typeface="Aptos" panose="020B0004020202020204" pitchFamily="34" charset="0"/>
            </a:rPr>
            <a:t>', </a:t>
          </a:r>
          <a:r>
            <a:rPr lang="en-US" sz="1100" i="1" baseline="0">
              <a:latin typeface="Aptos" panose="020B0004020202020204" pitchFamily="34" charset="0"/>
            </a:rPr>
            <a:t>'Low Stock</a:t>
          </a:r>
          <a:r>
            <a:rPr lang="en-US" sz="1100" baseline="0">
              <a:latin typeface="Aptos" panose="020B0004020202020204" pitchFamily="34" charset="0"/>
            </a:rPr>
            <a:t>' or </a:t>
          </a:r>
          <a:r>
            <a:rPr lang="en-US" sz="1100" i="1" baseline="0">
              <a:latin typeface="Aptos" panose="020B0004020202020204" pitchFamily="34" charset="0"/>
            </a:rPr>
            <a:t>'Order Now</a:t>
          </a:r>
          <a:r>
            <a:rPr lang="en-US" sz="1100" baseline="0">
              <a:latin typeface="Aptos" panose="020B0004020202020204" pitchFamily="34" charset="0"/>
            </a:rPr>
            <a:t>'. </a:t>
          </a:r>
        </a:p>
        <a:p>
          <a:endParaRPr lang="en-US" sz="1100" baseline="0">
            <a:latin typeface="Aptos" panose="020B0004020202020204" pitchFamily="34" charset="0"/>
          </a:endParaRPr>
        </a:p>
        <a:p>
          <a:r>
            <a:rPr lang="en-US" sz="1100" baseline="0">
              <a:latin typeface="Aptos" panose="020B0004020202020204" pitchFamily="34" charset="0"/>
            </a:rPr>
            <a:t>- Ensure that the inventory is dynamic so that new products added to the bottom are included in the results. </a:t>
          </a:r>
        </a:p>
        <a:p>
          <a:endParaRPr lang="en-US" sz="1100" baseline="0">
            <a:latin typeface="Aptos" panose="020B0004020202020204" pitchFamily="34" charset="0"/>
          </a:endParaRPr>
        </a:p>
        <a:p>
          <a:r>
            <a:rPr lang="en-US" sz="1100" baseline="0">
              <a:latin typeface="Aptos" panose="020B0004020202020204" pitchFamily="34" charset="0"/>
            </a:rPr>
            <a:t>- In cell </a:t>
          </a:r>
          <a:r>
            <a:rPr lang="en-US" sz="1100" b="1" baseline="0">
              <a:latin typeface="Aptos" panose="020B0004020202020204" pitchFamily="34" charset="0"/>
            </a:rPr>
            <a:t>B10</a:t>
          </a:r>
          <a:r>
            <a:rPr lang="en-US" sz="1100" baseline="0">
              <a:latin typeface="Aptos" panose="020B0004020202020204" pitchFamily="34" charset="0"/>
            </a:rPr>
            <a:t>, add a formula that filters the stock inventory list depending on what's been selected in the filter above. </a:t>
          </a:r>
        </a:p>
        <a:p>
          <a:endParaRPr lang="en-US" sz="1100" baseline="0">
            <a:latin typeface="Aptos" panose="020B0004020202020204" pitchFamily="34" charset="0"/>
          </a:endParaRPr>
        </a:p>
        <a:p>
          <a:r>
            <a:rPr lang="en-US" sz="1100" baseline="0">
              <a:latin typeface="Aptos" panose="020B0004020202020204" pitchFamily="34" charset="0"/>
            </a:rPr>
            <a:t>- Add a new product to the bottom of the table and check it's returned in the filtered list. </a:t>
          </a:r>
          <a:endParaRPr lang="en-US" sz="1100">
            <a:latin typeface="Aptos" panose="020B00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59C0A3-8C05-4945-8B37-D086E3B84EE3}" name="Table1" displayName="Table1" ref="H3:L55" totalsRowShown="0" headerRowDxfId="0" dataDxfId="1" tableBorderDxfId="7">
  <autoFilter ref="H3:L55" xr:uid="{A059C0A3-8C05-4945-8B37-D086E3B84EE3}"/>
  <tableColumns count="5">
    <tableColumn id="1" xr3:uid="{E75EC510-48AD-40D6-86D4-05C74B31FC9F}" name="Product" dataDxfId="6"/>
    <tableColumn id="2" xr3:uid="{30627F9D-8B3D-41F4-9906-9392E14A04A2}" name="Stock" dataDxfId="5"/>
    <tableColumn id="3" xr3:uid="{4186BDFB-BBB4-4192-B73B-B86DA90DBF4C}" name="Ordered" dataDxfId="4"/>
    <tableColumn id="4" xr3:uid="{8A47A041-E449-4ED7-9377-23E7CCF02A72}" name="Left" dataDxfId="3">
      <calculatedColumnFormula>SUM(I4-J4)</calculatedColumnFormula>
    </tableColumn>
    <tableColumn id="5" xr3:uid="{9CDC488B-B94D-4BD1-8BD0-3F1FA5CCD048}" name="Status" dataDxfId="2">
      <calculatedColumnFormula array="1">_xlfn.IFS(K4&lt;=10,$D$6,K4&lt;=40,$D$5,K4&lt;=100,$D$4)</calculatedColumnFormula>
    </tableColumn>
  </tableColumns>
  <tableStyleInfo name="TableStyleMedium1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B689-D1C1-4EE1-84BC-E9893EBCC8CF}">
  <dimension ref="A1:L55"/>
  <sheetViews>
    <sheetView tabSelected="1" zoomScaleNormal="100" workbookViewId="0">
      <selection activeCell="N26" sqref="N26"/>
    </sheetView>
  </sheetViews>
  <sheetFormatPr defaultRowHeight="15" x14ac:dyDescent="0.25"/>
  <cols>
    <col min="1" max="1" width="4.75" customWidth="1"/>
    <col min="2" max="3" width="12.375" customWidth="1"/>
    <col min="4" max="4" width="15.875" customWidth="1"/>
    <col min="5" max="5" width="11.25" customWidth="1"/>
    <col min="6" max="6" width="6.125" customWidth="1"/>
    <col min="7" max="7" width="5.625" customWidth="1"/>
    <col min="8" max="8" width="13.625" customWidth="1"/>
    <col min="9" max="9" width="9.875" customWidth="1"/>
    <col min="10" max="10" width="12.25" customWidth="1"/>
    <col min="11" max="11" width="11.375" customWidth="1"/>
    <col min="12" max="12" width="12" customWidth="1"/>
    <col min="13" max="13" width="7.5" customWidth="1"/>
  </cols>
  <sheetData>
    <row r="1" spans="1:12" s="5" customFormat="1" ht="33.6" customHeight="1" x14ac:dyDescent="0.25">
      <c r="A1" s="5" t="s">
        <v>58</v>
      </c>
    </row>
    <row r="3" spans="1:12" x14ac:dyDescent="0.25">
      <c r="H3" s="8" t="s">
        <v>4</v>
      </c>
      <c r="I3" s="8" t="s">
        <v>5</v>
      </c>
      <c r="J3" s="8" t="s">
        <v>6</v>
      </c>
      <c r="K3" s="8" t="s">
        <v>7</v>
      </c>
      <c r="L3" s="8" t="s">
        <v>60</v>
      </c>
    </row>
    <row r="4" spans="1:12" x14ac:dyDescent="0.25">
      <c r="B4" s="4" t="s">
        <v>0</v>
      </c>
      <c r="D4" s="2" t="s">
        <v>1</v>
      </c>
      <c r="E4" s="3">
        <v>100</v>
      </c>
      <c r="H4" s="7" t="s">
        <v>8</v>
      </c>
      <c r="I4" s="7">
        <v>80</v>
      </c>
      <c r="J4" s="7">
        <v>76</v>
      </c>
      <c r="K4" s="7">
        <f>SUM(I4-J4)</f>
        <v>4</v>
      </c>
      <c r="L4" s="7" t="str" cm="1">
        <f t="array" ref="L4">_xlfn.IFS(K4&lt;=10,$D$6,K4&lt;=40,$D$5,K4&lt;=100,$D$4)</f>
        <v>Order Now</v>
      </c>
    </row>
    <row r="5" spans="1:12" x14ac:dyDescent="0.25">
      <c r="B5" s="3" t="s">
        <v>2</v>
      </c>
      <c r="D5" s="2" t="s">
        <v>2</v>
      </c>
      <c r="E5" s="3">
        <v>40</v>
      </c>
      <c r="H5" s="7" t="s">
        <v>9</v>
      </c>
      <c r="I5" s="7">
        <v>61</v>
      </c>
      <c r="J5" s="7">
        <v>45</v>
      </c>
      <c r="K5" s="7">
        <f t="shared" ref="K5:K53" si="0">SUM(I5-J5)</f>
        <v>16</v>
      </c>
      <c r="L5" s="7" t="str" cm="1">
        <f t="array" ref="L5">_xlfn.IFS(K5&lt;=10,$D$6,K5&lt;=40,$D$5,K5&lt;=100,$D$4)</f>
        <v>Low Stock</v>
      </c>
    </row>
    <row r="6" spans="1:12" x14ac:dyDescent="0.25">
      <c r="D6" s="2" t="s">
        <v>3</v>
      </c>
      <c r="E6" s="3">
        <v>10</v>
      </c>
      <c r="H6" s="7" t="s">
        <v>10</v>
      </c>
      <c r="I6" s="7">
        <v>56</v>
      </c>
      <c r="J6" s="7">
        <v>38</v>
      </c>
      <c r="K6" s="7">
        <f t="shared" si="0"/>
        <v>18</v>
      </c>
      <c r="L6" s="7" t="str" cm="1">
        <f t="array" ref="L6">_xlfn.IFS(K6&lt;=10,$D$6,K6&lt;=40,$D$5,K6&lt;=100,$D$4)</f>
        <v>Low Stock</v>
      </c>
    </row>
    <row r="7" spans="1:12" x14ac:dyDescent="0.25">
      <c r="H7" s="7" t="s">
        <v>11</v>
      </c>
      <c r="I7" s="7">
        <v>79</v>
      </c>
      <c r="J7" s="7">
        <v>15</v>
      </c>
      <c r="K7" s="7">
        <f t="shared" si="0"/>
        <v>64</v>
      </c>
      <c r="L7" s="7" t="str" cm="1">
        <f t="array" ref="L7">_xlfn.IFS(K7&lt;=10,$D$6,K7&lt;=40,$D$5,K7&lt;=100,$D$4)</f>
        <v>OK</v>
      </c>
    </row>
    <row r="8" spans="1:12" x14ac:dyDescent="0.25">
      <c r="H8" s="7" t="s">
        <v>12</v>
      </c>
      <c r="I8" s="7">
        <v>64</v>
      </c>
      <c r="J8" s="7">
        <v>37</v>
      </c>
      <c r="K8" s="7">
        <f t="shared" si="0"/>
        <v>27</v>
      </c>
      <c r="L8" s="7" t="str" cm="1">
        <f t="array" ref="L8">_xlfn.IFS(K8&lt;=10,$D$6,K8&lt;=40,$D$5,K8&lt;=100,$D$4)</f>
        <v>Low Stock</v>
      </c>
    </row>
    <row r="9" spans="1:12" x14ac:dyDescent="0.25">
      <c r="B9" s="1" t="s">
        <v>4</v>
      </c>
      <c r="C9" s="1" t="s">
        <v>5</v>
      </c>
      <c r="D9" s="1" t="s">
        <v>6</v>
      </c>
      <c r="E9" s="1" t="s">
        <v>7</v>
      </c>
      <c r="H9" s="7" t="s">
        <v>13</v>
      </c>
      <c r="I9" s="7">
        <v>92</v>
      </c>
      <c r="J9" s="7">
        <v>42</v>
      </c>
      <c r="K9" s="7">
        <f t="shared" si="0"/>
        <v>50</v>
      </c>
      <c r="L9" s="7" t="str" cm="1">
        <f t="array" ref="L9">_xlfn.IFS(K9&lt;=10,$D$6,K9&lt;=40,$D$5,K9&lt;=100,$D$4)</f>
        <v>OK</v>
      </c>
    </row>
    <row r="10" spans="1:12" x14ac:dyDescent="0.25">
      <c r="B10" t="str" cm="1">
        <f t="array" ref="B10:E26">_xlfn._xlws.FILTER(Table1[[Product]:[Left]],Table1[Status]=$B$5)</f>
        <v>Product 2</v>
      </c>
      <c r="C10">
        <v>61</v>
      </c>
      <c r="D10">
        <v>45</v>
      </c>
      <c r="E10">
        <v>16</v>
      </c>
      <c r="H10" s="7" t="s">
        <v>14</v>
      </c>
      <c r="I10" s="7">
        <v>59</v>
      </c>
      <c r="J10" s="7">
        <v>50</v>
      </c>
      <c r="K10" s="7">
        <f t="shared" si="0"/>
        <v>9</v>
      </c>
      <c r="L10" s="7" t="str" cm="1">
        <f t="array" ref="L10">_xlfn.IFS(K10&lt;=10,$D$6,K10&lt;=40,$D$5,K10&lt;=100,$D$4)</f>
        <v>Order Now</v>
      </c>
    </row>
    <row r="11" spans="1:12" x14ac:dyDescent="0.25">
      <c r="B11" t="str">
        <v>Product 3</v>
      </c>
      <c r="C11">
        <v>56</v>
      </c>
      <c r="D11">
        <v>38</v>
      </c>
      <c r="E11">
        <v>18</v>
      </c>
      <c r="H11" s="7" t="s">
        <v>15</v>
      </c>
      <c r="I11" s="7">
        <v>100</v>
      </c>
      <c r="J11" s="7">
        <v>13</v>
      </c>
      <c r="K11" s="7">
        <f t="shared" si="0"/>
        <v>87</v>
      </c>
      <c r="L11" s="7" t="str" cm="1">
        <f t="array" ref="L11">_xlfn.IFS(K11&lt;=10,$D$6,K11&lt;=40,$D$5,K11&lt;=100,$D$4)</f>
        <v>OK</v>
      </c>
    </row>
    <row r="12" spans="1:12" x14ac:dyDescent="0.25">
      <c r="B12" t="str">
        <v>Product 5</v>
      </c>
      <c r="C12">
        <v>64</v>
      </c>
      <c r="D12">
        <v>37</v>
      </c>
      <c r="E12">
        <v>27</v>
      </c>
      <c r="H12" s="7" t="s">
        <v>16</v>
      </c>
      <c r="I12" s="7">
        <v>81</v>
      </c>
      <c r="J12" s="7">
        <v>77</v>
      </c>
      <c r="K12" s="7">
        <f t="shared" si="0"/>
        <v>4</v>
      </c>
      <c r="L12" s="7" t="str" cm="1">
        <f t="array" ref="L12">_xlfn.IFS(K12&lt;=10,$D$6,K12&lt;=40,$D$5,K12&lt;=100,$D$4)</f>
        <v>Order Now</v>
      </c>
    </row>
    <row r="13" spans="1:12" x14ac:dyDescent="0.25">
      <c r="B13" t="str">
        <v>Product 11</v>
      </c>
      <c r="C13">
        <v>63</v>
      </c>
      <c r="D13">
        <v>43</v>
      </c>
      <c r="E13">
        <v>20</v>
      </c>
      <c r="H13" s="7" t="s">
        <v>17</v>
      </c>
      <c r="I13" s="7">
        <v>68</v>
      </c>
      <c r="J13" s="7">
        <v>27</v>
      </c>
      <c r="K13" s="7">
        <f t="shared" si="0"/>
        <v>41</v>
      </c>
      <c r="L13" s="7" t="str" cm="1">
        <f t="array" ref="L13">_xlfn.IFS(K13&lt;=10,$D$6,K13&lt;=40,$D$5,K13&lt;=100,$D$4)</f>
        <v>OK</v>
      </c>
    </row>
    <row r="14" spans="1:12" x14ac:dyDescent="0.25">
      <c r="B14" t="str">
        <v>Product 12</v>
      </c>
      <c r="C14">
        <v>67</v>
      </c>
      <c r="D14">
        <v>33</v>
      </c>
      <c r="E14">
        <v>34</v>
      </c>
      <c r="H14" s="7" t="s">
        <v>18</v>
      </c>
      <c r="I14" s="7">
        <v>63</v>
      </c>
      <c r="J14" s="7">
        <v>43</v>
      </c>
      <c r="K14" s="7">
        <f t="shared" si="0"/>
        <v>20</v>
      </c>
      <c r="L14" s="7" t="str" cm="1">
        <f t="array" ref="L14">_xlfn.IFS(K14&lt;=10,$D$6,K14&lt;=40,$D$5,K14&lt;=100,$D$4)</f>
        <v>Low Stock</v>
      </c>
    </row>
    <row r="15" spans="1:12" x14ac:dyDescent="0.25">
      <c r="B15" t="str">
        <v>Product 14</v>
      </c>
      <c r="C15">
        <v>59</v>
      </c>
      <c r="D15">
        <v>37</v>
      </c>
      <c r="E15">
        <v>22</v>
      </c>
      <c r="H15" s="7" t="s">
        <v>19</v>
      </c>
      <c r="I15" s="7">
        <v>67</v>
      </c>
      <c r="J15" s="7">
        <v>33</v>
      </c>
      <c r="K15" s="7">
        <f t="shared" si="0"/>
        <v>34</v>
      </c>
      <c r="L15" s="7" t="str" cm="1">
        <f t="array" ref="L15">_xlfn.IFS(K15&lt;=10,$D$6,K15&lt;=40,$D$5,K15&lt;=100,$D$4)</f>
        <v>Low Stock</v>
      </c>
    </row>
    <row r="16" spans="1:12" x14ac:dyDescent="0.25">
      <c r="B16" t="str">
        <v>Product 20</v>
      </c>
      <c r="C16">
        <v>58</v>
      </c>
      <c r="D16">
        <v>36</v>
      </c>
      <c r="E16">
        <v>22</v>
      </c>
      <c r="H16" s="7" t="s">
        <v>20</v>
      </c>
      <c r="I16" s="7">
        <v>93</v>
      </c>
      <c r="J16" s="7">
        <v>50</v>
      </c>
      <c r="K16" s="7">
        <f t="shared" si="0"/>
        <v>43</v>
      </c>
      <c r="L16" s="7" t="str" cm="1">
        <f t="array" ref="L16">_xlfn.IFS(K16&lt;=10,$D$6,K16&lt;=40,$D$5,K16&lt;=100,$D$4)</f>
        <v>OK</v>
      </c>
    </row>
    <row r="17" spans="2:12" x14ac:dyDescent="0.25">
      <c r="B17" t="str">
        <v>Product 21</v>
      </c>
      <c r="C17">
        <v>51</v>
      </c>
      <c r="D17">
        <v>28</v>
      </c>
      <c r="E17">
        <v>23</v>
      </c>
      <c r="H17" s="7" t="s">
        <v>21</v>
      </c>
      <c r="I17" s="7">
        <v>59</v>
      </c>
      <c r="J17" s="7">
        <v>37</v>
      </c>
      <c r="K17" s="7">
        <f t="shared" si="0"/>
        <v>22</v>
      </c>
      <c r="L17" s="7" t="str" cm="1">
        <f t="array" ref="L17">_xlfn.IFS(K17&lt;=10,$D$6,K17&lt;=40,$D$5,K17&lt;=100,$D$4)</f>
        <v>Low Stock</v>
      </c>
    </row>
    <row r="18" spans="2:12" x14ac:dyDescent="0.25">
      <c r="B18" t="str">
        <v>Product 24</v>
      </c>
      <c r="C18">
        <v>59</v>
      </c>
      <c r="D18">
        <v>21</v>
      </c>
      <c r="E18">
        <v>38</v>
      </c>
      <c r="H18" s="7" t="s">
        <v>22</v>
      </c>
      <c r="I18" s="7">
        <v>74</v>
      </c>
      <c r="J18" s="7">
        <v>29</v>
      </c>
      <c r="K18" s="7">
        <f t="shared" si="0"/>
        <v>45</v>
      </c>
      <c r="L18" s="7" t="str" cm="1">
        <f t="array" ref="L18">_xlfn.IFS(K18&lt;=10,$D$6,K18&lt;=40,$D$5,K18&lt;=100,$D$4)</f>
        <v>OK</v>
      </c>
    </row>
    <row r="19" spans="2:12" x14ac:dyDescent="0.25">
      <c r="B19" t="str">
        <v>Product 29</v>
      </c>
      <c r="C19">
        <v>83</v>
      </c>
      <c r="D19">
        <v>43</v>
      </c>
      <c r="E19">
        <v>40</v>
      </c>
      <c r="H19" s="7" t="s">
        <v>23</v>
      </c>
      <c r="I19" s="7">
        <v>91</v>
      </c>
      <c r="J19" s="7">
        <v>32</v>
      </c>
      <c r="K19" s="7">
        <f t="shared" si="0"/>
        <v>59</v>
      </c>
      <c r="L19" s="7" t="str" cm="1">
        <f t="array" ref="L19">_xlfn.IFS(K19&lt;=10,$D$6,K19&lt;=40,$D$5,K19&lt;=100,$D$4)</f>
        <v>OK</v>
      </c>
    </row>
    <row r="20" spans="2:12" x14ac:dyDescent="0.25">
      <c r="B20" t="str">
        <v>Product 31</v>
      </c>
      <c r="C20">
        <v>68</v>
      </c>
      <c r="D20">
        <v>36</v>
      </c>
      <c r="E20">
        <v>32</v>
      </c>
      <c r="H20" s="7" t="s">
        <v>24</v>
      </c>
      <c r="I20" s="7">
        <v>95</v>
      </c>
      <c r="J20" s="7">
        <v>21</v>
      </c>
      <c r="K20" s="7">
        <f t="shared" si="0"/>
        <v>74</v>
      </c>
      <c r="L20" s="7" t="str" cm="1">
        <f t="array" ref="L20">_xlfn.IFS(K20&lt;=10,$D$6,K20&lt;=40,$D$5,K20&lt;=100,$D$4)</f>
        <v>OK</v>
      </c>
    </row>
    <row r="21" spans="2:12" x14ac:dyDescent="0.25">
      <c r="B21" t="str">
        <v>Product 32</v>
      </c>
      <c r="C21">
        <v>75</v>
      </c>
      <c r="D21">
        <v>50</v>
      </c>
      <c r="E21">
        <v>25</v>
      </c>
      <c r="H21" s="7" t="s">
        <v>25</v>
      </c>
      <c r="I21" s="7">
        <v>87</v>
      </c>
      <c r="J21" s="7">
        <v>34</v>
      </c>
      <c r="K21" s="7">
        <f t="shared" si="0"/>
        <v>53</v>
      </c>
      <c r="L21" s="7" t="str" cm="1">
        <f t="array" ref="L21">_xlfn.IFS(K21&lt;=10,$D$6,K21&lt;=40,$D$5,K21&lt;=100,$D$4)</f>
        <v>OK</v>
      </c>
    </row>
    <row r="22" spans="2:12" x14ac:dyDescent="0.25">
      <c r="B22" t="str">
        <v>Product 36</v>
      </c>
      <c r="C22">
        <v>67</v>
      </c>
      <c r="D22">
        <v>41</v>
      </c>
      <c r="E22">
        <v>26</v>
      </c>
      <c r="H22" s="7" t="s">
        <v>26</v>
      </c>
      <c r="I22" s="7">
        <v>90</v>
      </c>
      <c r="J22" s="7">
        <v>20</v>
      </c>
      <c r="K22" s="7">
        <f t="shared" si="0"/>
        <v>70</v>
      </c>
      <c r="L22" s="7" t="str" cm="1">
        <f t="array" ref="L22">_xlfn.IFS(K22&lt;=10,$D$6,K22&lt;=40,$D$5,K22&lt;=100,$D$4)</f>
        <v>OK</v>
      </c>
    </row>
    <row r="23" spans="2:12" x14ac:dyDescent="0.25">
      <c r="B23" t="str">
        <v>Product 38</v>
      </c>
      <c r="C23">
        <v>57</v>
      </c>
      <c r="D23">
        <v>35</v>
      </c>
      <c r="E23">
        <v>22</v>
      </c>
      <c r="H23" s="7" t="s">
        <v>27</v>
      </c>
      <c r="I23" s="7">
        <v>58</v>
      </c>
      <c r="J23" s="7">
        <v>36</v>
      </c>
      <c r="K23" s="7">
        <f t="shared" si="0"/>
        <v>22</v>
      </c>
      <c r="L23" s="7" t="str" cm="1">
        <f t="array" ref="L23">_xlfn.IFS(K23&lt;=10,$D$6,K23&lt;=40,$D$5,K23&lt;=100,$D$4)</f>
        <v>Low Stock</v>
      </c>
    </row>
    <row r="24" spans="2:12" x14ac:dyDescent="0.25">
      <c r="B24" t="str">
        <v>Product 40</v>
      </c>
      <c r="C24">
        <v>70</v>
      </c>
      <c r="D24">
        <v>46</v>
      </c>
      <c r="E24">
        <v>24</v>
      </c>
      <c r="H24" s="7" t="s">
        <v>28</v>
      </c>
      <c r="I24" s="7">
        <v>51</v>
      </c>
      <c r="J24" s="7">
        <v>28</v>
      </c>
      <c r="K24" s="7">
        <f t="shared" si="0"/>
        <v>23</v>
      </c>
      <c r="L24" s="7" t="str" cm="1">
        <f t="array" ref="L24">_xlfn.IFS(K24&lt;=10,$D$6,K24&lt;=40,$D$5,K24&lt;=100,$D$4)</f>
        <v>Low Stock</v>
      </c>
    </row>
    <row r="25" spans="2:12" x14ac:dyDescent="0.25">
      <c r="B25" t="str">
        <v>Product 42</v>
      </c>
      <c r="C25">
        <v>71</v>
      </c>
      <c r="D25">
        <v>41</v>
      </c>
      <c r="E25">
        <v>30</v>
      </c>
      <c r="H25" s="7" t="s">
        <v>29</v>
      </c>
      <c r="I25" s="7">
        <v>81</v>
      </c>
      <c r="J25" s="7">
        <v>18</v>
      </c>
      <c r="K25" s="7">
        <f t="shared" si="0"/>
        <v>63</v>
      </c>
      <c r="L25" s="7" t="str" cm="1">
        <f t="array" ref="L25">_xlfn.IFS(K25&lt;=10,$D$6,K25&lt;=40,$D$5,K25&lt;=100,$D$4)</f>
        <v>OK</v>
      </c>
    </row>
    <row r="26" spans="2:12" x14ac:dyDescent="0.25">
      <c r="B26" t="str">
        <v>Product 52</v>
      </c>
      <c r="C26">
        <v>80</v>
      </c>
      <c r="D26">
        <v>40</v>
      </c>
      <c r="E26">
        <v>40</v>
      </c>
      <c r="H26" s="7" t="s">
        <v>30</v>
      </c>
      <c r="I26" s="7">
        <v>86</v>
      </c>
      <c r="J26" s="7">
        <v>42</v>
      </c>
      <c r="K26" s="7">
        <f t="shared" si="0"/>
        <v>44</v>
      </c>
      <c r="L26" s="7" t="str" cm="1">
        <f t="array" ref="L26">_xlfn.IFS(K26&lt;=10,$D$6,K26&lt;=40,$D$5,K26&lt;=100,$D$4)</f>
        <v>OK</v>
      </c>
    </row>
    <row r="27" spans="2:12" x14ac:dyDescent="0.25">
      <c r="H27" s="7" t="s">
        <v>31</v>
      </c>
      <c r="I27" s="7">
        <v>59</v>
      </c>
      <c r="J27" s="7">
        <v>21</v>
      </c>
      <c r="K27" s="7">
        <f t="shared" si="0"/>
        <v>38</v>
      </c>
      <c r="L27" s="7" t="str" cm="1">
        <f t="array" ref="L27">_xlfn.IFS(K27&lt;=10,$D$6,K27&lt;=40,$D$5,K27&lt;=100,$D$4)</f>
        <v>Low Stock</v>
      </c>
    </row>
    <row r="28" spans="2:12" x14ac:dyDescent="0.25">
      <c r="H28" s="7" t="s">
        <v>32</v>
      </c>
      <c r="I28" s="7">
        <v>84</v>
      </c>
      <c r="J28" s="7">
        <v>21</v>
      </c>
      <c r="K28" s="7">
        <f t="shared" si="0"/>
        <v>63</v>
      </c>
      <c r="L28" s="7" t="str" cm="1">
        <f t="array" ref="L28">_xlfn.IFS(K28&lt;=10,$D$6,K28&lt;=40,$D$5,K28&lt;=100,$D$4)</f>
        <v>OK</v>
      </c>
    </row>
    <row r="29" spans="2:12" x14ac:dyDescent="0.25">
      <c r="H29" s="7" t="s">
        <v>33</v>
      </c>
      <c r="I29" s="7">
        <v>90</v>
      </c>
      <c r="J29" s="7">
        <v>10</v>
      </c>
      <c r="K29" s="7">
        <f t="shared" si="0"/>
        <v>80</v>
      </c>
      <c r="L29" s="7" t="str" cm="1">
        <f t="array" ref="L29">_xlfn.IFS(K29&lt;=10,$D$6,K29&lt;=40,$D$5,K29&lt;=100,$D$4)</f>
        <v>OK</v>
      </c>
    </row>
    <row r="30" spans="2:12" x14ac:dyDescent="0.25">
      <c r="H30" s="7" t="s">
        <v>34</v>
      </c>
      <c r="I30" s="7">
        <v>90</v>
      </c>
      <c r="J30" s="7">
        <v>28</v>
      </c>
      <c r="K30" s="7">
        <f t="shared" si="0"/>
        <v>62</v>
      </c>
      <c r="L30" s="7" t="str" cm="1">
        <f t="array" ref="L30">_xlfn.IFS(K30&lt;=10,$D$6,K30&lt;=40,$D$5,K30&lt;=100,$D$4)</f>
        <v>OK</v>
      </c>
    </row>
    <row r="31" spans="2:12" x14ac:dyDescent="0.25">
      <c r="H31" s="7" t="s">
        <v>35</v>
      </c>
      <c r="I31" s="7">
        <v>100</v>
      </c>
      <c r="J31" s="7">
        <v>26</v>
      </c>
      <c r="K31" s="7">
        <f t="shared" si="0"/>
        <v>74</v>
      </c>
      <c r="L31" s="7" t="str" cm="1">
        <f t="array" ref="L31">_xlfn.IFS(K31&lt;=10,$D$6,K31&lt;=40,$D$5,K31&lt;=100,$D$4)</f>
        <v>OK</v>
      </c>
    </row>
    <row r="32" spans="2:12" x14ac:dyDescent="0.25">
      <c r="H32" s="7" t="s">
        <v>36</v>
      </c>
      <c r="I32" s="7">
        <v>83</v>
      </c>
      <c r="J32" s="7">
        <v>43</v>
      </c>
      <c r="K32" s="7">
        <f t="shared" si="0"/>
        <v>40</v>
      </c>
      <c r="L32" s="7" t="str" cm="1">
        <f t="array" ref="L32">_xlfn.IFS(K32&lt;=10,$D$6,K32&lt;=40,$D$5,K32&lt;=100,$D$4)</f>
        <v>Low Stock</v>
      </c>
    </row>
    <row r="33" spans="8:12" x14ac:dyDescent="0.25">
      <c r="H33" s="7" t="s">
        <v>37</v>
      </c>
      <c r="I33" s="7">
        <v>83</v>
      </c>
      <c r="J33" s="7">
        <v>35</v>
      </c>
      <c r="K33" s="7">
        <f t="shared" si="0"/>
        <v>48</v>
      </c>
      <c r="L33" s="7" t="str" cm="1">
        <f t="array" ref="L33">_xlfn.IFS(K33&lt;=10,$D$6,K33&lt;=40,$D$5,K33&lt;=100,$D$4)</f>
        <v>OK</v>
      </c>
    </row>
    <row r="34" spans="8:12" x14ac:dyDescent="0.25">
      <c r="H34" s="7" t="s">
        <v>38</v>
      </c>
      <c r="I34" s="7">
        <v>68</v>
      </c>
      <c r="J34" s="7">
        <v>36</v>
      </c>
      <c r="K34" s="7">
        <f t="shared" si="0"/>
        <v>32</v>
      </c>
      <c r="L34" s="7" t="str" cm="1">
        <f t="array" ref="L34">_xlfn.IFS(K34&lt;=10,$D$6,K34&lt;=40,$D$5,K34&lt;=100,$D$4)</f>
        <v>Low Stock</v>
      </c>
    </row>
    <row r="35" spans="8:12" x14ac:dyDescent="0.25">
      <c r="H35" s="7" t="s">
        <v>39</v>
      </c>
      <c r="I35" s="7">
        <v>75</v>
      </c>
      <c r="J35" s="7">
        <v>50</v>
      </c>
      <c r="K35" s="7">
        <f t="shared" si="0"/>
        <v>25</v>
      </c>
      <c r="L35" s="7" t="str" cm="1">
        <f t="array" ref="L35">_xlfn.IFS(K35&lt;=10,$D$6,K35&lt;=40,$D$5,K35&lt;=100,$D$4)</f>
        <v>Low Stock</v>
      </c>
    </row>
    <row r="36" spans="8:12" x14ac:dyDescent="0.25">
      <c r="H36" s="7" t="s">
        <v>40</v>
      </c>
      <c r="I36" s="7">
        <v>100</v>
      </c>
      <c r="J36" s="7">
        <v>50</v>
      </c>
      <c r="K36" s="7">
        <f t="shared" si="0"/>
        <v>50</v>
      </c>
      <c r="L36" s="7" t="str" cm="1">
        <f t="array" ref="L36">_xlfn.IFS(K36&lt;=10,$D$6,K36&lt;=40,$D$5,K36&lt;=100,$D$4)</f>
        <v>OK</v>
      </c>
    </row>
    <row r="37" spans="8:12" x14ac:dyDescent="0.25">
      <c r="H37" s="7" t="s">
        <v>41</v>
      </c>
      <c r="I37" s="7">
        <v>80</v>
      </c>
      <c r="J37" s="7">
        <v>75</v>
      </c>
      <c r="K37" s="7">
        <f t="shared" si="0"/>
        <v>5</v>
      </c>
      <c r="L37" s="7" t="str" cm="1">
        <f t="array" ref="L37">_xlfn.IFS(K37&lt;=10,$D$6,K37&lt;=40,$D$5,K37&lt;=100,$D$4)</f>
        <v>Order Now</v>
      </c>
    </row>
    <row r="38" spans="8:12" x14ac:dyDescent="0.25">
      <c r="H38" s="7" t="s">
        <v>42</v>
      </c>
      <c r="I38" s="7">
        <v>89</v>
      </c>
      <c r="J38" s="7">
        <v>38</v>
      </c>
      <c r="K38" s="7">
        <f t="shared" si="0"/>
        <v>51</v>
      </c>
      <c r="L38" s="7" t="str" cm="1">
        <f t="array" ref="L38">_xlfn.IFS(K38&lt;=10,$D$6,K38&lt;=40,$D$5,K38&lt;=100,$D$4)</f>
        <v>OK</v>
      </c>
    </row>
    <row r="39" spans="8:12" x14ac:dyDescent="0.25">
      <c r="H39" s="7" t="s">
        <v>43</v>
      </c>
      <c r="I39" s="7">
        <v>67</v>
      </c>
      <c r="J39" s="7">
        <v>41</v>
      </c>
      <c r="K39" s="7">
        <f t="shared" si="0"/>
        <v>26</v>
      </c>
      <c r="L39" s="7" t="str" cm="1">
        <f t="array" ref="L39">_xlfn.IFS(K39&lt;=10,$D$6,K39&lt;=40,$D$5,K39&lt;=100,$D$4)</f>
        <v>Low Stock</v>
      </c>
    </row>
    <row r="40" spans="8:12" x14ac:dyDescent="0.25">
      <c r="H40" s="7" t="s">
        <v>44</v>
      </c>
      <c r="I40" s="7">
        <v>97</v>
      </c>
      <c r="J40" s="7">
        <v>49</v>
      </c>
      <c r="K40" s="7">
        <f t="shared" si="0"/>
        <v>48</v>
      </c>
      <c r="L40" s="7" t="str" cm="1">
        <f t="array" ref="L40">_xlfn.IFS(K40&lt;=10,$D$6,K40&lt;=40,$D$5,K40&lt;=100,$D$4)</f>
        <v>OK</v>
      </c>
    </row>
    <row r="41" spans="8:12" x14ac:dyDescent="0.25">
      <c r="H41" s="7" t="s">
        <v>45</v>
      </c>
      <c r="I41" s="7">
        <v>57</v>
      </c>
      <c r="J41" s="7">
        <v>35</v>
      </c>
      <c r="K41" s="7">
        <f t="shared" si="0"/>
        <v>22</v>
      </c>
      <c r="L41" s="7" t="str" cm="1">
        <f t="array" ref="L41">_xlfn.IFS(K41&lt;=10,$D$6,K41&lt;=40,$D$5,K41&lt;=100,$D$4)</f>
        <v>Low Stock</v>
      </c>
    </row>
    <row r="42" spans="8:12" x14ac:dyDescent="0.25">
      <c r="H42" s="7" t="s">
        <v>46</v>
      </c>
      <c r="I42" s="7">
        <v>53</v>
      </c>
      <c r="J42" s="7">
        <v>49</v>
      </c>
      <c r="K42" s="7">
        <f t="shared" si="0"/>
        <v>4</v>
      </c>
      <c r="L42" s="7" t="str" cm="1">
        <f t="array" ref="L42">_xlfn.IFS(K42&lt;=10,$D$6,K42&lt;=40,$D$5,K42&lt;=100,$D$4)</f>
        <v>Order Now</v>
      </c>
    </row>
    <row r="43" spans="8:12" x14ac:dyDescent="0.25">
      <c r="H43" s="7" t="s">
        <v>47</v>
      </c>
      <c r="I43" s="7">
        <v>70</v>
      </c>
      <c r="J43" s="7">
        <v>46</v>
      </c>
      <c r="K43" s="7">
        <f t="shared" si="0"/>
        <v>24</v>
      </c>
      <c r="L43" s="7" t="str" cm="1">
        <f t="array" ref="L43">_xlfn.IFS(K43&lt;=10,$D$6,K43&lt;=40,$D$5,K43&lt;=100,$D$4)</f>
        <v>Low Stock</v>
      </c>
    </row>
    <row r="44" spans="8:12" x14ac:dyDescent="0.25">
      <c r="H44" s="7" t="s">
        <v>48</v>
      </c>
      <c r="I44" s="7">
        <v>89</v>
      </c>
      <c r="J44" s="7">
        <v>47</v>
      </c>
      <c r="K44" s="7">
        <f t="shared" si="0"/>
        <v>42</v>
      </c>
      <c r="L44" s="7" t="str" cm="1">
        <f t="array" ref="L44">_xlfn.IFS(K44&lt;=10,$D$6,K44&lt;=40,$D$5,K44&lt;=100,$D$4)</f>
        <v>OK</v>
      </c>
    </row>
    <row r="45" spans="8:12" x14ac:dyDescent="0.25">
      <c r="H45" s="7" t="s">
        <v>49</v>
      </c>
      <c r="I45" s="7">
        <v>71</v>
      </c>
      <c r="J45" s="7">
        <v>41</v>
      </c>
      <c r="K45" s="7">
        <f t="shared" si="0"/>
        <v>30</v>
      </c>
      <c r="L45" s="7" t="str" cm="1">
        <f t="array" ref="L45">_xlfn.IFS(K45&lt;=10,$D$6,K45&lt;=40,$D$5,K45&lt;=100,$D$4)</f>
        <v>Low Stock</v>
      </c>
    </row>
    <row r="46" spans="8:12" x14ac:dyDescent="0.25">
      <c r="H46" s="7" t="s">
        <v>50</v>
      </c>
      <c r="I46" s="7">
        <v>83</v>
      </c>
      <c r="J46" s="7">
        <v>12</v>
      </c>
      <c r="K46" s="7">
        <f t="shared" si="0"/>
        <v>71</v>
      </c>
      <c r="L46" s="7" t="str" cm="1">
        <f t="array" ref="L46">_xlfn.IFS(K46&lt;=10,$D$6,K46&lt;=40,$D$5,K46&lt;=100,$D$4)</f>
        <v>OK</v>
      </c>
    </row>
    <row r="47" spans="8:12" x14ac:dyDescent="0.25">
      <c r="H47" s="7" t="s">
        <v>51</v>
      </c>
      <c r="I47" s="7">
        <v>92</v>
      </c>
      <c r="J47" s="7">
        <v>87</v>
      </c>
      <c r="K47" s="7">
        <f t="shared" si="0"/>
        <v>5</v>
      </c>
      <c r="L47" s="7" t="str" cm="1">
        <f t="array" ref="L47">_xlfn.IFS(K47&lt;=10,$D$6,K47&lt;=40,$D$5,K47&lt;=100,$D$4)</f>
        <v>Order Now</v>
      </c>
    </row>
    <row r="48" spans="8:12" x14ac:dyDescent="0.25">
      <c r="H48" s="7" t="s">
        <v>52</v>
      </c>
      <c r="I48" s="7">
        <v>90</v>
      </c>
      <c r="J48" s="7">
        <v>22</v>
      </c>
      <c r="K48" s="7">
        <f t="shared" si="0"/>
        <v>68</v>
      </c>
      <c r="L48" s="7" t="str" cm="1">
        <f t="array" ref="L48">_xlfn.IFS(K48&lt;=10,$D$6,K48&lt;=40,$D$5,K48&lt;=100,$D$4)</f>
        <v>OK</v>
      </c>
    </row>
    <row r="49" spans="8:12" x14ac:dyDescent="0.25">
      <c r="H49" s="7" t="s">
        <v>53</v>
      </c>
      <c r="I49" s="7">
        <v>69</v>
      </c>
      <c r="J49" s="7">
        <v>15</v>
      </c>
      <c r="K49" s="7">
        <f t="shared" si="0"/>
        <v>54</v>
      </c>
      <c r="L49" s="7" t="str" cm="1">
        <f t="array" ref="L49">_xlfn.IFS(K49&lt;=10,$D$6,K49&lt;=40,$D$5,K49&lt;=100,$D$4)</f>
        <v>OK</v>
      </c>
    </row>
    <row r="50" spans="8:12" x14ac:dyDescent="0.25">
      <c r="H50" s="7" t="s">
        <v>54</v>
      </c>
      <c r="I50" s="7">
        <v>70</v>
      </c>
      <c r="J50" s="7">
        <v>69</v>
      </c>
      <c r="K50" s="7">
        <f t="shared" si="0"/>
        <v>1</v>
      </c>
      <c r="L50" s="7" t="str" cm="1">
        <f t="array" ref="L50">_xlfn.IFS(K50&lt;=10,$D$6,K50&lt;=40,$D$5,K50&lt;=100,$D$4)</f>
        <v>Order Now</v>
      </c>
    </row>
    <row r="51" spans="8:12" x14ac:dyDescent="0.25">
      <c r="H51" s="7" t="s">
        <v>55</v>
      </c>
      <c r="I51" s="7">
        <v>87</v>
      </c>
      <c r="J51" s="7">
        <v>30</v>
      </c>
      <c r="K51" s="7">
        <f t="shared" si="0"/>
        <v>57</v>
      </c>
      <c r="L51" s="7" t="str" cm="1">
        <f t="array" ref="L51">_xlfn.IFS(K51&lt;=10,$D$6,K51&lt;=40,$D$5,K51&lt;=100,$D$4)</f>
        <v>OK</v>
      </c>
    </row>
    <row r="52" spans="8:12" x14ac:dyDescent="0.25">
      <c r="H52" s="7" t="s">
        <v>56</v>
      </c>
      <c r="I52" s="7">
        <v>80</v>
      </c>
      <c r="J52" s="7">
        <v>19</v>
      </c>
      <c r="K52" s="7">
        <f t="shared" si="0"/>
        <v>61</v>
      </c>
      <c r="L52" s="7" t="str" cm="1">
        <f t="array" ref="L52">_xlfn.IFS(K52&lt;=10,$D$6,K52&lt;=40,$D$5,K52&lt;=100,$D$4)</f>
        <v>OK</v>
      </c>
    </row>
    <row r="53" spans="8:12" x14ac:dyDescent="0.25">
      <c r="H53" s="7" t="s">
        <v>57</v>
      </c>
      <c r="I53" s="7">
        <v>97</v>
      </c>
      <c r="J53" s="7">
        <v>95</v>
      </c>
      <c r="K53" s="7">
        <f t="shared" si="0"/>
        <v>2</v>
      </c>
      <c r="L53" s="7" t="str" cm="1">
        <f t="array" ref="L53">_xlfn.IFS(K53&lt;=10,$D$6,K53&lt;=40,$D$5,K53&lt;=100,$D$4)</f>
        <v>Order Now</v>
      </c>
    </row>
    <row r="54" spans="8:12" x14ac:dyDescent="0.25">
      <c r="H54" s="6" t="s">
        <v>59</v>
      </c>
      <c r="I54" s="6">
        <v>80</v>
      </c>
      <c r="J54" s="6">
        <v>70</v>
      </c>
      <c r="K54" s="6">
        <f>SUM(I54-J54)</f>
        <v>10</v>
      </c>
      <c r="L54" s="7" t="str" cm="1">
        <f t="array" ref="L54">_xlfn.IFS(K54&lt;=10,$D$6,K54&lt;=40,$D$5,K54&lt;=100,$D$4)</f>
        <v>Order Now</v>
      </c>
    </row>
    <row r="55" spans="8:12" x14ac:dyDescent="0.25">
      <c r="H55" s="7" t="s">
        <v>61</v>
      </c>
      <c r="I55" s="7">
        <v>80</v>
      </c>
      <c r="J55" s="7">
        <v>40</v>
      </c>
      <c r="K55" s="7">
        <f>SUM(I55-J55)</f>
        <v>40</v>
      </c>
      <c r="L55" s="7" t="str" cm="1">
        <f t="array" ref="L55">_xlfn.IFS(K55&lt;=10,$D$6,K55&lt;=40,$D$5,K55&lt;=100,$D$4)</f>
        <v>Low Stock</v>
      </c>
    </row>
  </sheetData>
  <dataValidations count="1">
    <dataValidation type="list" allowBlank="1" showInputMessage="1" showErrorMessage="1" sqref="B5" xr:uid="{3E91AEB2-9F0A-4071-B576-6CD490FFF5D7}">
      <formula1>$D$4:$D$6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EC-37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Тарас Андрійович Осипчук</cp:lastModifiedBy>
  <dcterms:created xsi:type="dcterms:W3CDTF">2024-01-18T18:52:24Z</dcterms:created>
  <dcterms:modified xsi:type="dcterms:W3CDTF">2026-06-29T14:20:39Z</dcterms:modified>
</cp:coreProperties>
</file>