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Users\IlgarZarbaliyevNovum\Desktop\Challenge 46\"/>
    </mc:Choice>
  </mc:AlternateContent>
  <xr:revisionPtr revIDLastSave="0" documentId="13_ncr:1_{C55F7690-EC66-4737-8218-D046E67BCA98}" xr6:coauthVersionLast="47" xr6:coauthVersionMax="47" xr10:uidLastSave="{00000000-0000-0000-0000-000000000000}"/>
  <bookViews>
    <workbookView xWindow="-110" yWindow="-110" windowWidth="19420" windowHeight="10300" xr2:uid="{E2E4A968-1BB4-4142-ACCA-E138D4A8D4FE}"/>
  </bookViews>
  <sheets>
    <sheet name="Challenge46" sheetId="2" r:id="rId1"/>
  </sheets>
  <definedNames>
    <definedName name="_xlnm.Print_Area" localSheetId="0">Challenge46!$A$1:$L$35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lhs1" localSheetId="0" hidden="1">Challenge46!$D$23:$H$25</definedName>
    <definedName name="solver_lhs2" localSheetId="0" hidden="1">Challenge46!$D$27:$H$27</definedName>
    <definedName name="solver_lhs3" localSheetId="0" hidden="1">Challenge46!$I$23:$I$25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0</definedName>
    <definedName name="solver_nwt" localSheetId="0" hidden="1">1</definedName>
    <definedName name="solver_pre" localSheetId="0" hidden="1">0.000001</definedName>
    <definedName name="solver_rbv" localSheetId="0" hidden="1">1</definedName>
    <definedName name="solver_rel1" localSheetId="0" hidden="1">3</definedName>
    <definedName name="solver_rel2" localSheetId="0" hidden="1">2</definedName>
    <definedName name="solver_rel3" localSheetId="0" hidden="1">1</definedName>
    <definedName name="solver_rhs1" localSheetId="0" hidden="1">0</definedName>
    <definedName name="solver_rhs2" localSheetId="0" hidden="1">Challenge46!$D$29:$H$29</definedName>
    <definedName name="solver_rhs3" localSheetId="0" hidden="1">Challenge46!$K$23:$K$25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3" i="2" l="1"/>
  <c r="I24" i="2"/>
  <c r="I25" i="2"/>
  <c r="H27" i="2"/>
  <c r="H31" i="2" s="1"/>
  <c r="G27" i="2"/>
  <c r="G31" i="2" s="1"/>
  <c r="F27" i="2"/>
  <c r="F31" i="2" s="1"/>
  <c r="E27" i="2"/>
  <c r="E31" i="2" s="1"/>
  <c r="D27" i="2"/>
  <c r="D31" i="2" s="1"/>
</calcChain>
</file>

<file path=xl/sharedStrings.xml><?xml version="1.0" encoding="utf-8"?>
<sst xmlns="http://schemas.openxmlformats.org/spreadsheetml/2006/main" count="41" uniqueCount="27">
  <si>
    <t>Inventory and Cost Data</t>
  </si>
  <si>
    <t>Monthly Demand</t>
  </si>
  <si>
    <t>Store 1</t>
  </si>
  <si>
    <t>Store 2</t>
  </si>
  <si>
    <t>Store 3</t>
  </si>
  <si>
    <t>Store 4</t>
  </si>
  <si>
    <t>Store 5</t>
  </si>
  <si>
    <t>Warehouse Stock &amp; Costs</t>
  </si>
  <si>
    <t>Warehouse</t>
  </si>
  <si>
    <t>Available Stock</t>
  </si>
  <si>
    <t>Toronto</t>
  </si>
  <si>
    <t>Montreal</t>
  </si>
  <si>
    <t>Vancouver</t>
  </si>
  <si>
    <t>Stores</t>
  </si>
  <si>
    <t>Holding Cost per Unit</t>
  </si>
  <si>
    <t>Stockout Cost per Unit</t>
  </si>
  <si>
    <t>Cost to Store 1</t>
  </si>
  <si>
    <t>Cost to Store 2</t>
  </si>
  <si>
    <t>Cost to Store 3</t>
  </si>
  <si>
    <t>Cost to Store 4</t>
  </si>
  <si>
    <t>Cost to Store 5</t>
  </si>
  <si>
    <t>Total Stock</t>
  </si>
  <si>
    <t>Capacity</t>
  </si>
  <si>
    <t>Minimum total inventory costs (holding + transportation + stockout costs)</t>
  </si>
  <si>
    <t>Solve</t>
  </si>
  <si>
    <t>Stockout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</si>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</sst>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&quot;$&quot;#,##0.00"/>
    <numFmt numFmtId="165" formatCode="#,##0\ &quot;pcs&quot;"/>
  </numFmts>
  <fonts count="11" x14ac:knownFonts="1">
    <font>
      <sz val="11"/>
      <color theme="1"/>
      <name val="Aptos Narrow"/>
      <family val="2"/>
      <scheme val="minor"/>
    </font>
    <font>
      <sz val="11"/>
      <color rgb="FF3F3F76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0"/>
      <name val="Times New Roman"/>
      <family val="1"/>
    </font>
    <font>
      <b/>
      <sz val="12"/>
      <name val="Times New Roman"/>
      <family val="1"/>
    </font>
    <font>
      <b/>
      <sz val="11"/>
      <color theme="0"/>
      <name val="Times New Roman"/>
      <family val="1"/>
    </font>
    <font>
      <sz val="12"/>
      <name val="Times New Roman"/>
      <family val="1"/>
    </font>
    <font>
      <sz val="8"/>
      <color theme="1"/>
      <name val="Times New Roman"/>
      <family val="1"/>
    </font>
    <font>
      <i/>
      <sz val="8"/>
      <color theme="1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4"/>
      </patternFill>
    </fill>
  </fills>
  <borders count="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0"/>
    <xf numFmtId="0" fontId="1" fillId="2" borderId="1" applyNumberFormat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</cellStyleXfs>
  <cellXfs count="27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165" fontId="4" fillId="0" borderId="0" xfId="0" applyNumberFormat="1" applyFont="1" applyAlignment="1">
      <alignment vertical="center"/>
    </xf>
    <xf numFmtId="0" fontId="4" fillId="0" borderId="3" xfId="0" applyFont="1" applyBorder="1" applyAlignment="1">
      <alignment horizontal="left" vertical="center"/>
    </xf>
    <xf numFmtId="165" fontId="4" fillId="0" borderId="3" xfId="0" applyNumberFormat="1" applyFont="1" applyBorder="1" applyAlignment="1">
      <alignment horizontal="right" vertical="center"/>
    </xf>
    <xf numFmtId="0" fontId="4" fillId="0" borderId="3" xfId="0" applyFont="1" applyBorder="1" applyAlignment="1">
      <alignment horizontal="left" vertical="center" wrapText="1"/>
    </xf>
    <xf numFmtId="164" fontId="4" fillId="0" borderId="3" xfId="0" applyNumberFormat="1" applyFont="1" applyBorder="1" applyAlignment="1">
      <alignment horizontal="right" vertical="center"/>
    </xf>
    <xf numFmtId="0" fontId="8" fillId="0" borderId="3" xfId="0" applyFont="1" applyBorder="1" applyAlignment="1">
      <alignment vertical="center"/>
    </xf>
    <xf numFmtId="165" fontId="8" fillId="0" borderId="3" xfId="0" applyNumberFormat="1" applyFont="1" applyBorder="1" applyAlignment="1">
      <alignment vertical="center"/>
    </xf>
    <xf numFmtId="164" fontId="8" fillId="0" borderId="3" xfId="0" applyNumberFormat="1" applyFont="1" applyBorder="1" applyAlignment="1">
      <alignment vertical="center"/>
    </xf>
    <xf numFmtId="0" fontId="6" fillId="2" borderId="3" xfId="1" applyFont="1" applyBorder="1" applyAlignment="1">
      <alignment horizontal="left" vertical="center"/>
    </xf>
    <xf numFmtId="0" fontId="6" fillId="2" borderId="3" xfId="1" applyFont="1" applyBorder="1" applyAlignment="1">
      <alignment horizontal="center" vertical="center"/>
    </xf>
    <xf numFmtId="0" fontId="6" fillId="2" borderId="1" xfId="1" applyFont="1" applyAlignment="1">
      <alignment horizontal="center" vertical="center" wrapText="1"/>
    </xf>
    <xf numFmtId="0" fontId="5" fillId="4" borderId="2" xfId="3" applyFont="1" applyBorder="1" applyAlignment="1">
      <alignment horizontal="center" vertical="center"/>
    </xf>
    <xf numFmtId="165" fontId="5" fillId="3" borderId="1" xfId="2" applyNumberFormat="1" applyFont="1" applyBorder="1" applyAlignment="1">
      <alignment vertical="center"/>
    </xf>
    <xf numFmtId="165" fontId="5" fillId="6" borderId="1" xfId="5" applyNumberFormat="1" applyFont="1" applyBorder="1" applyAlignment="1">
      <alignment vertical="center"/>
    </xf>
    <xf numFmtId="165" fontId="6" fillId="0" borderId="3" xfId="0" applyNumberFormat="1" applyFont="1" applyBorder="1" applyAlignment="1">
      <alignment vertical="center"/>
    </xf>
    <xf numFmtId="0" fontId="3" fillId="0" borderId="0" xfId="0" applyFont="1" applyAlignment="1">
      <alignment vertical="center" wrapText="1"/>
    </xf>
    <xf numFmtId="164" fontId="7" fillId="5" borderId="0" xfId="4" applyNumberFormat="1" applyFont="1" applyAlignment="1">
      <alignment vertical="center"/>
    </xf>
    <xf numFmtId="165" fontId="5" fillId="7" borderId="0" xfId="6" applyNumberFormat="1" applyFont="1" applyAlignme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Continuous" vertical="center" wrapText="1"/>
    </xf>
    <xf numFmtId="0" fontId="9" fillId="0" borderId="0" xfId="0" applyFont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164" fontId="4" fillId="0" borderId="0" xfId="0" applyNumberFormat="1" applyFont="1" applyAlignment="1">
      <alignment vertical="center"/>
    </xf>
  </cellXfs>
  <cellStyles count="7">
    <cellStyle name="Accent1" xfId="6" builtinId="29"/>
    <cellStyle name="Accent2" xfId="2" builtinId="33"/>
    <cellStyle name="Accent3" xfId="3" builtinId="37"/>
    <cellStyle name="Accent4" xfId="4" builtinId="41"/>
    <cellStyle name="Accent5" xfId="5" builtinId="45"/>
    <cellStyle name="Input" xfId="1" builtinId="20"/>
    <cellStyle name="Normal" xfId="0" builtinId="0"/>
  </cellStyles>
  <dxfs count="0"/>
  <tableStyles count="1" defaultTableStyle="TableStyleMedium2" defaultPivotStyle="PivotStyleLight16">
    <tableStyle name="Invisible" pivot="0" table="0" count="0" xr9:uid="{76886D01-D29B-4871-BC00-775B2BD08735}"/>
  </tableStyles>
  <colors>
    <mruColors>
      <color rgb="FF457B9D"/>
      <color rgb="FFE63946"/>
      <color rgb="FF1D3557"/>
      <color rgb="FFF1FAE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Aspect">
      <a:dk1>
        <a:sysClr val="windowText" lastClr="000000"/>
      </a:dk1>
      <a:lt1>
        <a:sysClr val="window" lastClr="FFFFFF"/>
      </a:lt1>
      <a:dk2>
        <a:srgbClr val="323232"/>
      </a:dk2>
      <a:lt2>
        <a:srgbClr val="E3DED1"/>
      </a:lt2>
      <a:accent1>
        <a:srgbClr val="F07F09"/>
      </a:accent1>
      <a:accent2>
        <a:srgbClr val="9F2936"/>
      </a:accent2>
      <a:accent3>
        <a:srgbClr val="1B587C"/>
      </a:accent3>
      <a:accent4>
        <a:srgbClr val="4E8542"/>
      </a:accent4>
      <a:accent5>
        <a:srgbClr val="604878"/>
      </a:accent5>
      <a:accent6>
        <a:srgbClr val="C19859"/>
      </a:accent6>
      <a:hlink>
        <a:srgbClr val="6B9F25"/>
      </a:hlink>
      <a:folHlink>
        <a:srgbClr val="B26B0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EEE07-B372-4BE8-8234-AB3D3868D1DC}">
  <sheetPr>
    <tabColor rgb="FF457B9D"/>
    <pageSetUpPr fitToPage="1"/>
  </sheetPr>
  <dimension ref="B1:K36"/>
  <sheetViews>
    <sheetView showGridLines="0" tabSelected="1" zoomScale="85" zoomScaleNormal="85" workbookViewId="0">
      <selection activeCell="D4" sqref="D4"/>
    </sheetView>
  </sheetViews>
  <sheetFormatPr defaultRowHeight="15.5" x14ac:dyDescent="0.35"/>
  <cols>
    <col min="1" max="1" width="3.81640625" style="2" customWidth="1"/>
    <col min="2" max="2" width="15.6328125" style="2" customWidth="1"/>
    <col min="3" max="3" width="26.26953125" style="2" customWidth="1"/>
    <col min="4" max="4" width="18.7265625" style="2" customWidth="1"/>
    <col min="5" max="5" width="16.7265625" style="2" bestFit="1" customWidth="1"/>
    <col min="6" max="6" width="18.26953125" style="2" bestFit="1" customWidth="1"/>
    <col min="7" max="7" width="16.7265625" style="2" bestFit="1" customWidth="1"/>
    <col min="8" max="8" width="15.90625" style="2" bestFit="1" customWidth="1"/>
    <col min="9" max="9" width="15.90625" style="2" customWidth="1"/>
    <col min="10" max="10" width="9.26953125" style="2" bestFit="1" customWidth="1"/>
    <col min="11" max="11" width="13.1796875" style="2" customWidth="1"/>
    <col min="12" max="12" width="2.81640625" style="2" customWidth="1"/>
    <col min="13" max="18" width="8.7265625" style="2"/>
    <col min="19" max="19" width="34.36328125" style="2" bestFit="1" customWidth="1"/>
    <col min="20" max="16384" width="8.7265625" style="2"/>
  </cols>
  <sheetData>
    <row r="1" spans="2:8" x14ac:dyDescent="0.35">
      <c r="B1" s="1" t="s">
        <v>0</v>
      </c>
    </row>
    <row r="3" spans="2:8" s="3" customFormat="1" x14ac:dyDescent="0.35">
      <c r="C3" s="12" t="s">
        <v>13</v>
      </c>
      <c r="D3" s="13" t="s">
        <v>2</v>
      </c>
      <c r="E3" s="13" t="s">
        <v>3</v>
      </c>
      <c r="F3" s="13" t="s">
        <v>4</v>
      </c>
      <c r="G3" s="13" t="s">
        <v>5</v>
      </c>
      <c r="H3" s="13" t="s">
        <v>6</v>
      </c>
    </row>
    <row r="4" spans="2:8" x14ac:dyDescent="0.35">
      <c r="C4" s="5" t="s">
        <v>1</v>
      </c>
      <c r="D4" s="6">
        <v>955.00000000000068</v>
      </c>
      <c r="E4" s="6">
        <v>945</v>
      </c>
      <c r="F4" s="6">
        <v>850.00000000000011</v>
      </c>
      <c r="G4" s="6">
        <v>1100</v>
      </c>
      <c r="H4" s="6">
        <v>999.99999999999989</v>
      </c>
    </row>
    <row r="5" spans="2:8" x14ac:dyDescent="0.35">
      <c r="C5" s="7" t="s">
        <v>14</v>
      </c>
      <c r="D5" s="8">
        <v>2</v>
      </c>
      <c r="E5" s="8">
        <v>3</v>
      </c>
      <c r="F5" s="8">
        <v>2.5</v>
      </c>
      <c r="G5" s="8">
        <v>4</v>
      </c>
      <c r="H5" s="8">
        <v>3.5</v>
      </c>
    </row>
    <row r="6" spans="2:8" x14ac:dyDescent="0.35">
      <c r="C6" s="7" t="s">
        <v>15</v>
      </c>
      <c r="D6" s="8">
        <v>5</v>
      </c>
      <c r="E6" s="8">
        <v>6</v>
      </c>
      <c r="F6" s="8">
        <v>5.5</v>
      </c>
      <c r="G6" s="8">
        <v>7</v>
      </c>
      <c r="H6" s="8">
        <v>6.5</v>
      </c>
    </row>
    <row r="8" spans="2:8" x14ac:dyDescent="0.35">
      <c r="B8" s="1" t="s">
        <v>7</v>
      </c>
    </row>
    <row r="10" spans="2:8" x14ac:dyDescent="0.35">
      <c r="C10" s="14" t="s">
        <v>8</v>
      </c>
      <c r="D10" s="14" t="s">
        <v>9</v>
      </c>
    </row>
    <row r="11" spans="2:8" x14ac:dyDescent="0.35">
      <c r="C11" s="9" t="s">
        <v>10</v>
      </c>
      <c r="D11" s="10">
        <v>1500</v>
      </c>
    </row>
    <row r="12" spans="2:8" x14ac:dyDescent="0.35">
      <c r="C12" s="9" t="s">
        <v>11</v>
      </c>
      <c r="D12" s="10">
        <v>1350</v>
      </c>
    </row>
    <row r="13" spans="2:8" x14ac:dyDescent="0.35">
      <c r="C13" s="9" t="s">
        <v>12</v>
      </c>
      <c r="D13" s="10">
        <v>2000</v>
      </c>
    </row>
    <row r="15" spans="2:8" x14ac:dyDescent="0.35">
      <c r="C15" s="14" t="s">
        <v>8</v>
      </c>
      <c r="D15" s="14" t="s">
        <v>16</v>
      </c>
      <c r="E15" s="14" t="s">
        <v>17</v>
      </c>
      <c r="F15" s="14" t="s">
        <v>18</v>
      </c>
      <c r="G15" s="14" t="s">
        <v>19</v>
      </c>
      <c r="H15" s="14" t="s">
        <v>20</v>
      </c>
    </row>
    <row r="16" spans="2:8" x14ac:dyDescent="0.35">
      <c r="C16" s="9" t="s">
        <v>10</v>
      </c>
      <c r="D16" s="11">
        <v>5</v>
      </c>
      <c r="E16" s="11">
        <v>4</v>
      </c>
      <c r="F16" s="11">
        <v>7</v>
      </c>
      <c r="G16" s="11">
        <v>3</v>
      </c>
      <c r="H16" s="11">
        <v>6</v>
      </c>
    </row>
    <row r="17" spans="2:11" x14ac:dyDescent="0.35">
      <c r="C17" s="9" t="s">
        <v>11</v>
      </c>
      <c r="D17" s="11">
        <v>6</v>
      </c>
      <c r="E17" s="11">
        <v>3</v>
      </c>
      <c r="F17" s="11">
        <v>5</v>
      </c>
      <c r="G17" s="11">
        <v>4</v>
      </c>
      <c r="H17" s="11">
        <v>7</v>
      </c>
    </row>
    <row r="18" spans="2:11" x14ac:dyDescent="0.35">
      <c r="C18" s="9" t="s">
        <v>12</v>
      </c>
      <c r="D18" s="11">
        <v>7</v>
      </c>
      <c r="E18" s="11">
        <v>6</v>
      </c>
      <c r="F18" s="11">
        <v>4</v>
      </c>
      <c r="G18" s="11">
        <v>5</v>
      </c>
      <c r="H18" s="11">
        <v>3</v>
      </c>
    </row>
    <row r="20" spans="2:11" x14ac:dyDescent="0.35">
      <c r="B20" s="1" t="s">
        <v>24</v>
      </c>
    </row>
    <row r="22" spans="2:11" x14ac:dyDescent="0.35">
      <c r="C22" s="14" t="s">
        <v>8</v>
      </c>
      <c r="D22" s="14" t="s">
        <v>2</v>
      </c>
      <c r="E22" s="14" t="s">
        <v>3</v>
      </c>
      <c r="F22" s="14" t="s">
        <v>4</v>
      </c>
      <c r="G22" s="14" t="s">
        <v>5</v>
      </c>
      <c r="H22" s="14" t="s">
        <v>6</v>
      </c>
      <c r="I22" s="14" t="s">
        <v>26</v>
      </c>
      <c r="K22" s="15" t="s">
        <v>22</v>
      </c>
    </row>
    <row r="23" spans="2:11" x14ac:dyDescent="0.35">
      <c r="C23" s="9" t="s">
        <v>10</v>
      </c>
      <c r="D23" s="10"/>
      <c r="E23" s="10"/>
      <c r="F23" s="10"/>
      <c r="G23" s="10"/>
      <c r="H23" s="10"/>
      <c r="I23" s="18">
        <f t="shared" ref="I23:I25" si="0">SUM(D23:H23)</f>
        <v>0</v>
      </c>
      <c r="K23" s="18">
        <v>1500</v>
      </c>
    </row>
    <row r="24" spans="2:11" x14ac:dyDescent="0.35">
      <c r="C24" s="9" t="s">
        <v>11</v>
      </c>
      <c r="D24" s="10"/>
      <c r="E24" s="10"/>
      <c r="F24" s="10"/>
      <c r="G24" s="10"/>
      <c r="H24" s="10"/>
      <c r="I24" s="18">
        <f t="shared" si="0"/>
        <v>0</v>
      </c>
      <c r="K24" s="18">
        <v>1350</v>
      </c>
    </row>
    <row r="25" spans="2:11" x14ac:dyDescent="0.35">
      <c r="C25" s="9" t="s">
        <v>12</v>
      </c>
      <c r="D25" s="10"/>
      <c r="E25" s="10"/>
      <c r="F25" s="10"/>
      <c r="G25" s="10"/>
      <c r="H25" s="10"/>
      <c r="I25" s="18">
        <f t="shared" si="0"/>
        <v>0</v>
      </c>
      <c r="K25" s="18">
        <v>2000</v>
      </c>
    </row>
    <row r="27" spans="2:11" x14ac:dyDescent="0.35">
      <c r="C27" s="1" t="s">
        <v>21</v>
      </c>
      <c r="D27" s="17">
        <f>SUM(D23:D25)</f>
        <v>0</v>
      </c>
      <c r="E27" s="17">
        <f t="shared" ref="E27:H27" si="1">SUM(E23:E25)</f>
        <v>0</v>
      </c>
      <c r="F27" s="17">
        <f t="shared" si="1"/>
        <v>0</v>
      </c>
      <c r="G27" s="17">
        <f t="shared" si="1"/>
        <v>0</v>
      </c>
      <c r="H27" s="17">
        <f t="shared" si="1"/>
        <v>0</v>
      </c>
    </row>
    <row r="28" spans="2:11" x14ac:dyDescent="0.35">
      <c r="D28" s="4"/>
      <c r="E28" s="4"/>
      <c r="F28" s="4"/>
      <c r="G28" s="4"/>
      <c r="H28" s="4"/>
    </row>
    <row r="29" spans="2:11" x14ac:dyDescent="0.35">
      <c r="C29" s="1" t="s">
        <v>1</v>
      </c>
      <c r="D29" s="16">
        <v>955</v>
      </c>
      <c r="E29" s="16">
        <v>945</v>
      </c>
      <c r="F29" s="16">
        <v>850</v>
      </c>
      <c r="G29" s="16">
        <v>1100</v>
      </c>
      <c r="H29" s="16">
        <v>1000</v>
      </c>
      <c r="I29" s="4"/>
      <c r="K29" s="4"/>
    </row>
    <row r="30" spans="2:11" x14ac:dyDescent="0.35">
      <c r="D30" s="4"/>
      <c r="E30" s="4"/>
      <c r="F30" s="4"/>
      <c r="G30" s="4"/>
      <c r="H30" s="4"/>
    </row>
    <row r="31" spans="2:11" x14ac:dyDescent="0.35">
      <c r="C31" s="1" t="s">
        <v>25</v>
      </c>
      <c r="D31" s="21">
        <f>D29-D27</f>
        <v>955</v>
      </c>
      <c r="E31" s="21">
        <f t="shared" ref="E31:H31" si="2">E29-E27</f>
        <v>945</v>
      </c>
      <c r="F31" s="21">
        <f t="shared" si="2"/>
        <v>850</v>
      </c>
      <c r="G31" s="21">
        <f t="shared" si="2"/>
        <v>1100</v>
      </c>
      <c r="H31" s="21">
        <f t="shared" si="2"/>
        <v>1000</v>
      </c>
    </row>
    <row r="33" spans="3:10" ht="60" x14ac:dyDescent="0.35">
      <c r="C33" s="19" t="s">
        <v>23</v>
      </c>
      <c r="D33" s="20"/>
      <c r="F33" s="26"/>
    </row>
    <row r="35" spans="3:10" x14ac:dyDescent="0.35">
      <c r="D35" s="22"/>
      <c r="H35" s="22"/>
    </row>
    <row r="36" spans="3:10" x14ac:dyDescent="0.35">
      <c r="D36" s="25"/>
      <c r="E36" s="23"/>
      <c r="F36" s="23"/>
      <c r="G36" s="23"/>
      <c r="H36" s="25"/>
      <c r="I36" s="24"/>
      <c r="J36" s="24"/>
    </row>
  </sheetData>
  <printOptions horizontalCentered="1"/>
  <pageMargins left="0.25" right="0.25" top="0.75" bottom="0.75" header="0.3" footer="0.3"/>
  <pageSetup paperSize="9" scale="7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Challenge46</vt:lpstr>
      <vt:lpstr>Challenge46!Print_Area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Ilgar Zarbaliyev | Novum LLC</dc:creator>
  <cp:lastModifiedBy>Ilgar Zarbaliyev | Novum LLC</cp:lastModifiedBy>
  <cp:lastPrinted>2024-10-22T09:51:16Z</cp:lastPrinted>
  <dcterms:created xsi:type="dcterms:W3CDTF">2024-10-21T09:20:52Z</dcterms:created>
  <dcterms:modified xsi:type="dcterms:W3CDTF">2024-10-22T10:39:54Z</dcterms:modified>
</cp:coreProperties>
</file>