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30-Challenge_CreateDynamicChartUsingMultipleCriteria\"/>
    </mc:Choice>
  </mc:AlternateContent>
  <xr:revisionPtr revIDLastSave="0" documentId="13_ncr:1_{F782DD49-584E-4AF9-B373-773084702A32}" xr6:coauthVersionLast="47" xr6:coauthVersionMax="47" xr10:uidLastSave="{00000000-0000-0000-0000-000000000000}"/>
  <bookViews>
    <workbookView xWindow="-120" yWindow="-120" windowWidth="29040" windowHeight="15720" xr2:uid="{D7B0B094-AED8-4D3D-AFBE-852992533E5A}"/>
  </bookViews>
  <sheets>
    <sheet name="EC-30" sheetId="2" r:id="rId1"/>
  </sheets>
  <externalReferences>
    <externalReference r:id="rId2"/>
  </externalReferences>
  <definedNames>
    <definedName name="_xlnm._FilterDatabase" localSheetId="0" hidden="1">'EC-30'!$G$5:$H$5</definedName>
    <definedName name="_xlnm.Criteria" localSheetId="0">'EC-30'!$H$5</definedName>
    <definedName name="Pastries">INDIRECT([1]Bakery!$C$3)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8" i="2" l="1"/>
  <c r="G11" i="2" a="1"/>
  <c r="G1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<sst xmlns="http://schemas.openxmlformats.org/spreadsheetml/2006/main" count="113" uniqueCount="62">
  <si>
    <t>East</t>
  </si>
  <si>
    <t>Harriet</t>
  </si>
  <si>
    <t>Bryan</t>
  </si>
  <si>
    <t>North</t>
  </si>
  <si>
    <t>Sonia</t>
  </si>
  <si>
    <t>West</t>
  </si>
  <si>
    <t>Casey</t>
  </si>
  <si>
    <t>Emily</t>
  </si>
  <si>
    <t>Wilma</t>
  </si>
  <si>
    <t>Estelle</t>
  </si>
  <si>
    <t>Dewey</t>
  </si>
  <si>
    <t>South</t>
  </si>
  <si>
    <t>Sean</t>
  </si>
  <si>
    <t>Marion</t>
  </si>
  <si>
    <t>Vincent</t>
  </si>
  <si>
    <t>Ernest</t>
  </si>
  <si>
    <t>Heather</t>
  </si>
  <si>
    <t>Ryan</t>
  </si>
  <si>
    <t>Jon</t>
  </si>
  <si>
    <t>Lela</t>
  </si>
  <si>
    <t>Brett</t>
  </si>
  <si>
    <t>Julius</t>
  </si>
  <si>
    <t>Elizabeth</t>
  </si>
  <si>
    <t>Lee</t>
  </si>
  <si>
    <t>Zachary</t>
  </si>
  <si>
    <t>Henry</t>
  </si>
  <si>
    <t>Misty</t>
  </si>
  <si>
    <t>Alvin</t>
  </si>
  <si>
    <t>Darrell</t>
  </si>
  <si>
    <t>Michelle</t>
  </si>
  <si>
    <t>Lewis</t>
  </si>
  <si>
    <t>Mack</t>
  </si>
  <si>
    <t>Jaime</t>
  </si>
  <si>
    <t>Larry</t>
  </si>
  <si>
    <t>Randy</t>
  </si>
  <si>
    <t>Gregg</t>
  </si>
  <si>
    <t>Pat</t>
  </si>
  <si>
    <t>Todd</t>
  </si>
  <si>
    <t>Virginia</t>
  </si>
  <si>
    <t>Joyce</t>
  </si>
  <si>
    <t>Vicki</t>
  </si>
  <si>
    <t>Cynthia</t>
  </si>
  <si>
    <t>Marguerite</t>
  </si>
  <si>
    <t>Emilio</t>
  </si>
  <si>
    <t>Verna</t>
  </si>
  <si>
    <t>Lorena</t>
  </si>
  <si>
    <t>Maria</t>
  </si>
  <si>
    <t>Jacqueline</t>
  </si>
  <si>
    <t>Bill</t>
  </si>
  <si>
    <t>Sales</t>
  </si>
  <si>
    <t>Region</t>
  </si>
  <si>
    <t>Manager</t>
  </si>
  <si>
    <t>Shane</t>
  </si>
  <si>
    <t>Daisy</t>
  </si>
  <si>
    <t>Wade</t>
  </si>
  <si>
    <t>Joel</t>
  </si>
  <si>
    <t>Janis</t>
  </si>
  <si>
    <t>Chart</t>
  </si>
  <si>
    <t>Select Region --&gt;</t>
  </si>
  <si>
    <t>Sales by Region and Manager</t>
  </si>
  <si>
    <t>Return the list of managers by Region and &gt;=1600 in Sales</t>
  </si>
  <si>
    <t>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</si>
</sst>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theme="9" tint="-0.499984740745262"/>
      <name val="Calibri"/>
      <family val="2"/>
    </font>
    <font>
      <sz val="12"/>
      <color theme="9" tint="-0.499984740745262"/>
      <name val="Calibri"/>
      <family val="2"/>
    </font>
    <font>
      <b/>
      <sz val="12"/>
      <color theme="9" tint="-0.49998474074526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5" fontId="0" fillId="0" borderId="0" xfId="1" applyNumberFormat="1" applyFont="1"/>
    <xf numFmtId="165" fontId="2" fillId="2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9" fontId="0" fillId="0" borderId="0" xfId="2" applyFont="1"/>
    <xf numFmtId="0" fontId="2" fillId="3" borderId="2" xfId="0" applyFont="1" applyFill="1" applyBorder="1"/>
    <xf numFmtId="0" fontId="3" fillId="0" borderId="0" xfId="0" applyFont="1"/>
    <xf numFmtId="0" fontId="6" fillId="4" borderId="3" xfId="0" applyFont="1" applyFill="1" applyBorder="1"/>
    <xf numFmtId="0" fontId="4" fillId="0" borderId="0" xfId="0" applyFont="1"/>
    <xf numFmtId="165" fontId="4" fillId="0" borderId="0" xfId="1" applyNumberFormat="1" applyFont="1" applyBorder="1"/>
    <xf numFmtId="0" fontId="5" fillId="5" borderId="0" xfId="0" applyFont="1" applyFill="1"/>
    <xf numFmtId="165" fontId="5" fillId="5" borderId="0" xfId="1" applyNumberFormat="1" applyFont="1" applyFill="1" applyBorder="1"/>
    <xf numFmtId="0" fontId="7" fillId="5" borderId="4" xfId="0" applyFont="1" applyFill="1" applyBorder="1"/>
    <xf numFmtId="0" fontId="8" fillId="5" borderId="4" xfId="0" applyFont="1" applyFill="1" applyBorder="1"/>
    <xf numFmtId="165" fontId="8" fillId="5" borderId="4" xfId="1" applyNumberFormat="1" applyFont="1" applyFill="1" applyBorder="1"/>
  </cellXfs>
  <cellStyles count="3">
    <cellStyle name="Comma" xfId="1" builtinId="3"/>
    <cellStyle name="Normal" xfId="0" builtinId="0"/>
    <cellStyle name="Per cent" xfId="2" builtinId="5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'EC-30'!$G$28</c:f>
          <c:strCache>
            <c:ptCount val="1"/>
            <c:pt idx="0">
              <c:v>South Region - Sales Manager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'EC-30'!$G$11:$H$22</c15:sqref>
                  </c15:fullRef>
                  <c15:levelRef>
                    <c15:sqref>'EC-30'!$G$11:$G$22</c15:sqref>
                  </c15:levelRef>
                </c:ext>
              </c:extLst>
              <c:f>'EC-30'!$G$11:$G$22</c:f>
              <c:strCache>
                <c:ptCount val="12"/>
                <c:pt idx="0">
                  <c:v>Bill</c:v>
                </c:pt>
                <c:pt idx="1">
                  <c:v>Todd</c:v>
                </c:pt>
                <c:pt idx="2">
                  <c:v>Pat</c:v>
                </c:pt>
                <c:pt idx="3">
                  <c:v>Gregg</c:v>
                </c:pt>
                <c:pt idx="4">
                  <c:v>Randy</c:v>
                </c:pt>
                <c:pt idx="5">
                  <c:v>Jaime</c:v>
                </c:pt>
                <c:pt idx="6">
                  <c:v>Zachary</c:v>
                </c:pt>
                <c:pt idx="7">
                  <c:v>Elizabeth</c:v>
                </c:pt>
                <c:pt idx="8">
                  <c:v>Ryan</c:v>
                </c:pt>
                <c:pt idx="9">
                  <c:v>Vincent</c:v>
                </c:pt>
                <c:pt idx="10">
                  <c:v>Sean</c:v>
                </c:pt>
                <c:pt idx="11">
                  <c:v>Deb</c:v>
                </c:pt>
              </c:strCache>
            </c:strRef>
          </c:cat>
          <c:val>
            <c:numRef>
              <c:f>'EC-30'!$I$11:$I$22</c:f>
              <c:numCache>
                <c:formatCode>_(* #,##0_);_(* \(#,##0\);_(* "-"??_);_(@_)</c:formatCode>
                <c:ptCount val="12"/>
                <c:pt idx="0">
                  <c:v>2081</c:v>
                </c:pt>
                <c:pt idx="1">
                  <c:v>2670</c:v>
                </c:pt>
                <c:pt idx="2">
                  <c:v>2112</c:v>
                </c:pt>
                <c:pt idx="3">
                  <c:v>2100</c:v>
                </c:pt>
                <c:pt idx="4">
                  <c:v>2806</c:v>
                </c:pt>
                <c:pt idx="5">
                  <c:v>3370</c:v>
                </c:pt>
                <c:pt idx="6">
                  <c:v>2031</c:v>
                </c:pt>
                <c:pt idx="7">
                  <c:v>3263</c:v>
                </c:pt>
                <c:pt idx="8">
                  <c:v>2047</c:v>
                </c:pt>
                <c:pt idx="9">
                  <c:v>1673</c:v>
                </c:pt>
                <c:pt idx="10">
                  <c:v>2337</c:v>
                </c:pt>
                <c:pt idx="11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F-46E8-B188-422E6265D96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"/>
        <c:overlap val="-27"/>
        <c:axId val="116774943"/>
        <c:axId val="116778783"/>
      </c:barChart>
      <c:catAx>
        <c:axId val="11677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8783"/>
        <c:crosses val="autoZero"/>
        <c:auto val="1"/>
        <c:lblAlgn val="ctr"/>
        <c:lblOffset val="100"/>
        <c:noMultiLvlLbl val="0"/>
      </c:catAx>
      <c:valAx>
        <c:axId val="11677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5</xdr:row>
      <xdr:rowOff>71437</xdr:rowOff>
    </xdr:from>
    <xdr:to>
      <xdr:col>19</xdr:col>
      <xdr:colOff>133350</xdr:colOff>
      <xdr:row>19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2CDB16-9984-FF9C-054D-672793B63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ainitnowltd-my.sharepoint.com/personal/deb_trainitnowltd_com/Documents/Excel%20Examples%202.xlsx" TargetMode="External"/><Relationship Id="rId1" Type="http://schemas.openxmlformats.org/officeDocument/2006/relationships/externalLinkPath" Target="https://trainitnowltd-my.sharepoint.com/personal/deb_trainitnowltd_com/Documents/Excel%20Examples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Bakery"/>
      <sheetName val="Item_List"/>
      <sheetName val="Custom Formatting"/>
      <sheetName val="EC-30A"/>
      <sheetName val="Logos"/>
    </sheetNames>
    <sheetDataSet>
      <sheetData sheetId="0"/>
      <sheetData sheetId="1"/>
      <sheetData sheetId="2"/>
      <sheetData sheetId="3">
        <row r="3">
          <cell r="C3" t="str">
            <v>Croissant</v>
          </cell>
        </row>
      </sheetData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CBF505-9AC6-4EAA-AEBD-B1AF49A41CC6}" name="SalesManager" displayName="SalesManager" ref="B5:D56" totalsRowShown="0" headerRowDxfId="0">
  <autoFilter ref="B5:D56" xr:uid="{D2CBF505-9AC6-4EAA-AEBD-B1AF49A41CC6}"/>
  <tableColumns count="3">
    <tableColumn id="1" xr3:uid="{563F0A92-F30F-4C9B-B6E3-DCF66856E93F}" name="Manager"/>
    <tableColumn id="2" xr3:uid="{031BBF51-3B4A-41B6-84BC-9E6EEFD3F209}" name="Region"/>
    <tableColumn id="3" xr3:uid="{6DD7EA1F-EFC1-47DC-81F5-787EE925ED9B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6463-6DA3-49BD-845C-CBCBF06818BD}">
  <dimension ref="A1:K56"/>
  <sheetViews>
    <sheetView tabSelected="1" workbookViewId="0">
      <selection activeCell="U17" sqref="U17"/>
    </sheetView>
  </sheetViews>
  <sheetFormatPr defaultRowHeight="15" x14ac:dyDescent="0.25"/>
  <cols>
    <col min="2" max="2" width="11.7109375" customWidth="1"/>
    <col min="3" max="3" width="10" customWidth="1"/>
    <col min="4" max="4" width="9.140625" customWidth="1"/>
    <col min="5" max="6" width="6.85546875" customWidth="1"/>
    <col min="7" max="7" width="16" customWidth="1"/>
    <col min="8" max="8" width="15.140625" customWidth="1"/>
    <col min="9" max="9" width="15.140625" style="1" customWidth="1"/>
    <col min="10" max="10" width="11.28515625" customWidth="1"/>
    <col min="11" max="11" width="15.140625" bestFit="1" customWidth="1"/>
  </cols>
  <sheetData>
    <row r="1" spans="1:11" s="10" customFormat="1" ht="15.75" x14ac:dyDescent="0.25">
      <c r="A1" s="10" t="s">
        <v>59</v>
      </c>
      <c r="I1" s="11"/>
    </row>
    <row r="2" spans="1:11" s="13" customFormat="1" ht="15.75" x14ac:dyDescent="0.25">
      <c r="A2" s="12" t="s">
        <v>60</v>
      </c>
      <c r="I2" s="14"/>
    </row>
    <row r="3" spans="1:11" s="8" customFormat="1" ht="15.75" x14ac:dyDescent="0.25">
      <c r="I3" s="9"/>
    </row>
    <row r="4" spans="1:11" ht="15.75" thickBot="1" x14ac:dyDescent="0.3"/>
    <row r="5" spans="1:11" ht="15.75" thickBot="1" x14ac:dyDescent="0.3">
      <c r="B5" s="6" t="s">
        <v>51</v>
      </c>
      <c r="C5" s="6" t="s">
        <v>50</v>
      </c>
      <c r="D5" s="6" t="s">
        <v>49</v>
      </c>
      <c r="G5" s="5" t="s">
        <v>58</v>
      </c>
      <c r="H5" s="7" t="s">
        <v>11</v>
      </c>
      <c r="K5" s="5" t="s">
        <v>57</v>
      </c>
    </row>
    <row r="6" spans="1:11" x14ac:dyDescent="0.25">
      <c r="B6" t="s">
        <v>56</v>
      </c>
      <c r="C6" t="s">
        <v>3</v>
      </c>
      <c r="D6">
        <v>2108</v>
      </c>
      <c r="J6" s="4"/>
    </row>
    <row r="7" spans="1:11" x14ac:dyDescent="0.25">
      <c r="B7" t="s">
        <v>55</v>
      </c>
      <c r="C7" t="s">
        <v>3</v>
      </c>
      <c r="D7">
        <v>1861</v>
      </c>
    </row>
    <row r="8" spans="1:11" x14ac:dyDescent="0.25">
      <c r="B8" t="s">
        <v>54</v>
      </c>
      <c r="C8" t="s">
        <v>5</v>
      </c>
      <c r="D8">
        <v>1954</v>
      </c>
    </row>
    <row r="9" spans="1:11" ht="15.75" thickBot="1" x14ac:dyDescent="0.3">
      <c r="B9" t="s">
        <v>53</v>
      </c>
      <c r="C9" t="s">
        <v>5</v>
      </c>
      <c r="D9">
        <v>1935</v>
      </c>
    </row>
    <row r="10" spans="1:11" ht="15.75" thickBot="1" x14ac:dyDescent="0.3">
      <c r="B10" t="s">
        <v>52</v>
      </c>
      <c r="C10" t="s">
        <v>3</v>
      </c>
      <c r="D10">
        <v>3035</v>
      </c>
      <c r="G10" s="3" t="s">
        <v>51</v>
      </c>
      <c r="H10" s="3" t="s">
        <v>50</v>
      </c>
      <c r="I10" s="2" t="s">
        <v>49</v>
      </c>
    </row>
    <row r="11" spans="1:11" x14ac:dyDescent="0.25">
      <c r="B11" t="s">
        <v>48</v>
      </c>
      <c r="C11" t="s">
        <v>11</v>
      </c>
      <c r="D11">
        <v>2081</v>
      </c>
      <c r="G11" t="str" cm="1">
        <f t="array" ref="G11:I22">_xlfn._xlws.FILTER(SalesManager[],(SalesManager[Region]=_xlnm.Criteria)*(SalesManager[Sales]&gt;=1600))</f>
        <v>Bill</v>
      </c>
      <c r="H11" t="str">
        <v>South</v>
      </c>
      <c r="I11" s="1">
        <v>2081</v>
      </c>
    </row>
    <row r="12" spans="1:11" x14ac:dyDescent="0.25">
      <c r="B12" t="s">
        <v>47</v>
      </c>
      <c r="C12" t="s">
        <v>3</v>
      </c>
      <c r="D12">
        <v>2881</v>
      </c>
      <c r="G12" t="str">
        <v>Todd</v>
      </c>
      <c r="H12" t="str">
        <v>South</v>
      </c>
      <c r="I12" s="1">
        <v>2670</v>
      </c>
    </row>
    <row r="13" spans="1:11" x14ac:dyDescent="0.25">
      <c r="B13" t="s">
        <v>46</v>
      </c>
      <c r="C13" t="s">
        <v>0</v>
      </c>
      <c r="D13">
        <v>1189</v>
      </c>
      <c r="G13" t="str">
        <v>Pat</v>
      </c>
      <c r="H13" t="str">
        <v>South</v>
      </c>
      <c r="I13" s="1">
        <v>2112</v>
      </c>
    </row>
    <row r="14" spans="1:11" x14ac:dyDescent="0.25">
      <c r="B14" t="s">
        <v>45</v>
      </c>
      <c r="C14" t="s">
        <v>0</v>
      </c>
      <c r="D14">
        <v>2432</v>
      </c>
      <c r="G14" t="str">
        <v>Gregg</v>
      </c>
      <c r="H14" t="str">
        <v>South</v>
      </c>
      <c r="I14" s="1">
        <v>2100</v>
      </c>
    </row>
    <row r="15" spans="1:11" x14ac:dyDescent="0.25">
      <c r="B15" t="s">
        <v>44</v>
      </c>
      <c r="C15" t="s">
        <v>5</v>
      </c>
      <c r="D15">
        <v>1598</v>
      </c>
      <c r="G15" t="str">
        <v>Randy</v>
      </c>
      <c r="H15" t="str">
        <v>South</v>
      </c>
      <c r="I15" s="1">
        <v>2806</v>
      </c>
    </row>
    <row r="16" spans="1:11" x14ac:dyDescent="0.25">
      <c r="B16" t="s">
        <v>43</v>
      </c>
      <c r="C16" t="s">
        <v>5</v>
      </c>
      <c r="D16">
        <v>1134</v>
      </c>
      <c r="G16" t="str">
        <v>Jaime</v>
      </c>
      <c r="H16" t="str">
        <v>South</v>
      </c>
      <c r="I16" s="1">
        <v>3370</v>
      </c>
    </row>
    <row r="17" spans="2:9" x14ac:dyDescent="0.25">
      <c r="B17" t="s">
        <v>42</v>
      </c>
      <c r="C17" t="s">
        <v>5</v>
      </c>
      <c r="D17">
        <v>2102</v>
      </c>
      <c r="G17" t="str">
        <v>Zachary</v>
      </c>
      <c r="H17" t="str">
        <v>South</v>
      </c>
      <c r="I17" s="1">
        <v>2031</v>
      </c>
    </row>
    <row r="18" spans="2:9" x14ac:dyDescent="0.25">
      <c r="B18" t="s">
        <v>41</v>
      </c>
      <c r="C18" t="s">
        <v>3</v>
      </c>
      <c r="D18">
        <v>1416</v>
      </c>
      <c r="G18" t="str">
        <v>Elizabeth</v>
      </c>
      <c r="H18" t="str">
        <v>South</v>
      </c>
      <c r="I18" s="1">
        <v>3263</v>
      </c>
    </row>
    <row r="19" spans="2:9" x14ac:dyDescent="0.25">
      <c r="B19" t="s">
        <v>40</v>
      </c>
      <c r="C19" t="s">
        <v>0</v>
      </c>
      <c r="D19">
        <v>1742</v>
      </c>
      <c r="G19" t="str">
        <v>Ryan</v>
      </c>
      <c r="H19" t="str">
        <v>South</v>
      </c>
      <c r="I19" s="1">
        <v>2047</v>
      </c>
    </row>
    <row r="20" spans="2:9" x14ac:dyDescent="0.25">
      <c r="B20" t="s">
        <v>39</v>
      </c>
      <c r="C20" t="s">
        <v>5</v>
      </c>
      <c r="D20">
        <v>1378</v>
      </c>
      <c r="G20" t="str">
        <v>Vincent</v>
      </c>
      <c r="H20" t="str">
        <v>South</v>
      </c>
      <c r="I20" s="1">
        <v>1673</v>
      </c>
    </row>
    <row r="21" spans="2:9" x14ac:dyDescent="0.25">
      <c r="B21" t="s">
        <v>38</v>
      </c>
      <c r="C21" t="s">
        <v>0</v>
      </c>
      <c r="D21">
        <v>1774</v>
      </c>
      <c r="G21" t="str">
        <v>Sean</v>
      </c>
      <c r="H21" t="str">
        <v>South</v>
      </c>
      <c r="I21" s="1">
        <v>2337</v>
      </c>
    </row>
    <row r="22" spans="2:9" x14ac:dyDescent="0.25">
      <c r="B22" t="s">
        <v>37</v>
      </c>
      <c r="C22" t="s">
        <v>11</v>
      </c>
      <c r="D22">
        <v>2670</v>
      </c>
      <c r="G22" t="str">
        <v>Deb</v>
      </c>
      <c r="H22" t="str">
        <v>South</v>
      </c>
      <c r="I22" s="1">
        <v>2000</v>
      </c>
    </row>
    <row r="23" spans="2:9" x14ac:dyDescent="0.25">
      <c r="B23" t="s">
        <v>36</v>
      </c>
      <c r="C23" t="s">
        <v>11</v>
      </c>
      <c r="D23">
        <v>2112</v>
      </c>
    </row>
    <row r="24" spans="2:9" x14ac:dyDescent="0.25">
      <c r="B24" t="s">
        <v>35</v>
      </c>
      <c r="C24" t="s">
        <v>11</v>
      </c>
      <c r="D24">
        <v>2100</v>
      </c>
    </row>
    <row r="25" spans="2:9" x14ac:dyDescent="0.25">
      <c r="B25" t="s">
        <v>34</v>
      </c>
      <c r="C25" t="s">
        <v>11</v>
      </c>
      <c r="D25">
        <v>2806</v>
      </c>
    </row>
    <row r="26" spans="2:9" x14ac:dyDescent="0.25">
      <c r="B26" t="s">
        <v>33</v>
      </c>
      <c r="C26" t="s">
        <v>3</v>
      </c>
      <c r="D26">
        <v>1629</v>
      </c>
    </row>
    <row r="27" spans="2:9" x14ac:dyDescent="0.25">
      <c r="B27" t="s">
        <v>32</v>
      </c>
      <c r="C27" t="s">
        <v>11</v>
      </c>
      <c r="D27">
        <v>3370</v>
      </c>
    </row>
    <row r="28" spans="2:9" x14ac:dyDescent="0.25">
      <c r="B28" t="s">
        <v>31</v>
      </c>
      <c r="C28" t="s">
        <v>3</v>
      </c>
      <c r="D28">
        <v>2992</v>
      </c>
      <c r="G28" t="str">
        <f>_xlnm.Criteria&amp;" Region - Sales Manager"</f>
        <v>South Region - Sales Manager</v>
      </c>
    </row>
    <row r="29" spans="2:9" x14ac:dyDescent="0.25">
      <c r="B29" t="s">
        <v>30</v>
      </c>
      <c r="C29" t="s">
        <v>0</v>
      </c>
      <c r="D29">
        <v>3315</v>
      </c>
    </row>
    <row r="30" spans="2:9" x14ac:dyDescent="0.25">
      <c r="B30" t="s">
        <v>29</v>
      </c>
      <c r="C30" t="s">
        <v>5</v>
      </c>
      <c r="D30">
        <v>1779</v>
      </c>
    </row>
    <row r="31" spans="2:9" x14ac:dyDescent="0.25">
      <c r="B31" t="s">
        <v>28</v>
      </c>
      <c r="C31" t="s">
        <v>3</v>
      </c>
      <c r="D31">
        <v>1550</v>
      </c>
    </row>
    <row r="32" spans="2:9" x14ac:dyDescent="0.25">
      <c r="B32" t="s">
        <v>27</v>
      </c>
      <c r="C32" t="s">
        <v>0</v>
      </c>
      <c r="D32">
        <v>2813</v>
      </c>
    </row>
    <row r="33" spans="2:4" x14ac:dyDescent="0.25">
      <c r="B33" t="s">
        <v>26</v>
      </c>
      <c r="C33" t="s">
        <v>3</v>
      </c>
      <c r="D33">
        <v>2184</v>
      </c>
    </row>
    <row r="34" spans="2:4" x14ac:dyDescent="0.25">
      <c r="B34" t="s">
        <v>25</v>
      </c>
      <c r="C34" t="s">
        <v>11</v>
      </c>
      <c r="D34">
        <v>1496</v>
      </c>
    </row>
    <row r="35" spans="2:4" x14ac:dyDescent="0.25">
      <c r="B35" t="s">
        <v>24</v>
      </c>
      <c r="C35" t="s">
        <v>11</v>
      </c>
      <c r="D35">
        <v>2031</v>
      </c>
    </row>
    <row r="36" spans="2:4" x14ac:dyDescent="0.25">
      <c r="B36" t="s">
        <v>23</v>
      </c>
      <c r="C36" t="s">
        <v>0</v>
      </c>
      <c r="D36">
        <v>2211</v>
      </c>
    </row>
    <row r="37" spans="2:4" x14ac:dyDescent="0.25">
      <c r="B37" t="s">
        <v>22</v>
      </c>
      <c r="C37" t="s">
        <v>11</v>
      </c>
      <c r="D37">
        <v>3263</v>
      </c>
    </row>
    <row r="38" spans="2:4" x14ac:dyDescent="0.25">
      <c r="B38" t="s">
        <v>21</v>
      </c>
      <c r="C38" t="s">
        <v>11</v>
      </c>
      <c r="D38">
        <v>1276</v>
      </c>
    </row>
    <row r="39" spans="2:4" x14ac:dyDescent="0.25">
      <c r="B39" t="s">
        <v>20</v>
      </c>
      <c r="C39" t="s">
        <v>3</v>
      </c>
      <c r="D39">
        <v>1540</v>
      </c>
    </row>
    <row r="40" spans="2:4" x14ac:dyDescent="0.25">
      <c r="B40" t="s">
        <v>19</v>
      </c>
      <c r="C40" t="s">
        <v>5</v>
      </c>
      <c r="D40">
        <v>3285</v>
      </c>
    </row>
    <row r="41" spans="2:4" x14ac:dyDescent="0.25">
      <c r="B41" t="s">
        <v>18</v>
      </c>
      <c r="C41" t="s">
        <v>5</v>
      </c>
      <c r="D41">
        <v>2549</v>
      </c>
    </row>
    <row r="42" spans="2:4" x14ac:dyDescent="0.25">
      <c r="B42" t="s">
        <v>17</v>
      </c>
      <c r="C42" t="s">
        <v>11</v>
      </c>
      <c r="D42">
        <v>2047</v>
      </c>
    </row>
    <row r="43" spans="2:4" x14ac:dyDescent="0.25">
      <c r="B43" t="s">
        <v>16</v>
      </c>
      <c r="C43" t="s">
        <v>0</v>
      </c>
      <c r="D43">
        <v>2270</v>
      </c>
    </row>
    <row r="44" spans="2:4" x14ac:dyDescent="0.25">
      <c r="B44" t="s">
        <v>15</v>
      </c>
      <c r="C44" t="s">
        <v>3</v>
      </c>
      <c r="D44">
        <v>1169</v>
      </c>
    </row>
    <row r="45" spans="2:4" x14ac:dyDescent="0.25">
      <c r="B45" t="s">
        <v>14</v>
      </c>
      <c r="C45" t="s">
        <v>11</v>
      </c>
      <c r="D45">
        <v>1673</v>
      </c>
    </row>
    <row r="46" spans="2:4" x14ac:dyDescent="0.25">
      <c r="B46" t="s">
        <v>13</v>
      </c>
      <c r="C46" t="s">
        <v>0</v>
      </c>
      <c r="D46">
        <v>2293</v>
      </c>
    </row>
    <row r="47" spans="2:4" x14ac:dyDescent="0.25">
      <c r="B47" t="s">
        <v>12</v>
      </c>
      <c r="C47" t="s">
        <v>11</v>
      </c>
      <c r="D47">
        <v>2337</v>
      </c>
    </row>
    <row r="48" spans="2:4" x14ac:dyDescent="0.25">
      <c r="B48" t="s">
        <v>10</v>
      </c>
      <c r="C48" t="s">
        <v>0</v>
      </c>
      <c r="D48">
        <v>3127</v>
      </c>
    </row>
    <row r="49" spans="2:4" x14ac:dyDescent="0.25">
      <c r="B49" t="s">
        <v>9</v>
      </c>
      <c r="C49" t="s">
        <v>5</v>
      </c>
      <c r="D49">
        <v>1706</v>
      </c>
    </row>
    <row r="50" spans="2:4" x14ac:dyDescent="0.25">
      <c r="B50" t="s">
        <v>8</v>
      </c>
      <c r="C50" t="s">
        <v>5</v>
      </c>
      <c r="D50">
        <v>1179</v>
      </c>
    </row>
    <row r="51" spans="2:4" x14ac:dyDescent="0.25">
      <c r="B51" t="s">
        <v>7</v>
      </c>
      <c r="C51" t="s">
        <v>3</v>
      </c>
      <c r="D51">
        <v>3317</v>
      </c>
    </row>
    <row r="52" spans="2:4" x14ac:dyDescent="0.25">
      <c r="B52" t="s">
        <v>6</v>
      </c>
      <c r="C52" t="s">
        <v>5</v>
      </c>
      <c r="D52">
        <v>3049</v>
      </c>
    </row>
    <row r="53" spans="2:4" x14ac:dyDescent="0.25">
      <c r="B53" t="s">
        <v>4</v>
      </c>
      <c r="C53" t="s">
        <v>3</v>
      </c>
      <c r="D53">
        <v>2765</v>
      </c>
    </row>
    <row r="54" spans="2:4" x14ac:dyDescent="0.25">
      <c r="B54" t="s">
        <v>2</v>
      </c>
      <c r="C54" t="s">
        <v>0</v>
      </c>
      <c r="D54">
        <v>1445</v>
      </c>
    </row>
    <row r="55" spans="2:4" x14ac:dyDescent="0.25">
      <c r="B55" t="s">
        <v>1</v>
      </c>
      <c r="C55" t="s">
        <v>0</v>
      </c>
      <c r="D55">
        <v>2031</v>
      </c>
    </row>
    <row r="56" spans="2:4" x14ac:dyDescent="0.25">
      <c r="B56" t="s">
        <v>61</v>
      </c>
      <c r="C56" t="s">
        <v>11</v>
      </c>
      <c r="D56">
        <v>2000</v>
      </c>
    </row>
  </sheetData>
  <dataValidations count="1">
    <dataValidation type="list" allowBlank="1" showInputMessage="1" showErrorMessage="1" sqref="H5" xr:uid="{38276F97-BD8E-40F5-A308-8B86D5078BC0}">
      <formula1>$C$6:$C$56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EC-30</vt:lpstr>
      <vt:lpstr>'EC-30'!Criteria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Тарас Андрійович Осипчук</cp:lastModifiedBy>
  <dcterms:created xsi:type="dcterms:W3CDTF">2023-06-16T12:06:14Z</dcterms:created>
  <dcterms:modified xsi:type="dcterms:W3CDTF">2026-06-28T07:40:20Z</dcterms:modified>
</cp:coreProperties>
</file>