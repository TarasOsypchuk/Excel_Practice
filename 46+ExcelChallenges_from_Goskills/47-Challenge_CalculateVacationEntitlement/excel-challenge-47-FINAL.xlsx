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ThinkPad\Desktop\Excel_Practice-main\46+ExcelChallenges_from_Goskills\47-Challenge_CalculateVacationEntitlement\"/>
    </mc:Choice>
  </mc:AlternateContent>
  <xr:revisionPtr revIDLastSave="0" documentId="13_ncr:1_{EBA7991E-38C2-4D46-9109-579CD69516C6}" xr6:coauthVersionLast="47" xr6:coauthVersionMax="47" xr10:uidLastSave="{00000000-0000-0000-0000-000000000000}"/>
  <bookViews>
    <workbookView xWindow="-120" yWindow="-120" windowWidth="29040" windowHeight="15720" activeTab="1" xr2:uid="{00000000-000D-0000-FFFF-FFFF00000000}"/>
  </bookViews>
  <sheets>
    <sheet name="Challenge" sheetId="6" r:id="rId1"/>
    <sheet name="VacationTracker" sheetId="1" r:id="rId2"/>
    <sheet name="Transactions" sheetId="5" r:id="rId3"/>
  </sheets>
  <definedNames>
    <definedName name="_xlnm._FilterDatabase" localSheetId="2" hidden="1">Transactions!$A$1:$A$32</definedName>
    <definedName name="_xlnm._FilterDatabase" localSheetId="1" hidden="1">VacationTracker!$A$1:$L$32</definedName>
    <definedName name="_xlnm.Print_Area" localSheetId="0">Challenge!$A$1:$M$27</definedName>
    <definedName name="_xlnm.Print_Area" localSheetId="2">Transactions!$A$1:$B$32</definedName>
    <definedName name="_xlnm.Print_Area" localSheetId="1">VacationTracker!$A$1:$O$32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2" i="1" l="1" a="1"/>
  <c r="K2" i="1" s="1"/>
  <c r="C32" i="1" a="1"/>
  <c r="C32" i="1" s="1"/>
  <c r="D32" i="1" s="1"/>
  <c r="C31" i="1" a="1"/>
  <c r="C31" i="1" s="1"/>
  <c r="D31" i="1" s="1"/>
  <c r="C30" i="1" a="1"/>
  <c r="C30" i="1" s="1"/>
  <c r="D30" i="1" s="1"/>
  <c r="C29" i="1" a="1"/>
  <c r="C29" i="1" s="1"/>
  <c r="D29" i="1" s="1"/>
  <c r="C28" i="1" a="1"/>
  <c r="C28" i="1" s="1"/>
  <c r="D28" i="1" s="1"/>
  <c r="C27" i="1" a="1"/>
  <c r="C27" i="1" s="1"/>
  <c r="D27" i="1" s="1"/>
  <c r="C26" i="1" a="1"/>
  <c r="C26" i="1" s="1"/>
  <c r="D26" i="1" s="1"/>
  <c r="C25" i="1" a="1"/>
  <c r="C25" i="1" s="1"/>
  <c r="D25" i="1" s="1"/>
  <c r="C24" i="1" a="1"/>
  <c r="C24" i="1" s="1"/>
  <c r="D24" i="1" s="1"/>
  <c r="C23" i="1" a="1"/>
  <c r="C23" i="1" s="1"/>
  <c r="D23" i="1" s="1"/>
  <c r="C22" i="1" a="1"/>
  <c r="C22" i="1" s="1"/>
  <c r="D22" i="1" s="1"/>
  <c r="C21" i="1" a="1"/>
  <c r="C21" i="1" s="1"/>
  <c r="D21" i="1" s="1"/>
  <c r="C20" i="1" a="1"/>
  <c r="C20" i="1" s="1"/>
  <c r="D20" i="1" s="1"/>
  <c r="C19" i="1" a="1"/>
  <c r="C19" i="1" s="1"/>
  <c r="D19" i="1" s="1"/>
  <c r="C18" i="1" a="1"/>
  <c r="C18" i="1" s="1"/>
  <c r="D18" i="1" s="1"/>
  <c r="C17" i="1" a="1"/>
  <c r="C17" i="1" s="1"/>
  <c r="D17" i="1" s="1"/>
  <c r="C16" i="1" a="1"/>
  <c r="C16" i="1" s="1"/>
  <c r="D16" i="1" s="1"/>
  <c r="C15" i="1" a="1"/>
  <c r="C15" i="1" s="1"/>
  <c r="D15" i="1" s="1"/>
  <c r="C14" i="1" a="1"/>
  <c r="C14" i="1" s="1"/>
  <c r="D14" i="1" s="1"/>
  <c r="C13" i="1" a="1"/>
  <c r="C13" i="1" s="1"/>
  <c r="D13" i="1" s="1"/>
  <c r="C12" i="1" a="1"/>
  <c r="C12" i="1" s="1"/>
  <c r="D12" i="1" s="1"/>
  <c r="C11" i="1" a="1"/>
  <c r="C11" i="1" s="1"/>
  <c r="D11" i="1" s="1"/>
  <c r="C10" i="1" a="1"/>
  <c r="C10" i="1" s="1"/>
  <c r="D10" i="1" s="1"/>
  <c r="C9" i="1" a="1"/>
  <c r="C9" i="1" s="1"/>
  <c r="D9" i="1" s="1"/>
  <c r="C8" i="1" a="1"/>
  <c r="C8" i="1" s="1"/>
  <c r="D8" i="1" s="1"/>
  <c r="C7" i="1" a="1"/>
  <c r="C7" i="1" s="1"/>
  <c r="D7" i="1" s="1"/>
  <c r="C6" i="1" a="1"/>
  <c r="C6" i="1" s="1"/>
  <c r="D6" i="1" s="1"/>
  <c r="C5" i="1" a="1"/>
  <c r="C5" i="1" s="1"/>
  <c r="D5" i="1" s="1"/>
  <c r="C4" i="1" a="1"/>
  <c r="C4" i="1" s="1"/>
  <c r="D4" i="1" s="1"/>
  <c r="C3" i="1" a="1"/>
  <c r="C3" i="1" s="1"/>
  <c r="D3" i="1" s="1"/>
  <c r="C2" i="1" a="1"/>
  <c r="C2" i="1" s="1"/>
  <c r="D2" i="1" s="1"/>
  <c r="O1" i="1"/>
  <c r="F2" i="1" s="1"/>
  <c r="F9" i="1" l="1"/>
  <c r="G9" i="1" s="1"/>
  <c r="I9" i="1" s="1" a="1"/>
  <c r="I9" i="1" s="1"/>
  <c r="F17" i="1"/>
  <c r="G17" i="1" s="1"/>
  <c r="I17" i="1" s="1" a="1"/>
  <c r="I17" i="1" s="1"/>
  <c r="F25" i="1"/>
  <c r="G25" i="1" s="1"/>
  <c r="I25" i="1" s="1" a="1"/>
  <c r="I25" i="1" s="1"/>
  <c r="F10" i="1"/>
  <c r="G10" i="1" s="1"/>
  <c r="I10" i="1" s="1" a="1"/>
  <c r="I10" i="1" s="1"/>
  <c r="F18" i="1"/>
  <c r="F26" i="1"/>
  <c r="G26" i="1" s="1"/>
  <c r="I26" i="1" s="1" a="1"/>
  <c r="I26" i="1" s="1"/>
  <c r="F3" i="1"/>
  <c r="G3" i="1" s="1"/>
  <c r="I3" i="1" s="1" a="1"/>
  <c r="I3" i="1" s="1"/>
  <c r="F11" i="1"/>
  <c r="G11" i="1" s="1"/>
  <c r="I11" i="1" s="1" a="1"/>
  <c r="I11" i="1" s="1"/>
  <c r="F19" i="1"/>
  <c r="G19" i="1" s="1"/>
  <c r="I19" i="1" s="1" a="1"/>
  <c r="I19" i="1" s="1"/>
  <c r="F27" i="1"/>
  <c r="G27" i="1" s="1"/>
  <c r="I27" i="1" s="1" a="1"/>
  <c r="I27" i="1" s="1"/>
  <c r="F4" i="1"/>
  <c r="G4" i="1" s="1"/>
  <c r="I4" i="1" s="1" a="1"/>
  <c r="I4" i="1" s="1"/>
  <c r="F12" i="1"/>
  <c r="G12" i="1" s="1"/>
  <c r="I12" i="1" s="1" a="1"/>
  <c r="I12" i="1" s="1"/>
  <c r="F20" i="1"/>
  <c r="F28" i="1"/>
  <c r="G28" i="1" s="1"/>
  <c r="I28" i="1" s="1" a="1"/>
  <c r="I28" i="1" s="1"/>
  <c r="F5" i="1"/>
  <c r="G5" i="1" s="1"/>
  <c r="I5" i="1" s="1" a="1"/>
  <c r="I5" i="1" s="1"/>
  <c r="F13" i="1"/>
  <c r="G13" i="1" s="1"/>
  <c r="I13" i="1" s="1" a="1"/>
  <c r="I13" i="1" s="1"/>
  <c r="F21" i="1"/>
  <c r="G21" i="1" s="1"/>
  <c r="I21" i="1" s="1" a="1"/>
  <c r="I21" i="1" s="1"/>
  <c r="F29" i="1"/>
  <c r="G29" i="1" s="1"/>
  <c r="I29" i="1" s="1" a="1"/>
  <c r="I29" i="1" s="1"/>
  <c r="F6" i="1"/>
  <c r="G6" i="1" s="1"/>
  <c r="I6" i="1" s="1" a="1"/>
  <c r="I6" i="1" s="1"/>
  <c r="F14" i="1"/>
  <c r="G14" i="1" s="1"/>
  <c r="I14" i="1" s="1" a="1"/>
  <c r="I14" i="1" s="1"/>
  <c r="F22" i="1"/>
  <c r="F30" i="1"/>
  <c r="G30" i="1" s="1"/>
  <c r="I30" i="1" s="1" a="1"/>
  <c r="I30" i="1" s="1"/>
  <c r="F7" i="1"/>
  <c r="G7" i="1" s="1"/>
  <c r="I7" i="1" s="1" a="1"/>
  <c r="I7" i="1" s="1"/>
  <c r="F15" i="1"/>
  <c r="G15" i="1" s="1"/>
  <c r="I15" i="1" s="1" a="1"/>
  <c r="I15" i="1" s="1"/>
  <c r="F23" i="1"/>
  <c r="G23" i="1" s="1"/>
  <c r="I23" i="1" s="1" a="1"/>
  <c r="I23" i="1" s="1"/>
  <c r="F31" i="1"/>
  <c r="G31" i="1" s="1"/>
  <c r="I31" i="1" s="1" a="1"/>
  <c r="I31" i="1" s="1"/>
  <c r="F8" i="1"/>
  <c r="G8" i="1" s="1"/>
  <c r="I8" i="1" s="1" a="1"/>
  <c r="I8" i="1" s="1"/>
  <c r="F16" i="1"/>
  <c r="G16" i="1" s="1"/>
  <c r="I16" i="1" s="1" a="1"/>
  <c r="I16" i="1" s="1"/>
  <c r="F24" i="1"/>
  <c r="G24" i="1" s="1"/>
  <c r="I24" i="1" s="1" a="1"/>
  <c r="I24" i="1" s="1"/>
  <c r="F32" i="1"/>
  <c r="G32" i="1" s="1"/>
  <c r="I32" i="1" s="1" a="1"/>
  <c r="I32" i="1" s="1"/>
  <c r="G18" i="1"/>
  <c r="I18" i="1" s="1" a="1"/>
  <c r="I18" i="1" s="1"/>
  <c r="G22" i="1"/>
  <c r="I22" i="1" s="1" a="1"/>
  <c r="I22" i="1" s="1"/>
  <c r="G20" i="1"/>
  <c r="I20" i="1" s="1" a="1"/>
  <c r="I20" i="1" s="1"/>
  <c r="G2" i="1"/>
  <c r="I2" i="1" s="1" a="1"/>
  <c r="I2" i="1" s="1"/>
  <c r="J23" i="1" l="1"/>
  <c r="L23" i="1" s="1"/>
  <c r="J4" i="1"/>
  <c r="L4" i="1" s="1"/>
  <c r="J18" i="1"/>
  <c r="L18" i="1" s="1"/>
  <c r="J16" i="1"/>
  <c r="J13" i="1"/>
  <c r="L13" i="1" s="1"/>
  <c r="J19" i="1"/>
  <c r="L19" i="1" s="1"/>
  <c r="J31" i="1"/>
  <c r="L31" i="1" s="1"/>
  <c r="J8" i="1"/>
  <c r="L8" i="1" s="1"/>
  <c r="J27" i="1"/>
  <c r="L27" i="1" s="1"/>
  <c r="J30" i="1"/>
  <c r="J6" i="1"/>
  <c r="J26" i="1"/>
  <c r="L26" i="1" s="1"/>
  <c r="J12" i="1"/>
  <c r="L12" i="1" s="1"/>
  <c r="J14" i="1"/>
  <c r="L14" i="1" s="1"/>
  <c r="J3" i="1"/>
  <c r="L3" i="1" s="1"/>
  <c r="O4" i="1" s="1"/>
  <c r="O5" i="1" s="1"/>
  <c r="J20" i="1"/>
  <c r="L20" i="1" s="1"/>
  <c r="J22" i="1"/>
  <c r="J24" i="1"/>
  <c r="L24" i="1" s="1"/>
  <c r="J28" i="1"/>
  <c r="L28" i="1" s="1"/>
  <c r="J32" i="1"/>
  <c r="L32" i="1" s="1"/>
  <c r="J5" i="1"/>
  <c r="L5" i="1" s="1"/>
  <c r="J7" i="1"/>
  <c r="L7" i="1" s="1"/>
  <c r="J10" i="1"/>
  <c r="L10" i="1" s="1"/>
  <c r="J15" i="1"/>
  <c r="L15" i="1" s="1"/>
  <c r="J21" i="1"/>
  <c r="J25" i="1"/>
  <c r="L25" i="1" s="1"/>
  <c r="J11" i="1"/>
  <c r="J17" i="1"/>
  <c r="L17" i="1" s="1"/>
  <c r="J9" i="1"/>
  <c r="L9" i="1" s="1"/>
  <c r="J29" i="1"/>
  <c r="J2" i="1"/>
  <c r="L11" i="1" l="1"/>
  <c r="L22" i="1"/>
  <c r="L29" i="1"/>
  <c r="L16" i="1"/>
  <c r="L30" i="1"/>
  <c r="L21" i="1"/>
  <c r="L6" i="1"/>
  <c r="L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<sst xmlns="http://schemas.openxmlformats.org/spreadsheetml/2006/main" count="105" uniqueCount="66">
  <si>
    <t>Surname, name</t>
  </si>
  <si>
    <t>Emma Smith</t>
  </si>
  <si>
    <t>Liam Johnson</t>
  </si>
  <si>
    <t>Olivia Brown</t>
  </si>
  <si>
    <t>Noah Williams</t>
  </si>
  <si>
    <t>Ava Jones</t>
  </si>
  <si>
    <t>Ethan Garcia</t>
  </si>
  <si>
    <t>Sophia Miller</t>
  </si>
  <si>
    <t>Mason Davis</t>
  </si>
  <si>
    <t>Isabella Martinez</t>
  </si>
  <si>
    <t>Lucas Hernandez</t>
  </si>
  <si>
    <t>Amelia Lopez</t>
  </si>
  <si>
    <t>Logan Gonzalez</t>
  </si>
  <si>
    <t>Mia Wilson</t>
  </si>
  <si>
    <t>James Anderson</t>
  </si>
  <si>
    <t>Charlotte Thomas</t>
  </si>
  <si>
    <t>Benjamin Taylor</t>
  </si>
  <si>
    <t>Harper Moore</t>
  </si>
  <si>
    <t>Elijah Jackson</t>
  </si>
  <si>
    <t>Evelyn Martin</t>
  </si>
  <si>
    <t>Alexander Lee</t>
  </si>
  <si>
    <t>Abigail Perez</t>
  </si>
  <si>
    <t>Daniel Thompson</t>
  </si>
  <si>
    <t>Aria White</t>
  </si>
  <si>
    <t>Sebastian Harris</t>
  </si>
  <si>
    <t>Ella Sanchez</t>
  </si>
  <si>
    <t>Aiden Clark</t>
  </si>
  <si>
    <t>Lily Ramirez</t>
  </si>
  <si>
    <t>Jack Lewis</t>
  </si>
  <si>
    <t>Scarlett Walker</t>
  </si>
  <si>
    <t>Henry Young</t>
  </si>
  <si>
    <t>Grace Hall</t>
  </si>
  <si>
    <t>TODAY</t>
  </si>
  <si>
    <t>GoSkills Excel Challenge 47</t>
  </si>
  <si>
    <t>•</t>
  </si>
  <si>
    <t>Name and surname</t>
  </si>
  <si>
    <t>Employment start date</t>
  </si>
  <si>
    <t>Work experience at previous workplaces 
(in full years)</t>
  </si>
  <si>
    <t>Work experience at current workplace 
(in full years)</t>
  </si>
  <si>
    <t>Total work experience 
(in years)</t>
  </si>
  <si>
    <t>Total vacation days</t>
  </si>
  <si>
    <t>Vacation days used</t>
  </si>
  <si>
    <t>Remaining vacation Days</t>
  </si>
  <si>
    <t>Additional vacation days</t>
  </si>
  <si>
    <t>Annual vacation entitlement</t>
  </si>
  <si>
    <t>Start date of vacation period</t>
  </si>
  <si>
    <t>End date of vacation period</t>
  </si>
  <si>
    <t>Total vacation days used</t>
  </si>
  <si>
    <t>Employee</t>
  </si>
  <si>
    <t>Remaining vacation days</t>
  </si>
  <si>
    <t>Use by</t>
  </si>
  <si>
    <t>The goal of this challenge is to inform employees in an organization about their remaining vacation days and the deadline by which they must redeem them. To determine these, you’ll need to:</t>
  </si>
  <si>
    <t>When selecting an employee from the drop-down list in the VacationTracker tab, it retrieves their remaining vacation days and end-of-period dates.</t>
  </si>
  <si>
    <r>
      <t xml:space="preserve">If the </t>
    </r>
    <r>
      <rPr>
        <b/>
        <sz val="14"/>
        <color rgb="FF35373C"/>
        <rFont val="Inter"/>
      </rPr>
      <t>start month is the same as the current month</t>
    </r>
    <r>
      <rPr>
        <sz val="14"/>
        <color rgb="FF35373C"/>
        <rFont val="Inter"/>
      </rPr>
      <t>:</t>
    </r>
  </si>
  <si>
    <r>
      <rPr>
        <b/>
        <sz val="14"/>
        <color rgb="FF35373C"/>
        <rFont val="Inter"/>
      </rPr>
      <t>Add 3 days</t>
    </r>
    <r>
      <rPr>
        <sz val="14"/>
        <color rgb="FF35373C"/>
        <rFont val="Inter"/>
      </rPr>
      <t xml:space="preserve"> if total work experience is less than 10 years</t>
    </r>
  </si>
  <si>
    <r>
      <rPr>
        <b/>
        <sz val="14"/>
        <color rgb="FF35373C"/>
        <rFont val="Inter"/>
      </rPr>
      <t>Add 6 days</t>
    </r>
    <r>
      <rPr>
        <sz val="14"/>
        <color rgb="FF35373C"/>
        <rFont val="Inter"/>
      </rPr>
      <t xml:space="preserve"> if total work experience is between 10 and 20 years.</t>
    </r>
  </si>
  <si>
    <r>
      <rPr>
        <b/>
        <sz val="14"/>
        <color rgb="FF35373C"/>
        <rFont val="Inter"/>
      </rPr>
      <t>Add 9 days</t>
    </r>
    <r>
      <rPr>
        <sz val="14"/>
        <color rgb="FF35373C"/>
        <rFont val="Inter"/>
      </rPr>
      <t xml:space="preserve"> if total work experience is more than 20 years.</t>
    </r>
  </si>
  <si>
    <t>Calculate the start of the vacation period (Column C of the VacationTracker tab), use the employee's start month and start day (from Column B). For example, if TODAY() were June 1, 2024:</t>
  </si>
  <si>
    <t>Determine the end of the vacation period (Column D) by adding one year to start of the vacation period.</t>
  </si>
  <si>
    <t>Calculate the total years of experience in their current workplace (Column F) based on the employment start date and the TODAY() date specified in cell O1.</t>
  </si>
  <si>
    <t>Calculate the additional vacation days based on total work experience (Column I) using the following criteria:</t>
  </si>
  <si>
    <t>Extract the total vacation days used by each employee from the Transactions tab and enter the values into Column K of the VacationTracker tab.</t>
  </si>
  <si>
    <r>
      <t xml:space="preserve">If the </t>
    </r>
    <r>
      <rPr>
        <b/>
        <sz val="14"/>
        <color rgb="FF35373C"/>
        <rFont val="Inter"/>
      </rPr>
      <t>start month is later than the current month</t>
    </r>
    <r>
      <rPr>
        <sz val="14"/>
        <color rgb="FF35373C"/>
        <rFont val="Inter"/>
      </rPr>
      <t xml:space="preserve">, use the start month, start day, and the previous year. </t>
    </r>
    <r>
      <rPr>
        <b/>
        <i/>
        <sz val="14"/>
        <color rgb="FF35373C"/>
        <rFont val="Inter"/>
      </rPr>
      <t>Example:</t>
    </r>
    <r>
      <rPr>
        <i/>
        <sz val="14"/>
        <color rgb="FF35373C"/>
        <rFont val="Inter"/>
      </rPr>
      <t xml:space="preserve"> Start date: October 15, 2020 → Vacation start: October 15, 2023.</t>
    </r>
  </si>
  <si>
    <r>
      <t xml:space="preserve">If the </t>
    </r>
    <r>
      <rPr>
        <b/>
        <sz val="14"/>
        <color rgb="FF35373C"/>
        <rFont val="Inter"/>
      </rPr>
      <t>start month is earlier than the current month</t>
    </r>
    <r>
      <rPr>
        <sz val="14"/>
        <color rgb="FF35373C"/>
        <rFont val="Inter"/>
      </rPr>
      <t>, use the start month, start day, and the current year.</t>
    </r>
    <r>
      <rPr>
        <b/>
        <sz val="14"/>
        <color rgb="FF35373C"/>
        <rFont val="Inter"/>
      </rPr>
      <t xml:space="preserve"> </t>
    </r>
    <r>
      <rPr>
        <b/>
        <i/>
        <sz val="14"/>
        <color rgb="FF35373C"/>
        <rFont val="Inter"/>
      </rPr>
      <t>Example:</t>
    </r>
    <r>
      <rPr>
        <i/>
        <sz val="14"/>
        <color rgb="FF35373C"/>
        <rFont val="Inter"/>
      </rPr>
      <t xml:space="preserve"> Start date: April 15, 2020 → Vacation start: April 15, 2024.</t>
    </r>
  </si>
  <si>
    <r>
      <t xml:space="preserve">Use the current year if the start day is earlier or matches the current day. </t>
    </r>
    <r>
      <rPr>
        <b/>
        <i/>
        <sz val="14"/>
        <color rgb="FF35373C"/>
        <rFont val="Inter"/>
      </rPr>
      <t>Example:</t>
    </r>
    <r>
      <rPr>
        <sz val="14"/>
        <color rgb="FF35373C"/>
        <rFont val="Inter"/>
      </rPr>
      <t xml:space="preserve"> </t>
    </r>
    <r>
      <rPr>
        <i/>
        <sz val="14"/>
        <color rgb="FF35373C"/>
        <rFont val="Inter"/>
      </rPr>
      <t>Start date: June 1, 2020 → Vacation start: June 1, 2024.</t>
    </r>
  </si>
  <si>
    <r>
      <t xml:space="preserve">Use the previous year if the start day is later than the current day. </t>
    </r>
    <r>
      <rPr>
        <b/>
        <i/>
        <sz val="14"/>
        <color rgb="FF35373C"/>
        <rFont val="Inter"/>
      </rPr>
      <t>Example:</t>
    </r>
    <r>
      <rPr>
        <sz val="14"/>
        <color rgb="FF35373C"/>
        <rFont val="Inter"/>
      </rPr>
      <t xml:space="preserve"> </t>
    </r>
    <r>
      <rPr>
        <i/>
        <sz val="14"/>
        <color rgb="FF35373C"/>
        <rFont val="Inter"/>
      </rPr>
      <t>Start date: June 15, 2020 → Vacation start: June 15, 2023.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</si>
</sst>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mmmm\ d\,\ yyyy;@"/>
    <numFmt numFmtId="165" formatCode="yyyy\-mm\-dd;@"/>
  </numFmts>
  <fonts count="25">
    <font>
      <sz val="11"/>
      <color theme="1"/>
      <name val="Calibri"/>
      <family val="2"/>
      <scheme val="minor"/>
    </font>
    <font>
      <sz val="10"/>
      <color theme="1"/>
      <name val="Calibri"/>
      <family val="2"/>
      <scheme val="minor"/>
    </font>
    <font>
      <b/>
      <sz val="14"/>
      <color rgb="FFE63946"/>
      <name val="Roboto"/>
    </font>
    <font>
      <sz val="12"/>
      <color rgb="FF457B9D"/>
      <name val="Roboto"/>
    </font>
    <font>
      <b/>
      <sz val="12"/>
      <color theme="0"/>
      <name val="Calibri"/>
      <family val="2"/>
      <scheme val="minor"/>
    </font>
    <font>
      <sz val="12"/>
      <color rgb="FF35373C"/>
      <name val="Roboto"/>
    </font>
    <font>
      <b/>
      <sz val="25"/>
      <color rgb="FF35373C"/>
      <name val="Arial"/>
      <family val="2"/>
    </font>
    <font>
      <b/>
      <sz val="13"/>
      <color rgb="FF35373C"/>
      <name val="Inter"/>
    </font>
    <font>
      <sz val="15"/>
      <color rgb="FF35373C"/>
      <name val="Roboto"/>
    </font>
    <font>
      <b/>
      <sz val="15"/>
      <color rgb="FF35373C"/>
      <name val="Inter"/>
    </font>
    <font>
      <sz val="14"/>
      <color rgb="FF35373C"/>
      <name val="Inter"/>
    </font>
    <font>
      <sz val="14"/>
      <color rgb="FF457B9D"/>
      <name val="Roboto"/>
    </font>
    <font>
      <i/>
      <sz val="14"/>
      <color rgb="FF35373C"/>
      <name val="Inter"/>
    </font>
    <font>
      <b/>
      <sz val="11"/>
      <color rgb="FF1D3557"/>
      <name val="Inter"/>
    </font>
    <font>
      <b/>
      <sz val="11"/>
      <color rgb="FF35373C"/>
      <name val="Inter"/>
    </font>
    <font>
      <b/>
      <sz val="12"/>
      <color rgb="FF35373C"/>
      <name val="Calibri"/>
      <family val="2"/>
      <scheme val="minor"/>
    </font>
    <font>
      <sz val="11"/>
      <color rgb="FF35373C"/>
      <name val="Inter"/>
    </font>
    <font>
      <sz val="14"/>
      <color rgb="FFFF0000"/>
      <name val="Inter"/>
    </font>
    <font>
      <sz val="14"/>
      <color rgb="FFFF0000"/>
      <name val="Roboto"/>
    </font>
    <font>
      <sz val="12"/>
      <color rgb="FFFF0000"/>
      <name val="Roboto"/>
    </font>
    <font>
      <b/>
      <sz val="10"/>
      <color rgb="FFFF0000"/>
      <name val="Calibri"/>
      <family val="2"/>
      <scheme val="minor"/>
    </font>
    <font>
      <sz val="10"/>
      <color theme="1"/>
      <name val="Inter"/>
    </font>
    <font>
      <sz val="12"/>
      <color rgb="FF35373C"/>
      <name val="Inter"/>
    </font>
    <font>
      <b/>
      <sz val="14"/>
      <color rgb="FF35373C"/>
      <name val="Inter"/>
    </font>
    <font>
      <b/>
      <i/>
      <sz val="14"/>
      <color rgb="FF35373C"/>
      <name val="Inter"/>
    </font>
  </fonts>
  <fills count="8">
    <fill>
      <patternFill patternType="none"/>
    </fill>
    <fill>
      <patternFill patternType="gray125"/>
    </fill>
    <fill>
      <patternFill patternType="solid">
        <fgColor rgb="FFFFD823"/>
        <bgColor indexed="64"/>
      </patternFill>
    </fill>
    <fill>
      <patternFill patternType="solid">
        <fgColor rgb="FF35373C"/>
        <bgColor indexed="64"/>
      </patternFill>
    </fill>
    <fill>
      <patternFill patternType="solid">
        <fgColor rgb="FFFBF2D4"/>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4.9989318521683403E-2"/>
        <bgColor indexed="64"/>
      </patternFill>
    </fill>
  </fills>
  <borders count="10">
    <border>
      <left/>
      <right/>
      <top/>
      <bottom/>
      <diagonal/>
    </border>
    <border>
      <left style="medium">
        <color rgb="FF35373C"/>
      </left>
      <right/>
      <top style="medium">
        <color rgb="FF35373C"/>
      </top>
      <bottom/>
      <diagonal/>
    </border>
    <border>
      <left/>
      <right/>
      <top style="medium">
        <color rgb="FF35373C"/>
      </top>
      <bottom/>
      <diagonal/>
    </border>
    <border>
      <left/>
      <right style="medium">
        <color rgb="FF35373C"/>
      </right>
      <top style="medium">
        <color rgb="FF35373C"/>
      </top>
      <bottom/>
      <diagonal/>
    </border>
    <border>
      <left style="medium">
        <color rgb="FF35373C"/>
      </left>
      <right/>
      <top/>
      <bottom/>
      <diagonal/>
    </border>
    <border>
      <left/>
      <right style="medium">
        <color rgb="FF35373C"/>
      </right>
      <top/>
      <bottom/>
      <diagonal/>
    </border>
    <border>
      <left style="medium">
        <color rgb="FF35373C"/>
      </left>
      <right/>
      <top/>
      <bottom style="medium">
        <color rgb="FF35373C"/>
      </bottom>
      <diagonal/>
    </border>
    <border>
      <left/>
      <right/>
      <top/>
      <bottom style="medium">
        <color rgb="FF35373C"/>
      </bottom>
      <diagonal/>
    </border>
    <border>
      <left/>
      <right style="medium">
        <color rgb="FF35373C"/>
      </right>
      <top/>
      <bottom style="medium">
        <color rgb="FF35373C"/>
      </bottom>
      <diagonal/>
    </border>
    <border>
      <left style="medium">
        <color theme="0"/>
      </left>
      <right style="medium">
        <color theme="0"/>
      </right>
      <top style="medium">
        <color theme="0"/>
      </top>
      <bottom style="medium">
        <color theme="0"/>
      </bottom>
      <diagonal/>
    </border>
  </borders>
  <cellStyleXfs count="1">
    <xf numFmtId="0" fontId="0" fillId="0" borderId="0"/>
  </cellStyleXfs>
  <cellXfs count="50">
    <xf numFmtId="0" fontId="0" fillId="0" borderId="0" xfId="0"/>
    <xf numFmtId="0" fontId="1" fillId="0" borderId="0" xfId="0" applyFont="1" applyAlignment="1">
      <alignment horizontal="center" vertical="center" wrapText="1"/>
    </xf>
    <xf numFmtId="0" fontId="1" fillId="0" borderId="0" xfId="0" applyFont="1" applyAlignment="1">
      <alignment vertical="center"/>
    </xf>
    <xf numFmtId="14" fontId="1" fillId="0" borderId="0" xfId="0" applyNumberFormat="1" applyFont="1" applyAlignment="1">
      <alignment vertical="center"/>
    </xf>
    <xf numFmtId="2" fontId="1" fillId="0" borderId="0" xfId="0" applyNumberFormat="1" applyFont="1" applyAlignment="1">
      <alignment horizontal="center" vertical="center"/>
    </xf>
    <xf numFmtId="0" fontId="3" fillId="0" borderId="0" xfId="0" applyFont="1" applyAlignment="1">
      <alignment vertical="center"/>
    </xf>
    <xf numFmtId="0" fontId="2" fillId="0" borderId="0" xfId="0" applyFont="1" applyAlignment="1">
      <alignment vertical="center"/>
    </xf>
    <xf numFmtId="0" fontId="5" fillId="0" borderId="0" xfId="0" applyFont="1" applyAlignment="1">
      <alignment vertical="center"/>
    </xf>
    <xf numFmtId="0" fontId="6" fillId="0" borderId="0" xfId="0" applyFont="1" applyAlignment="1">
      <alignment horizontal="left" vertical="center"/>
    </xf>
    <xf numFmtId="0" fontId="7"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3" fillId="0" borderId="1" xfId="0" applyFont="1" applyBorder="1" applyAlignment="1">
      <alignment vertical="center"/>
    </xf>
    <xf numFmtId="0" fontId="3" fillId="0" borderId="2" xfId="0" applyFont="1" applyBorder="1" applyAlignment="1">
      <alignment vertical="center"/>
    </xf>
    <xf numFmtId="0" fontId="3" fillId="0" borderId="3" xfId="0" applyFont="1" applyBorder="1" applyAlignment="1">
      <alignment vertical="center"/>
    </xf>
    <xf numFmtId="0" fontId="8" fillId="0" borderId="4" xfId="0" applyFont="1" applyBorder="1" applyAlignment="1">
      <alignment vertical="center"/>
      <extLst>
        <ext xmlns:xfpb="http://schemas.microsoft.com/office/spreadsheetml/2022/featurepropertybag" uri="{C7286773-470A-42A8-94C5-96B5CB345126}">
          <xfpb:xfComplement i="0"/>
        </ext>
      </extLst>
    </xf>
    <xf numFmtId="0" fontId="3" fillId="0" borderId="5" xfId="0" applyFont="1" applyBorder="1" applyAlignment="1">
      <alignment vertical="center"/>
    </xf>
    <xf numFmtId="0" fontId="8" fillId="0" borderId="4" xfId="0" applyFont="1" applyBorder="1" applyAlignment="1">
      <alignment vertical="center"/>
    </xf>
    <xf numFmtId="0" fontId="3" fillId="0" borderId="6" xfId="0" applyFont="1" applyBorder="1" applyAlignment="1">
      <alignment vertical="center"/>
    </xf>
    <xf numFmtId="0" fontId="3" fillId="0" borderId="7" xfId="0" applyFont="1" applyBorder="1" applyAlignment="1">
      <alignment vertical="center"/>
    </xf>
    <xf numFmtId="0" fontId="3" fillId="0" borderId="8" xfId="0" applyFont="1" applyBorder="1" applyAlignment="1">
      <alignment vertical="center"/>
    </xf>
    <xf numFmtId="0" fontId="10" fillId="0" borderId="0" xfId="0" applyFont="1" applyAlignment="1">
      <alignment horizontal="center" vertical="center"/>
    </xf>
    <xf numFmtId="0" fontId="1" fillId="0" borderId="0" xfId="0" applyFont="1" applyAlignment="1">
      <alignment horizontal="center" vertical="center"/>
    </xf>
    <xf numFmtId="14" fontId="1" fillId="0" borderId="0" xfId="0" applyNumberFormat="1" applyFont="1" applyAlignment="1">
      <alignment horizontal="center" vertical="center"/>
    </xf>
    <xf numFmtId="0" fontId="14" fillId="6" borderId="9" xfId="0" applyFont="1" applyFill="1" applyBorder="1" applyAlignment="1">
      <alignment horizontal="center" vertical="center" wrapText="1"/>
    </xf>
    <xf numFmtId="14" fontId="14" fillId="6" borderId="9" xfId="0" applyNumberFormat="1" applyFont="1" applyFill="1" applyBorder="1" applyAlignment="1">
      <alignment horizontal="center" vertical="center" wrapText="1"/>
    </xf>
    <xf numFmtId="0" fontId="13" fillId="2" borderId="9"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4" fillId="3" borderId="9" xfId="0" applyFont="1" applyFill="1" applyBorder="1" applyAlignment="1">
      <alignment horizontal="center" vertical="center" wrapText="1"/>
    </xf>
    <xf numFmtId="164" fontId="15" fillId="6" borderId="9" xfId="0" applyNumberFormat="1" applyFont="1" applyFill="1" applyBorder="1" applyAlignment="1">
      <alignment horizontal="center" vertical="center" wrapText="1"/>
    </xf>
    <xf numFmtId="0" fontId="16" fillId="7" borderId="9" xfId="0" applyFont="1" applyFill="1" applyBorder="1" applyAlignment="1">
      <alignment horizontal="left" vertical="center"/>
    </xf>
    <xf numFmtId="14" fontId="16" fillId="4" borderId="9" xfId="0" applyNumberFormat="1" applyFont="1" applyFill="1" applyBorder="1" applyAlignment="1">
      <alignment horizontal="center" vertical="center"/>
    </xf>
    <xf numFmtId="1" fontId="16" fillId="7" borderId="9" xfId="0" applyNumberFormat="1" applyFont="1" applyFill="1" applyBorder="1" applyAlignment="1">
      <alignment horizontal="center" vertical="center"/>
    </xf>
    <xf numFmtId="1" fontId="16" fillId="4" borderId="9" xfId="0" applyNumberFormat="1" applyFont="1" applyFill="1" applyBorder="1" applyAlignment="1">
      <alignment horizontal="center" vertical="center"/>
    </xf>
    <xf numFmtId="0" fontId="16" fillId="7" borderId="9" xfId="0" applyFont="1" applyFill="1" applyBorder="1" applyAlignment="1">
      <alignment horizontal="center" vertical="center"/>
    </xf>
    <xf numFmtId="0" fontId="16" fillId="4" borderId="9" xfId="0" applyFont="1" applyFill="1" applyBorder="1" applyAlignment="1">
      <alignment horizontal="center" vertical="center"/>
    </xf>
    <xf numFmtId="0" fontId="17" fillId="0" borderId="0" xfId="0" applyFont="1" applyAlignment="1">
      <alignment vertical="center"/>
    </xf>
    <xf numFmtId="0" fontId="18" fillId="0" borderId="0" xfId="0" applyFont="1" applyAlignment="1">
      <alignment vertical="center"/>
    </xf>
    <xf numFmtId="0" fontId="19" fillId="0" borderId="0" xfId="0" applyFont="1" applyAlignment="1">
      <alignment vertical="center"/>
    </xf>
    <xf numFmtId="1" fontId="16" fillId="5" borderId="9" xfId="0" applyNumberFormat="1" applyFont="1" applyFill="1" applyBorder="1" applyAlignment="1">
      <alignment horizontal="center" vertical="center"/>
    </xf>
    <xf numFmtId="0" fontId="1" fillId="0" borderId="0" xfId="0" applyFont="1" applyAlignment="1">
      <alignment horizontal="left" vertical="center"/>
    </xf>
    <xf numFmtId="0" fontId="20" fillId="0" borderId="0" xfId="0" applyFont="1" applyAlignment="1">
      <alignment horizontal="left" vertical="center"/>
    </xf>
    <xf numFmtId="0" fontId="14" fillId="2" borderId="9" xfId="0" applyFont="1" applyFill="1" applyBorder="1" applyAlignment="1">
      <alignment horizontal="left" vertical="center" wrapText="1"/>
    </xf>
    <xf numFmtId="0" fontId="21" fillId="4" borderId="9" xfId="0" applyFont="1" applyFill="1" applyBorder="1" applyAlignment="1">
      <alignment horizontal="center" vertical="center"/>
    </xf>
    <xf numFmtId="164" fontId="22" fillId="4" borderId="9" xfId="0" applyNumberFormat="1" applyFont="1" applyFill="1" applyBorder="1" applyAlignment="1">
      <alignment horizontal="center" vertical="center" wrapText="1"/>
    </xf>
    <xf numFmtId="0" fontId="10" fillId="0" borderId="0" xfId="0" applyFont="1" applyAlignment="1">
      <alignment horizontal="left" vertical="center"/>
    </xf>
    <xf numFmtId="165" fontId="16" fillId="7" borderId="9" xfId="0" applyNumberFormat="1" applyFont="1" applyFill="1" applyBorder="1" applyAlignment="1">
      <alignment horizontal="center" vertical="center"/>
    </xf>
    <xf numFmtId="165" fontId="21" fillId="4" borderId="9" xfId="0" applyNumberFormat="1" applyFont="1" applyFill="1" applyBorder="1" applyAlignment="1">
      <alignment horizontal="center" vertical="center"/>
    </xf>
    <xf numFmtId="0" fontId="6" fillId="0" borderId="0" xfId="0" applyFont="1" applyAlignment="1">
      <alignment horizontal="left" vertical="center"/>
    </xf>
  </cellXfs>
  <cellStyles count="1">
    <cellStyle name="Normal" xfId="0" builtinId="0"/>
  </cellStyles>
  <dxfs count="0"/>
  <tableStyles count="1" defaultTableStyle="TableStyleMedium2" defaultPivotStyle="PivotStyleLight16">
    <tableStyle name="Invisible" pivot="0" table="0" count="0" xr9:uid="{BE71DF69-24C8-4B5F-9938-22209D40C89F}"/>
  </tableStyles>
  <colors>
    <mruColors>
      <color rgb="FF35373C"/>
      <color rgb="FFFBF2D4"/>
      <color rgb="FFFFD823"/>
      <color rgb="FF457B9D"/>
      <color rgb="FFE63946"/>
      <color rgb="FFA8DADC"/>
      <color rgb="FF669BBC"/>
      <color rgb="FF1D3557"/>
      <color rgb="FF003E1F"/>
      <color rgb="FFE07A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microsoft.com/office/2022/11/relationships/FeaturePropertyBag" Target="featurePropertyBag/featurePropertyBag.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672352</xdr:colOff>
      <xdr:row>1</xdr:row>
      <xdr:rowOff>0</xdr:rowOff>
    </xdr:from>
    <xdr:to>
      <xdr:col>6</xdr:col>
      <xdr:colOff>16151</xdr:colOff>
      <xdr:row>2</xdr:row>
      <xdr:rowOff>209176</xdr:rowOff>
    </xdr:to>
    <xdr:pic>
      <xdr:nvPicPr>
        <xdr:cNvPr id="3" name="Picture 2">
          <a:extLst>
            <a:ext uri="{FF2B5EF4-FFF2-40B4-BE49-F238E27FC236}">
              <a16:creationId xmlns:a16="http://schemas.microsoft.com/office/drawing/2014/main" id="{1C95E3D4-495A-F144-9F86-8C5646D599B4}"/>
            </a:ext>
          </a:extLst>
        </xdr:cNvPr>
        <xdr:cNvPicPr>
          <a:picLocks noChangeAspect="1"/>
        </xdr:cNvPicPr>
      </xdr:nvPicPr>
      <xdr:blipFill>
        <a:blip xmlns:r="http://schemas.openxmlformats.org/officeDocument/2006/relationships" r:embed="rId1"/>
        <a:stretch>
          <a:fillRect/>
        </a:stretch>
      </xdr:blipFill>
      <xdr:spPr>
        <a:xfrm>
          <a:off x="672352" y="254000"/>
          <a:ext cx="2929681" cy="463176"/>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4DE4A-5C33-45F0-812A-B4C58BDFA54F}">
  <sheetPr>
    <tabColor rgb="FFFFD823"/>
    <pageSetUpPr fitToPage="1"/>
  </sheetPr>
  <dimension ref="A1:AB33"/>
  <sheetViews>
    <sheetView showGridLines="0" topLeftCell="A4" zoomScale="85" zoomScaleNormal="85" workbookViewId="0">
      <selection activeCell="B11" sqref="B11"/>
    </sheetView>
  </sheetViews>
  <sheetFormatPr defaultColWidth="8.7109375" defaultRowHeight="19.899999999999999" customHeight="1"/>
  <cols>
    <col min="1" max="2" width="8.7109375" style="5"/>
    <col min="3" max="4" width="5.7109375" style="5" customWidth="1"/>
    <col min="5" max="12" width="8.7109375" style="5"/>
    <col min="13" max="13" width="113.140625" style="5" customWidth="1"/>
    <col min="14" max="16384" width="8.7109375" style="5"/>
  </cols>
  <sheetData>
    <row r="1" spans="1:28" ht="19.899999999999999" customHeight="1">
      <c r="A1" s="6"/>
    </row>
    <row r="2" spans="1:28" ht="19.899999999999999" customHeight="1">
      <c r="A2" s="6"/>
    </row>
    <row r="3" spans="1:28" ht="19.899999999999999" customHeight="1">
      <c r="A3" s="6"/>
    </row>
    <row r="4" spans="1:28" ht="4.9000000000000004" customHeight="1">
      <c r="A4" s="6"/>
    </row>
    <row r="5" spans="1:28" ht="19.899999999999999" customHeight="1">
      <c r="B5" s="49" t="s">
        <v>33</v>
      </c>
      <c r="C5" s="49"/>
      <c r="D5" s="49"/>
      <c r="E5" s="49"/>
      <c r="F5" s="49"/>
      <c r="G5" s="49"/>
      <c r="H5" s="49"/>
      <c r="I5" s="49"/>
      <c r="J5" s="49"/>
      <c r="K5" s="49"/>
      <c r="L5" s="49"/>
      <c r="M5" s="49"/>
      <c r="N5" s="49"/>
      <c r="O5" s="49"/>
      <c r="P5" s="49"/>
      <c r="Q5" s="49"/>
      <c r="R5" s="49"/>
      <c r="S5" s="49"/>
      <c r="T5" s="49"/>
      <c r="U5" s="49"/>
      <c r="V5" s="49"/>
      <c r="W5" s="49"/>
      <c r="X5" s="49"/>
      <c r="Y5" s="49"/>
      <c r="Z5" s="49"/>
      <c r="AA5" s="49"/>
      <c r="AB5" s="49"/>
    </row>
    <row r="6" spans="1:28" ht="19.899999999999999" customHeight="1">
      <c r="B6" s="49"/>
      <c r="C6" s="49"/>
      <c r="D6" s="49"/>
      <c r="E6" s="49"/>
      <c r="F6" s="49"/>
      <c r="G6" s="49"/>
      <c r="H6" s="49"/>
      <c r="I6" s="49"/>
      <c r="J6" s="49"/>
      <c r="K6" s="49"/>
      <c r="L6" s="49"/>
      <c r="M6" s="49"/>
      <c r="N6" s="49"/>
      <c r="O6" s="49"/>
      <c r="P6" s="49"/>
      <c r="Q6" s="49"/>
      <c r="R6" s="49"/>
      <c r="S6" s="49"/>
      <c r="T6" s="49"/>
      <c r="U6" s="49"/>
      <c r="V6" s="49"/>
      <c r="W6" s="49"/>
      <c r="X6" s="49"/>
      <c r="Y6" s="49"/>
      <c r="Z6" s="49"/>
      <c r="AA6" s="49"/>
      <c r="AB6" s="49"/>
    </row>
    <row r="7" spans="1:28" ht="19.899999999999999" customHeight="1">
      <c r="B7" s="49"/>
      <c r="C7" s="49"/>
      <c r="D7" s="49"/>
      <c r="E7" s="49"/>
      <c r="F7" s="49"/>
      <c r="G7" s="49"/>
      <c r="H7" s="49"/>
      <c r="I7" s="49"/>
      <c r="J7" s="49"/>
      <c r="K7" s="49"/>
      <c r="L7" s="49"/>
      <c r="M7" s="49"/>
      <c r="N7" s="49"/>
      <c r="O7" s="49"/>
      <c r="P7" s="49"/>
      <c r="Q7" s="49"/>
      <c r="R7" s="49"/>
      <c r="S7" s="49"/>
      <c r="T7" s="49"/>
      <c r="U7" s="49"/>
      <c r="V7" s="49"/>
      <c r="W7" s="49"/>
      <c r="X7" s="49"/>
      <c r="Y7" s="49"/>
      <c r="Z7" s="49"/>
      <c r="AA7" s="49"/>
      <c r="AB7" s="49"/>
    </row>
    <row r="8" spans="1:28" ht="25.15" customHeight="1">
      <c r="B8" s="10" t="s">
        <v>51</v>
      </c>
      <c r="C8" s="8"/>
      <c r="D8" s="8"/>
      <c r="E8" s="8"/>
      <c r="F8" s="8"/>
      <c r="G8" s="8"/>
      <c r="H8" s="8"/>
      <c r="I8" s="8"/>
      <c r="J8" s="8"/>
      <c r="K8" s="8"/>
      <c r="L8" s="8"/>
      <c r="M8" s="8"/>
      <c r="N8" s="8"/>
      <c r="O8" s="8"/>
      <c r="P8" s="8"/>
      <c r="Q8" s="8"/>
      <c r="R8" s="8"/>
      <c r="S8" s="8"/>
      <c r="T8" s="8"/>
      <c r="U8" s="8"/>
      <c r="V8" s="8"/>
      <c r="W8" s="8"/>
      <c r="X8" s="8"/>
      <c r="Y8" s="8"/>
      <c r="Z8" s="8"/>
      <c r="AA8" s="8"/>
      <c r="AB8" s="8"/>
    </row>
    <row r="9" spans="1:28" ht="19.899999999999999" customHeight="1" thickBot="1">
      <c r="B9" s="9"/>
      <c r="C9" s="8"/>
      <c r="D9" s="8"/>
      <c r="E9" s="8"/>
      <c r="F9" s="8"/>
      <c r="G9" s="8"/>
      <c r="H9" s="8"/>
      <c r="I9" s="8"/>
      <c r="J9" s="8"/>
      <c r="K9" s="8"/>
      <c r="L9" s="8"/>
      <c r="M9" s="8"/>
      <c r="N9" s="8"/>
      <c r="O9" s="8"/>
      <c r="P9" s="8"/>
      <c r="Q9" s="8"/>
      <c r="R9" s="8"/>
      <c r="S9" s="8"/>
      <c r="T9" s="8"/>
      <c r="U9" s="8"/>
      <c r="V9" s="8"/>
      <c r="W9" s="8"/>
      <c r="X9" s="8"/>
      <c r="Y9" s="8"/>
      <c r="Z9" s="8"/>
      <c r="AA9" s="8"/>
      <c r="AB9" s="8"/>
    </row>
    <row r="10" spans="1:28" ht="19.899999999999999" customHeight="1">
      <c r="B10" s="13"/>
      <c r="C10" s="14"/>
      <c r="D10" s="14"/>
      <c r="E10" s="14"/>
      <c r="F10" s="14"/>
      <c r="G10" s="14"/>
      <c r="H10" s="14"/>
      <c r="I10" s="14"/>
      <c r="J10" s="14"/>
      <c r="K10" s="14"/>
      <c r="L10" s="14"/>
      <c r="M10" s="14"/>
      <c r="N10" s="14"/>
      <c r="O10" s="14"/>
      <c r="P10" s="14"/>
      <c r="Q10" s="15"/>
    </row>
    <row r="11" spans="1:28" ht="25.15" customHeight="1">
      <c r="B11" s="16" t="b">
        <v>0</v>
      </c>
      <c r="C11" s="11" t="s">
        <v>57</v>
      </c>
      <c r="D11" s="37"/>
      <c r="E11" s="37"/>
      <c r="F11" s="37"/>
      <c r="G11" s="37"/>
      <c r="H11" s="37"/>
      <c r="I11" s="37"/>
      <c r="J11" s="37"/>
      <c r="K11" s="37"/>
      <c r="L11" s="37"/>
      <c r="M11" s="37"/>
      <c r="N11" s="38"/>
      <c r="O11" s="39"/>
      <c r="Q11" s="17"/>
    </row>
    <row r="12" spans="1:28" ht="25.15" customHeight="1">
      <c r="B12" s="18"/>
      <c r="C12" s="22" t="s">
        <v>34</v>
      </c>
      <c r="D12" s="46" t="s">
        <v>63</v>
      </c>
      <c r="E12" s="11"/>
      <c r="F12" s="11"/>
      <c r="G12" s="11"/>
      <c r="H12" s="11"/>
      <c r="I12" s="11"/>
      <c r="J12" s="11"/>
      <c r="K12" s="37"/>
      <c r="L12" s="37"/>
      <c r="M12" s="37"/>
      <c r="N12" s="38"/>
      <c r="O12" s="39"/>
      <c r="Q12" s="17"/>
    </row>
    <row r="13" spans="1:28" ht="25.15" customHeight="1">
      <c r="B13" s="18"/>
      <c r="C13" s="22" t="s">
        <v>34</v>
      </c>
      <c r="D13" s="46" t="s">
        <v>62</v>
      </c>
      <c r="E13" s="37"/>
      <c r="F13" s="37"/>
      <c r="G13" s="37"/>
      <c r="H13" s="37"/>
      <c r="I13" s="37"/>
      <c r="J13" s="37"/>
      <c r="K13" s="37"/>
      <c r="L13" s="37"/>
      <c r="M13" s="37"/>
      <c r="N13" s="38"/>
      <c r="O13" s="39"/>
      <c r="Q13" s="17"/>
    </row>
    <row r="14" spans="1:28" ht="25.15" customHeight="1">
      <c r="B14" s="18"/>
      <c r="C14" s="22" t="s">
        <v>34</v>
      </c>
      <c r="D14" s="11" t="s">
        <v>53</v>
      </c>
      <c r="E14" s="11"/>
      <c r="F14" s="11"/>
      <c r="G14" s="11"/>
      <c r="H14" s="11"/>
      <c r="I14" s="11"/>
      <c r="J14" s="11"/>
      <c r="K14" s="11"/>
      <c r="L14" s="11"/>
      <c r="M14" s="11"/>
      <c r="N14" s="12"/>
      <c r="Q14" s="17"/>
    </row>
    <row r="15" spans="1:28" ht="25.15" customHeight="1">
      <c r="B15" s="18"/>
      <c r="C15" s="22"/>
      <c r="D15" s="22" t="s">
        <v>34</v>
      </c>
      <c r="E15" s="11" t="s">
        <v>65</v>
      </c>
      <c r="F15" s="11"/>
      <c r="G15" s="11"/>
      <c r="H15" s="11"/>
      <c r="I15" s="11"/>
      <c r="J15" s="11"/>
      <c r="K15" s="11"/>
      <c r="L15" s="11"/>
      <c r="M15" s="11"/>
      <c r="N15" s="12"/>
      <c r="Q15" s="17"/>
    </row>
    <row r="16" spans="1:28" ht="25.15" customHeight="1">
      <c r="B16" s="18"/>
      <c r="C16" s="11"/>
      <c r="D16" s="22" t="s">
        <v>34</v>
      </c>
      <c r="E16" s="11" t="s">
        <v>64</v>
      </c>
      <c r="F16" s="11"/>
      <c r="G16" s="11"/>
      <c r="H16" s="11"/>
      <c r="I16" s="11"/>
      <c r="J16" s="11"/>
      <c r="K16" s="11"/>
      <c r="L16" s="11"/>
      <c r="M16" s="11"/>
      <c r="N16" s="12"/>
      <c r="Q16" s="17"/>
    </row>
    <row r="17" spans="2:17" ht="25.15" customHeight="1">
      <c r="B17" s="18"/>
      <c r="C17" s="11"/>
      <c r="D17" s="11"/>
      <c r="E17" s="11"/>
      <c r="F17" s="11"/>
      <c r="G17" s="11"/>
      <c r="H17" s="11"/>
      <c r="I17" s="11"/>
      <c r="J17" s="11"/>
      <c r="K17" s="11"/>
      <c r="L17" s="11"/>
      <c r="M17" s="11"/>
      <c r="N17" s="12"/>
      <c r="Q17" s="17"/>
    </row>
    <row r="18" spans="2:17" ht="25.15" customHeight="1">
      <c r="B18" s="16" t="b">
        <v>0</v>
      </c>
      <c r="C18" s="11" t="s">
        <v>58</v>
      </c>
      <c r="D18" s="11"/>
      <c r="E18" s="11"/>
      <c r="F18" s="11"/>
      <c r="G18" s="11"/>
      <c r="H18" s="11"/>
      <c r="I18" s="11"/>
      <c r="J18" s="11"/>
      <c r="K18" s="11"/>
      <c r="L18" s="11"/>
      <c r="M18" s="11"/>
      <c r="N18" s="12"/>
      <c r="Q18" s="17"/>
    </row>
    <row r="19" spans="2:17" ht="25.15" customHeight="1">
      <c r="B19" s="18"/>
      <c r="C19" s="11"/>
      <c r="D19" s="11"/>
      <c r="E19" s="11"/>
      <c r="F19" s="11"/>
      <c r="G19" s="11"/>
      <c r="H19" s="11"/>
      <c r="I19" s="11"/>
      <c r="J19" s="11"/>
      <c r="K19" s="11"/>
      <c r="L19" s="11"/>
      <c r="M19" s="11"/>
      <c r="N19" s="12"/>
      <c r="Q19" s="17"/>
    </row>
    <row r="20" spans="2:17" ht="25.15" customHeight="1">
      <c r="B20" s="16" t="b">
        <v>0</v>
      </c>
      <c r="C20" s="11" t="s">
        <v>59</v>
      </c>
      <c r="D20" s="11"/>
      <c r="E20" s="11"/>
      <c r="F20" s="11"/>
      <c r="G20" s="11"/>
      <c r="H20" s="11"/>
      <c r="I20" s="11"/>
      <c r="J20" s="11"/>
      <c r="K20" s="11"/>
      <c r="L20" s="11"/>
      <c r="M20" s="11"/>
      <c r="N20" s="12"/>
      <c r="Q20" s="17"/>
    </row>
    <row r="21" spans="2:17" ht="25.15" customHeight="1">
      <c r="B21" s="18"/>
      <c r="C21" s="11"/>
      <c r="D21" s="11"/>
      <c r="E21" s="11"/>
      <c r="F21" s="11"/>
      <c r="G21" s="11"/>
      <c r="H21" s="11"/>
      <c r="I21" s="11"/>
      <c r="J21" s="11"/>
      <c r="K21" s="11"/>
      <c r="L21" s="11"/>
      <c r="M21" s="11"/>
      <c r="N21" s="12"/>
      <c r="Q21" s="17"/>
    </row>
    <row r="22" spans="2:17" ht="25.15" customHeight="1">
      <c r="B22" s="16" t="b">
        <v>0</v>
      </c>
      <c r="C22" s="11" t="s">
        <v>60</v>
      </c>
      <c r="D22" s="11"/>
      <c r="E22" s="11"/>
      <c r="F22" s="11"/>
      <c r="G22" s="11"/>
      <c r="H22" s="11"/>
      <c r="I22" s="11"/>
      <c r="J22" s="11"/>
      <c r="K22" s="11"/>
      <c r="L22" s="11"/>
      <c r="M22" s="11"/>
      <c r="N22" s="12"/>
      <c r="Q22" s="17"/>
    </row>
    <row r="23" spans="2:17" ht="25.15" customHeight="1">
      <c r="B23" s="18"/>
      <c r="C23" s="22" t="s">
        <v>34</v>
      </c>
      <c r="D23" s="46" t="s">
        <v>54</v>
      </c>
      <c r="E23" s="11"/>
      <c r="F23" s="11"/>
      <c r="G23" s="11"/>
      <c r="H23" s="11"/>
      <c r="I23" s="11"/>
      <c r="J23" s="11"/>
      <c r="K23" s="11"/>
      <c r="L23" s="11"/>
      <c r="M23" s="11"/>
      <c r="N23" s="12"/>
      <c r="Q23" s="17"/>
    </row>
    <row r="24" spans="2:17" ht="25.15" customHeight="1">
      <c r="B24" s="18"/>
      <c r="C24" s="22" t="s">
        <v>34</v>
      </c>
      <c r="D24" s="46" t="s">
        <v>55</v>
      </c>
      <c r="E24" s="11"/>
      <c r="F24" s="11"/>
      <c r="G24" s="11"/>
      <c r="H24" s="11"/>
      <c r="I24" s="11"/>
      <c r="J24" s="11"/>
      <c r="K24" s="11"/>
      <c r="L24" s="11"/>
      <c r="M24" s="11"/>
      <c r="N24" s="12"/>
      <c r="Q24" s="17"/>
    </row>
    <row r="25" spans="2:17" ht="25.15" customHeight="1">
      <c r="B25" s="18"/>
      <c r="C25" s="22" t="s">
        <v>34</v>
      </c>
      <c r="D25" s="46" t="s">
        <v>56</v>
      </c>
      <c r="E25" s="11"/>
      <c r="F25" s="11"/>
      <c r="G25" s="11"/>
      <c r="H25" s="11"/>
      <c r="I25" s="11"/>
      <c r="J25" s="11"/>
      <c r="K25" s="11"/>
      <c r="L25" s="11"/>
      <c r="M25" s="11"/>
      <c r="N25" s="12"/>
      <c r="Q25" s="17"/>
    </row>
    <row r="26" spans="2:17" ht="25.15" customHeight="1">
      <c r="B26" s="18"/>
      <c r="C26" s="11"/>
      <c r="D26" s="11"/>
      <c r="E26" s="11"/>
      <c r="F26" s="11"/>
      <c r="G26" s="11"/>
      <c r="H26" s="11"/>
      <c r="I26" s="11"/>
      <c r="J26" s="11"/>
      <c r="K26" s="11"/>
      <c r="L26" s="11"/>
      <c r="M26" s="11"/>
      <c r="N26" s="12"/>
      <c r="Q26" s="17"/>
    </row>
    <row r="27" spans="2:17" ht="25.15" customHeight="1">
      <c r="B27" s="16" t="b">
        <v>0</v>
      </c>
      <c r="C27" s="11" t="s">
        <v>61</v>
      </c>
      <c r="D27" s="11"/>
      <c r="E27" s="11"/>
      <c r="F27" s="11"/>
      <c r="G27" s="11"/>
      <c r="H27" s="11"/>
      <c r="I27" s="11"/>
      <c r="J27" s="11"/>
      <c r="K27" s="11"/>
      <c r="L27" s="11"/>
      <c r="M27" s="11"/>
      <c r="N27" s="12"/>
      <c r="Q27" s="17"/>
    </row>
    <row r="28" spans="2:17" ht="25.15" customHeight="1">
      <c r="B28" s="18"/>
      <c r="C28" s="11"/>
      <c r="D28" s="11"/>
      <c r="E28" s="11"/>
      <c r="F28" s="11"/>
      <c r="G28" s="11"/>
      <c r="H28" s="11"/>
      <c r="I28" s="11"/>
      <c r="J28" s="11"/>
      <c r="K28" s="11"/>
      <c r="L28" s="11"/>
      <c r="M28" s="11"/>
      <c r="N28" s="12"/>
      <c r="Q28" s="17"/>
    </row>
    <row r="29" spans="2:17" ht="25.15" customHeight="1">
      <c r="B29" s="16" t="b">
        <v>0</v>
      </c>
      <c r="C29" s="11" t="s">
        <v>52</v>
      </c>
      <c r="D29" s="11"/>
      <c r="E29" s="11"/>
      <c r="F29" s="11"/>
      <c r="G29" s="11"/>
      <c r="H29" s="11"/>
      <c r="I29" s="11"/>
      <c r="J29" s="11"/>
      <c r="K29" s="11"/>
      <c r="L29" s="11"/>
      <c r="M29" s="11"/>
      <c r="N29" s="12"/>
      <c r="Q29" s="17"/>
    </row>
    <row r="30" spans="2:17" ht="19.899999999999999" customHeight="1" thickBot="1">
      <c r="B30" s="19"/>
      <c r="C30" s="20"/>
      <c r="D30" s="20"/>
      <c r="E30" s="20"/>
      <c r="F30" s="20"/>
      <c r="G30" s="20"/>
      <c r="H30" s="20"/>
      <c r="I30" s="20"/>
      <c r="J30" s="20"/>
      <c r="K30" s="20"/>
      <c r="L30" s="20"/>
      <c r="M30" s="20"/>
      <c r="N30" s="20"/>
      <c r="O30" s="20"/>
      <c r="P30" s="20"/>
      <c r="Q30" s="21"/>
    </row>
    <row r="33" spans="11:11" ht="19.899999999999999" customHeight="1">
      <c r="K33" s="7"/>
    </row>
  </sheetData>
  <mergeCells count="1">
    <mergeCell ref="B5:AB7"/>
  </mergeCells>
  <printOptions horizontalCentered="1"/>
  <pageMargins left="0.25" right="0.25" top="0.75" bottom="0.25" header="0.3" footer="0.3"/>
  <pageSetup paperSize="9" scale="62" orientation="landscape" r:id="rId1"/>
  <headerFooter>
    <oddHeader>&amp;C&amp;"Roboto,Bold"&amp;12Excel Challenge #47 Rules</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14999847407452621"/>
    <pageSetUpPr fitToPage="1"/>
  </sheetPr>
  <dimension ref="A1:P32"/>
  <sheetViews>
    <sheetView showGridLines="0" tabSelected="1" zoomScale="85" zoomScaleNormal="85" workbookViewId="0">
      <selection activeCell="O3" sqref="O3"/>
    </sheetView>
  </sheetViews>
  <sheetFormatPr defaultColWidth="10.140625" defaultRowHeight="12.75"/>
  <cols>
    <col min="1" max="1" width="18.7109375" style="2" bestFit="1" customWidth="1"/>
    <col min="2" max="2" width="19.5703125" style="3" bestFit="1" customWidth="1"/>
    <col min="3" max="12" width="15.7109375" style="2" customWidth="1"/>
    <col min="13" max="13" width="3.7109375" style="2" customWidth="1"/>
    <col min="14" max="14" width="29.28515625" style="2" customWidth="1"/>
    <col min="15" max="15" width="20.7109375" style="2" customWidth="1"/>
    <col min="16" max="16384" width="10.140625" style="2"/>
  </cols>
  <sheetData>
    <row r="1" spans="1:16" s="1" customFormat="1" ht="100.15" customHeight="1" thickBot="1">
      <c r="A1" s="25" t="s">
        <v>35</v>
      </c>
      <c r="B1" s="26" t="s">
        <v>36</v>
      </c>
      <c r="C1" s="27" t="s">
        <v>45</v>
      </c>
      <c r="D1" s="27" t="s">
        <v>46</v>
      </c>
      <c r="E1" s="25" t="s">
        <v>37</v>
      </c>
      <c r="F1" s="27" t="s">
        <v>38</v>
      </c>
      <c r="G1" s="25" t="s">
        <v>39</v>
      </c>
      <c r="H1" s="25" t="s">
        <v>44</v>
      </c>
      <c r="I1" s="28" t="s">
        <v>43</v>
      </c>
      <c r="J1" s="25" t="s">
        <v>40</v>
      </c>
      <c r="K1" s="27" t="s">
        <v>41</v>
      </c>
      <c r="L1" s="25" t="s">
        <v>42</v>
      </c>
      <c r="N1" s="29" t="s">
        <v>32</v>
      </c>
      <c r="O1" s="30">
        <f ca="1">TODAY()</f>
        <v>46209</v>
      </c>
    </row>
    <row r="2" spans="1:16" s="23" customFormat="1" ht="19.899999999999999" customHeight="1" thickBot="1">
      <c r="A2" s="31" t="s">
        <v>1</v>
      </c>
      <c r="B2" s="47">
        <v>44296</v>
      </c>
      <c r="C2" s="32" cm="1">
        <f t="array" aca="1" ref="C2" ca="1">_xlfn.IFS(MONTH(B2)&lt;MONTH(TODAY()),DATE(YEAR(TODAY()),MONTH(B2),DAY(B2)),MONTH(B2)&gt;MONTH(TODAY()),DATE(YEAR(TODAY())-1,MONTH(B2),DAY(B2)),MONTH(B2)=MONTH(TODAY()),IF(DAY(B2)&gt;DAY(TODAY()),DATE(YEAR(TODAY())-1,MONTH(B2),DAY(B2)),DATE(YEAR(TODAY()),MONTH(B2),DAY(B2))))</f>
        <v>46122</v>
      </c>
      <c r="D2" s="32">
        <f ca="1">DATE(YEAR(C2)+1,MONTH(C2),DAY(C2))</f>
        <v>46487</v>
      </c>
      <c r="E2" s="33">
        <v>14</v>
      </c>
      <c r="F2" s="34">
        <f ca="1">YEAR($O$1)-YEAR(B2)</f>
        <v>5</v>
      </c>
      <c r="G2" s="33">
        <f t="shared" ref="G2:G32" ca="1" si="0">F2+E2</f>
        <v>19</v>
      </c>
      <c r="H2" s="35">
        <v>30</v>
      </c>
      <c r="I2" s="36" cm="1">
        <f t="array" aca="1" ref="I2" ca="1">_xlfn.IFS(G2&lt;10,3,G2&lt;20,6,G2&gt;=20,9)</f>
        <v>6</v>
      </c>
      <c r="J2" s="33">
        <f t="shared" ref="J2:J32" ca="1" si="1">+H2+I2</f>
        <v>36</v>
      </c>
      <c r="K2" s="34" cm="1">
        <f t="array" ref="K2:K32">Transactions!B2:B32</f>
        <v>18</v>
      </c>
      <c r="L2" s="35">
        <f t="shared" ref="L2:L32" ca="1" si="2">+J2-K2</f>
        <v>18</v>
      </c>
    </row>
    <row r="3" spans="1:16" s="23" customFormat="1" ht="19.899999999999999" customHeight="1" thickBot="1">
      <c r="A3" s="31" t="s">
        <v>2</v>
      </c>
      <c r="B3" s="47">
        <v>45384</v>
      </c>
      <c r="C3" s="32" cm="1">
        <f t="array" aca="1" ref="C3" ca="1">_xlfn.IFS(MONTH(B3)&lt;MONTH(TODAY()),DATE(YEAR(TODAY()),MONTH(B3),DAY(B3)),MONTH(B3)&gt;MONTH(TODAY()),DATE(YEAR(TODAY())-1,MONTH(B3),DAY(B3)),MONTH(B3)=MONTH(TODAY()),IF(DAY(B3)&gt;DAY(TODAY()),DATE(YEAR(TODAY())-1,MONTH(B3),DAY(B3)),DATE(YEAR(TODAY()),MONTH(B3),DAY(B3))))</f>
        <v>46114</v>
      </c>
      <c r="D3" s="32">
        <f t="shared" ref="D3:D32" ca="1" si="3">DATE(YEAR(C3)+1,MONTH(C3),DAY(C3))</f>
        <v>46479</v>
      </c>
      <c r="E3" s="33">
        <v>6</v>
      </c>
      <c r="F3" s="34">
        <f t="shared" ref="F3:F32" ca="1" si="4">YEAR($O$1)-YEAR(B3)</f>
        <v>2</v>
      </c>
      <c r="G3" s="33">
        <f t="shared" ca="1" si="0"/>
        <v>8</v>
      </c>
      <c r="H3" s="35">
        <v>30</v>
      </c>
      <c r="I3" s="36" cm="1">
        <f t="array" aca="1" ref="I3" ca="1">_xlfn.IFS(G3&lt;10,3,G3&lt;20,6,G3&gt;=20,9)</f>
        <v>3</v>
      </c>
      <c r="J3" s="33">
        <f t="shared" ca="1" si="1"/>
        <v>33</v>
      </c>
      <c r="K3" s="36">
        <v>24</v>
      </c>
      <c r="L3" s="35">
        <f t="shared" ca="1" si="2"/>
        <v>9</v>
      </c>
      <c r="N3" s="43" t="s">
        <v>48</v>
      </c>
      <c r="O3" s="45" t="s">
        <v>8</v>
      </c>
    </row>
    <row r="4" spans="1:16" s="23" customFormat="1" ht="19.899999999999999" customHeight="1" thickBot="1">
      <c r="A4" s="31" t="s">
        <v>3</v>
      </c>
      <c r="B4" s="47">
        <v>41981</v>
      </c>
      <c r="C4" s="32" cm="1">
        <f t="array" aca="1" ref="C4" ca="1">_xlfn.IFS(MONTH(B4)&lt;MONTH(TODAY()),DATE(YEAR(TODAY()),MONTH(B4),DAY(B4)),MONTH(B4)&gt;MONTH(TODAY()),DATE(YEAR(TODAY())-1,MONTH(B4),DAY(B4)),MONTH(B4)=MONTH(TODAY()),IF(DAY(B4)&gt;DAY(TODAY()),DATE(YEAR(TODAY())-1,MONTH(B4),DAY(B4)),DATE(YEAR(TODAY()),MONTH(B4),DAY(B4))))</f>
        <v>45999</v>
      </c>
      <c r="D4" s="32">
        <f t="shared" ca="1" si="3"/>
        <v>46364</v>
      </c>
      <c r="E4" s="33">
        <v>9</v>
      </c>
      <c r="F4" s="34">
        <f t="shared" ca="1" si="4"/>
        <v>12</v>
      </c>
      <c r="G4" s="33">
        <f t="shared" ca="1" si="0"/>
        <v>21</v>
      </c>
      <c r="H4" s="35">
        <v>30</v>
      </c>
      <c r="I4" s="36" cm="1">
        <f t="array" aca="1" ref="I4" ca="1">_xlfn.IFS(G4&lt;10,3,G4&lt;20,6,G4&gt;=20,9)</f>
        <v>9</v>
      </c>
      <c r="J4" s="33">
        <f t="shared" ca="1" si="1"/>
        <v>39</v>
      </c>
      <c r="K4" s="36">
        <v>24</v>
      </c>
      <c r="L4" s="35">
        <f t="shared" ca="1" si="2"/>
        <v>15</v>
      </c>
      <c r="N4" s="43" t="s">
        <v>49</v>
      </c>
      <c r="O4" s="44">
        <f ca="1">_xlfn.XLOOKUP(O3,A2:A32,L2:L32)</f>
        <v>16</v>
      </c>
    </row>
    <row r="5" spans="1:16" s="23" customFormat="1" ht="19.899999999999999" customHeight="1" thickBot="1">
      <c r="A5" s="31" t="s">
        <v>4</v>
      </c>
      <c r="B5" s="47">
        <v>45470</v>
      </c>
      <c r="C5" s="32" cm="1">
        <f t="array" aca="1" ref="C5" ca="1">_xlfn.IFS(MONTH(B5)&lt;MONTH(TODAY()),DATE(YEAR(TODAY()),MONTH(B5),DAY(B5)),MONTH(B5)&gt;MONTH(TODAY()),DATE(YEAR(TODAY())-1,MONTH(B5),DAY(B5)),MONTH(B5)=MONTH(TODAY()),IF(DAY(B5)&gt;DAY(TODAY()),DATE(YEAR(TODAY())-1,MONTH(B5),DAY(B5)),DATE(YEAR(TODAY()),MONTH(B5),DAY(B5))))</f>
        <v>46200</v>
      </c>
      <c r="D5" s="32">
        <f t="shared" ca="1" si="3"/>
        <v>46565</v>
      </c>
      <c r="E5" s="33">
        <v>11</v>
      </c>
      <c r="F5" s="34">
        <f t="shared" ca="1" si="4"/>
        <v>2</v>
      </c>
      <c r="G5" s="33">
        <f t="shared" ca="1" si="0"/>
        <v>13</v>
      </c>
      <c r="H5" s="35">
        <v>30</v>
      </c>
      <c r="I5" s="36" cm="1">
        <f t="array" aca="1" ref="I5" ca="1">_xlfn.IFS(G5&lt;10,3,G5&lt;20,6,G5&gt;=20,9)</f>
        <v>6</v>
      </c>
      <c r="J5" s="33">
        <f t="shared" ca="1" si="1"/>
        <v>36</v>
      </c>
      <c r="K5" s="36">
        <v>18</v>
      </c>
      <c r="L5" s="35">
        <f t="shared" ca="1" si="2"/>
        <v>18</v>
      </c>
      <c r="N5" s="43" t="s">
        <v>50</v>
      </c>
      <c r="O5" s="48">
        <f ca="1">O1+O4</f>
        <v>46225</v>
      </c>
      <c r="P5" s="24"/>
    </row>
    <row r="6" spans="1:16" s="23" customFormat="1" ht="19.899999999999999" customHeight="1" thickBot="1">
      <c r="A6" s="31" t="s">
        <v>5</v>
      </c>
      <c r="B6" s="47">
        <v>42730</v>
      </c>
      <c r="C6" s="32" cm="1">
        <f t="array" aca="1" ref="C6" ca="1">_xlfn.IFS(MONTH(B6)&lt;MONTH(TODAY()),DATE(YEAR(TODAY()),MONTH(B6),DAY(B6)),MONTH(B6)&gt;MONTH(TODAY()),DATE(YEAR(TODAY())-1,MONTH(B6),DAY(B6)),MONTH(B6)=MONTH(TODAY()),IF(DAY(B6)&gt;DAY(TODAY()),DATE(YEAR(TODAY())-1,MONTH(B6),DAY(B6)),DATE(YEAR(TODAY()),MONTH(B6),DAY(B6))))</f>
        <v>46017</v>
      </c>
      <c r="D6" s="32">
        <f t="shared" ca="1" si="3"/>
        <v>46382</v>
      </c>
      <c r="E6" s="33">
        <v>9</v>
      </c>
      <c r="F6" s="34">
        <f t="shared" ca="1" si="4"/>
        <v>10</v>
      </c>
      <c r="G6" s="33">
        <f t="shared" ca="1" si="0"/>
        <v>19</v>
      </c>
      <c r="H6" s="35">
        <v>30</v>
      </c>
      <c r="I6" s="36" cm="1">
        <f t="array" aca="1" ref="I6" ca="1">_xlfn.IFS(G6&lt;10,3,G6&lt;20,6,G6&gt;=20,9)</f>
        <v>6</v>
      </c>
      <c r="J6" s="33">
        <f t="shared" ca="1" si="1"/>
        <v>36</v>
      </c>
      <c r="K6" s="36">
        <v>0</v>
      </c>
      <c r="L6" s="35">
        <f t="shared" ca="1" si="2"/>
        <v>36</v>
      </c>
    </row>
    <row r="7" spans="1:16" s="23" customFormat="1" ht="19.899999999999999" customHeight="1" thickBot="1">
      <c r="A7" s="31" t="s">
        <v>6</v>
      </c>
      <c r="B7" s="47">
        <v>43139</v>
      </c>
      <c r="C7" s="32" cm="1">
        <f t="array" aca="1" ref="C7" ca="1">_xlfn.IFS(MONTH(B7)&lt;MONTH(TODAY()),DATE(YEAR(TODAY()),MONTH(B7),DAY(B7)),MONTH(B7)&gt;MONTH(TODAY()),DATE(YEAR(TODAY())-1,MONTH(B7),DAY(B7)),MONTH(B7)=MONTH(TODAY()),IF(DAY(B7)&gt;DAY(TODAY()),DATE(YEAR(TODAY())-1,MONTH(B7),DAY(B7)),DATE(YEAR(TODAY()),MONTH(B7),DAY(B7))))</f>
        <v>46061</v>
      </c>
      <c r="D7" s="32">
        <f t="shared" ca="1" si="3"/>
        <v>46426</v>
      </c>
      <c r="E7" s="33">
        <v>22</v>
      </c>
      <c r="F7" s="34">
        <f t="shared" ca="1" si="4"/>
        <v>8</v>
      </c>
      <c r="G7" s="33">
        <f t="shared" ca="1" si="0"/>
        <v>30</v>
      </c>
      <c r="H7" s="35">
        <v>30</v>
      </c>
      <c r="I7" s="36" cm="1">
        <f t="array" aca="1" ref="I7" ca="1">_xlfn.IFS(G7&lt;10,3,G7&lt;20,6,G7&gt;=20,9)</f>
        <v>9</v>
      </c>
      <c r="J7" s="33">
        <f t="shared" ca="1" si="1"/>
        <v>39</v>
      </c>
      <c r="K7" s="36">
        <v>33</v>
      </c>
      <c r="L7" s="35">
        <f t="shared" ca="1" si="2"/>
        <v>6</v>
      </c>
      <c r="N7" s="42"/>
      <c r="P7" s="24"/>
    </row>
    <row r="8" spans="1:16" s="23" customFormat="1" ht="19.899999999999999" customHeight="1" thickBot="1">
      <c r="A8" s="31" t="s">
        <v>7</v>
      </c>
      <c r="B8" s="47">
        <v>43679</v>
      </c>
      <c r="C8" s="32" cm="1">
        <f t="array" aca="1" ref="C8" ca="1">_xlfn.IFS(MONTH(B8)&lt;MONTH(TODAY()),DATE(YEAR(TODAY()),MONTH(B8),DAY(B8)),MONTH(B8)&gt;MONTH(TODAY()),DATE(YEAR(TODAY())-1,MONTH(B8),DAY(B8)),MONTH(B8)=MONTH(TODAY()),IF(DAY(B8)&gt;DAY(TODAY()),DATE(YEAR(TODAY())-1,MONTH(B8),DAY(B8)),DATE(YEAR(TODAY()),MONTH(B8),DAY(B8))))</f>
        <v>45871</v>
      </c>
      <c r="D8" s="32">
        <f t="shared" ca="1" si="3"/>
        <v>46236</v>
      </c>
      <c r="E8" s="33">
        <v>9</v>
      </c>
      <c r="F8" s="34">
        <f t="shared" ca="1" si="4"/>
        <v>7</v>
      </c>
      <c r="G8" s="33">
        <f t="shared" ca="1" si="0"/>
        <v>16</v>
      </c>
      <c r="H8" s="35">
        <v>30</v>
      </c>
      <c r="I8" s="36" cm="1">
        <f t="array" aca="1" ref="I8" ca="1">_xlfn.IFS(G8&lt;10,3,G8&lt;20,6,G8&gt;=20,9)</f>
        <v>6</v>
      </c>
      <c r="J8" s="33">
        <f t="shared" ca="1" si="1"/>
        <v>36</v>
      </c>
      <c r="K8" s="36">
        <v>2</v>
      </c>
      <c r="L8" s="35">
        <f t="shared" ca="1" si="2"/>
        <v>34</v>
      </c>
    </row>
    <row r="9" spans="1:16" s="23" customFormat="1" ht="19.899999999999999" customHeight="1" thickBot="1">
      <c r="A9" s="31" t="s">
        <v>8</v>
      </c>
      <c r="B9" s="47">
        <v>44175</v>
      </c>
      <c r="C9" s="32" cm="1">
        <f t="array" aca="1" ref="C9" ca="1">_xlfn.IFS(MONTH(B9)&lt;MONTH(TODAY()),DATE(YEAR(TODAY()),MONTH(B9),DAY(B9)),MONTH(B9)&gt;MONTH(TODAY()),DATE(YEAR(TODAY())-1,MONTH(B9),DAY(B9)),MONTH(B9)=MONTH(TODAY()),IF(DAY(B9)&gt;DAY(TODAY()),DATE(YEAR(TODAY())-1,MONTH(B9),DAY(B9)),DATE(YEAR(TODAY()),MONTH(B9),DAY(B9))))</f>
        <v>46001</v>
      </c>
      <c r="D9" s="32">
        <f t="shared" ca="1" si="3"/>
        <v>46366</v>
      </c>
      <c r="E9" s="33">
        <v>11</v>
      </c>
      <c r="F9" s="34">
        <f t="shared" ca="1" si="4"/>
        <v>6</v>
      </c>
      <c r="G9" s="33">
        <f t="shared" ca="1" si="0"/>
        <v>17</v>
      </c>
      <c r="H9" s="35">
        <v>30</v>
      </c>
      <c r="I9" s="36" cm="1">
        <f t="array" aca="1" ref="I9" ca="1">_xlfn.IFS(G9&lt;10,3,G9&lt;20,6,G9&gt;=20,9)</f>
        <v>6</v>
      </c>
      <c r="J9" s="33">
        <f t="shared" ca="1" si="1"/>
        <v>36</v>
      </c>
      <c r="K9" s="36">
        <v>20</v>
      </c>
      <c r="L9" s="35">
        <f t="shared" ca="1" si="2"/>
        <v>16</v>
      </c>
    </row>
    <row r="10" spans="1:16" s="23" customFormat="1" ht="19.899999999999999" customHeight="1" thickBot="1">
      <c r="A10" s="31" t="s">
        <v>9</v>
      </c>
      <c r="B10" s="47">
        <v>45379</v>
      </c>
      <c r="C10" s="32" cm="1">
        <f t="array" aca="1" ref="C10" ca="1">_xlfn.IFS(MONTH(B10)&lt;MONTH(TODAY()),DATE(YEAR(TODAY()),MONTH(B10),DAY(B10)),MONTH(B10)&gt;MONTH(TODAY()),DATE(YEAR(TODAY())-1,MONTH(B10),DAY(B10)),MONTH(B10)=MONTH(TODAY()),IF(DAY(B10)&gt;DAY(TODAY()),DATE(YEAR(TODAY())-1,MONTH(B10),DAY(B10)),DATE(YEAR(TODAY()),MONTH(B10),DAY(B10))))</f>
        <v>46109</v>
      </c>
      <c r="D10" s="32">
        <f t="shared" ca="1" si="3"/>
        <v>46474</v>
      </c>
      <c r="E10" s="33">
        <v>6</v>
      </c>
      <c r="F10" s="34">
        <f t="shared" ca="1" si="4"/>
        <v>2</v>
      </c>
      <c r="G10" s="33">
        <f t="shared" ca="1" si="0"/>
        <v>8</v>
      </c>
      <c r="H10" s="35">
        <v>30</v>
      </c>
      <c r="I10" s="36" cm="1">
        <f t="array" aca="1" ref="I10" ca="1">_xlfn.IFS(G10&lt;10,3,G10&lt;20,6,G10&gt;=20,9)</f>
        <v>3</v>
      </c>
      <c r="J10" s="33">
        <f t="shared" ca="1" si="1"/>
        <v>33</v>
      </c>
      <c r="K10" s="36">
        <v>7</v>
      </c>
      <c r="L10" s="35">
        <f t="shared" ca="1" si="2"/>
        <v>26</v>
      </c>
      <c r="P10" s="4"/>
    </row>
    <row r="11" spans="1:16" s="23" customFormat="1" ht="19.899999999999999" customHeight="1" thickBot="1">
      <c r="A11" s="31" t="s">
        <v>10</v>
      </c>
      <c r="B11" s="47">
        <v>43075</v>
      </c>
      <c r="C11" s="32" cm="1">
        <f t="array" aca="1" ref="C11" ca="1">_xlfn.IFS(MONTH(B11)&lt;MONTH(TODAY()),DATE(YEAR(TODAY()),MONTH(B11),DAY(B11)),MONTH(B11)&gt;MONTH(TODAY()),DATE(YEAR(TODAY())-1,MONTH(B11),DAY(B11)),MONTH(B11)=MONTH(TODAY()),IF(DAY(B11)&gt;DAY(TODAY()),DATE(YEAR(TODAY())-1,MONTH(B11),DAY(B11)),DATE(YEAR(TODAY()),MONTH(B11),DAY(B11))))</f>
        <v>45997</v>
      </c>
      <c r="D11" s="32">
        <f t="shared" ca="1" si="3"/>
        <v>46362</v>
      </c>
      <c r="E11" s="33">
        <v>9</v>
      </c>
      <c r="F11" s="34">
        <f t="shared" ca="1" si="4"/>
        <v>9</v>
      </c>
      <c r="G11" s="33">
        <f t="shared" ca="1" si="0"/>
        <v>18</v>
      </c>
      <c r="H11" s="35">
        <v>30</v>
      </c>
      <c r="I11" s="36" cm="1">
        <f t="array" aca="1" ref="I11" ca="1">_xlfn.IFS(G11&lt;10,3,G11&lt;20,6,G11&gt;=20,9)</f>
        <v>6</v>
      </c>
      <c r="J11" s="33">
        <f t="shared" ca="1" si="1"/>
        <v>36</v>
      </c>
      <c r="K11" s="36">
        <v>25</v>
      </c>
      <c r="L11" s="35">
        <f t="shared" ca="1" si="2"/>
        <v>11</v>
      </c>
    </row>
    <row r="12" spans="1:16" s="23" customFormat="1" ht="19.899999999999999" customHeight="1" thickBot="1">
      <c r="A12" s="31" t="s">
        <v>11</v>
      </c>
      <c r="B12" s="47">
        <v>44013</v>
      </c>
      <c r="C12" s="32" cm="1">
        <f t="array" aca="1" ref="C12" ca="1">_xlfn.IFS(MONTH(B12)&lt;MONTH(TODAY()),DATE(YEAR(TODAY()),MONTH(B12),DAY(B12)),MONTH(B12)&gt;MONTH(TODAY()),DATE(YEAR(TODAY())-1,MONTH(B12),DAY(B12)),MONTH(B12)=MONTH(TODAY()),IF(DAY(B12)&gt;DAY(TODAY()),DATE(YEAR(TODAY())-1,MONTH(B12),DAY(B12)),DATE(YEAR(TODAY()),MONTH(B12),DAY(B12))))</f>
        <v>46204</v>
      </c>
      <c r="D12" s="32">
        <f t="shared" ca="1" si="3"/>
        <v>46569</v>
      </c>
      <c r="E12" s="33">
        <v>6</v>
      </c>
      <c r="F12" s="34">
        <f t="shared" ca="1" si="4"/>
        <v>6</v>
      </c>
      <c r="G12" s="33">
        <f t="shared" ca="1" si="0"/>
        <v>12</v>
      </c>
      <c r="H12" s="35">
        <v>30</v>
      </c>
      <c r="I12" s="36" cm="1">
        <f t="array" aca="1" ref="I12" ca="1">_xlfn.IFS(G12&lt;10,3,G12&lt;20,6,G12&gt;=20,9)</f>
        <v>6</v>
      </c>
      <c r="J12" s="33">
        <f t="shared" ca="1" si="1"/>
        <v>36</v>
      </c>
      <c r="K12" s="36">
        <v>13</v>
      </c>
      <c r="L12" s="35">
        <f t="shared" ca="1" si="2"/>
        <v>23</v>
      </c>
    </row>
    <row r="13" spans="1:16" s="23" customFormat="1" ht="19.899999999999999" customHeight="1" thickBot="1">
      <c r="A13" s="31" t="s">
        <v>12</v>
      </c>
      <c r="B13" s="47">
        <v>43823</v>
      </c>
      <c r="C13" s="32" cm="1">
        <f t="array" aca="1" ref="C13" ca="1">_xlfn.IFS(MONTH(B13)&lt;MONTH(TODAY()),DATE(YEAR(TODAY()),MONTH(B13),DAY(B13)),MONTH(B13)&gt;MONTH(TODAY()),DATE(YEAR(TODAY())-1,MONTH(B13),DAY(B13)),MONTH(B13)=MONTH(TODAY()),IF(DAY(B13)&gt;DAY(TODAY()),DATE(YEAR(TODAY())-1,MONTH(B13),DAY(B13)),DATE(YEAR(TODAY()),MONTH(B13),DAY(B13))))</f>
        <v>46015</v>
      </c>
      <c r="D13" s="32">
        <f t="shared" ca="1" si="3"/>
        <v>46380</v>
      </c>
      <c r="E13" s="33">
        <v>11</v>
      </c>
      <c r="F13" s="34">
        <f t="shared" ca="1" si="4"/>
        <v>7</v>
      </c>
      <c r="G13" s="33">
        <f t="shared" ca="1" si="0"/>
        <v>18</v>
      </c>
      <c r="H13" s="35">
        <v>30</v>
      </c>
      <c r="I13" s="36" cm="1">
        <f t="array" aca="1" ref="I13" ca="1">_xlfn.IFS(G13&lt;10,3,G13&lt;20,6,G13&gt;=20,9)</f>
        <v>6</v>
      </c>
      <c r="J13" s="33">
        <f t="shared" ca="1" si="1"/>
        <v>36</v>
      </c>
      <c r="K13" s="36">
        <v>15</v>
      </c>
      <c r="L13" s="35">
        <f t="shared" ca="1" si="2"/>
        <v>21</v>
      </c>
    </row>
    <row r="14" spans="1:16" s="23" customFormat="1" ht="19.899999999999999" customHeight="1" thickBot="1">
      <c r="A14" s="31" t="s">
        <v>13</v>
      </c>
      <c r="B14" s="47">
        <v>45014</v>
      </c>
      <c r="C14" s="32" cm="1">
        <f t="array" aca="1" ref="C14" ca="1">_xlfn.IFS(MONTH(B14)&lt;MONTH(TODAY()),DATE(YEAR(TODAY()),MONTH(B14),DAY(B14)),MONTH(B14)&gt;MONTH(TODAY()),DATE(YEAR(TODAY())-1,MONTH(B14),DAY(B14)),MONTH(B14)=MONTH(TODAY()),IF(DAY(B14)&gt;DAY(TODAY()),DATE(YEAR(TODAY())-1,MONTH(B14),DAY(B14)),DATE(YEAR(TODAY()),MONTH(B14),DAY(B14))))</f>
        <v>46110</v>
      </c>
      <c r="D14" s="32">
        <f t="shared" ca="1" si="3"/>
        <v>46475</v>
      </c>
      <c r="E14" s="33">
        <v>6</v>
      </c>
      <c r="F14" s="34">
        <f t="shared" ca="1" si="4"/>
        <v>3</v>
      </c>
      <c r="G14" s="33">
        <f t="shared" ca="1" si="0"/>
        <v>9</v>
      </c>
      <c r="H14" s="35">
        <v>30</v>
      </c>
      <c r="I14" s="36" cm="1">
        <f t="array" aca="1" ref="I14" ca="1">_xlfn.IFS(G14&lt;10,3,G14&lt;20,6,G14&gt;=20,9)</f>
        <v>3</v>
      </c>
      <c r="J14" s="33">
        <f t="shared" ca="1" si="1"/>
        <v>33</v>
      </c>
      <c r="K14" s="36">
        <v>1</v>
      </c>
      <c r="L14" s="35">
        <f t="shared" ca="1" si="2"/>
        <v>32</v>
      </c>
    </row>
    <row r="15" spans="1:16" s="23" customFormat="1" ht="19.899999999999999" customHeight="1" thickBot="1">
      <c r="A15" s="31" t="s">
        <v>14</v>
      </c>
      <c r="B15" s="47">
        <v>43322</v>
      </c>
      <c r="C15" s="32" cm="1">
        <f t="array" aca="1" ref="C15" ca="1">_xlfn.IFS(MONTH(B15)&lt;MONTH(TODAY()),DATE(YEAR(TODAY()),MONTH(B15),DAY(B15)),MONTH(B15)&gt;MONTH(TODAY()),DATE(YEAR(TODAY())-1,MONTH(B15),DAY(B15)),MONTH(B15)=MONTH(TODAY()),IF(DAY(B15)&gt;DAY(TODAY()),DATE(YEAR(TODAY())-1,MONTH(B15),DAY(B15)),DATE(YEAR(TODAY()),MONTH(B15),DAY(B15))))</f>
        <v>45879</v>
      </c>
      <c r="D15" s="32">
        <f t="shared" ca="1" si="3"/>
        <v>46244</v>
      </c>
      <c r="E15" s="33">
        <v>9</v>
      </c>
      <c r="F15" s="34">
        <f t="shared" ca="1" si="4"/>
        <v>8</v>
      </c>
      <c r="G15" s="33">
        <f t="shared" ca="1" si="0"/>
        <v>17</v>
      </c>
      <c r="H15" s="35">
        <v>30</v>
      </c>
      <c r="I15" s="36" cm="1">
        <f t="array" aca="1" ref="I15" ca="1">_xlfn.IFS(G15&lt;10,3,G15&lt;20,6,G15&gt;=20,9)</f>
        <v>6</v>
      </c>
      <c r="J15" s="33">
        <f t="shared" ca="1" si="1"/>
        <v>36</v>
      </c>
      <c r="K15" s="36">
        <v>8</v>
      </c>
      <c r="L15" s="35">
        <f t="shared" ca="1" si="2"/>
        <v>28</v>
      </c>
    </row>
    <row r="16" spans="1:16" s="23" customFormat="1" ht="19.899999999999999" customHeight="1" thickBot="1">
      <c r="A16" s="31" t="s">
        <v>15</v>
      </c>
      <c r="B16" s="47">
        <v>42814</v>
      </c>
      <c r="C16" s="32" cm="1">
        <f t="array" aca="1" ref="C16" ca="1">_xlfn.IFS(MONTH(B16)&lt;MONTH(TODAY()),DATE(YEAR(TODAY()),MONTH(B16),DAY(B16)),MONTH(B16)&gt;MONTH(TODAY()),DATE(YEAR(TODAY())-1,MONTH(B16),DAY(B16)),MONTH(B16)=MONTH(TODAY()),IF(DAY(B16)&gt;DAY(TODAY()),DATE(YEAR(TODAY())-1,MONTH(B16),DAY(B16)),DATE(YEAR(TODAY()),MONTH(B16),DAY(B16))))</f>
        <v>46101</v>
      </c>
      <c r="D16" s="32">
        <f t="shared" ca="1" si="3"/>
        <v>46466</v>
      </c>
      <c r="E16" s="33">
        <v>22</v>
      </c>
      <c r="F16" s="34">
        <f t="shared" ca="1" si="4"/>
        <v>9</v>
      </c>
      <c r="G16" s="33">
        <f t="shared" ca="1" si="0"/>
        <v>31</v>
      </c>
      <c r="H16" s="35">
        <v>30</v>
      </c>
      <c r="I16" s="36" cm="1">
        <f t="array" aca="1" ref="I16" ca="1">_xlfn.IFS(G16&lt;10,3,G16&lt;20,6,G16&gt;=20,9)</f>
        <v>9</v>
      </c>
      <c r="J16" s="33">
        <f t="shared" ca="1" si="1"/>
        <v>39</v>
      </c>
      <c r="K16" s="36">
        <v>10</v>
      </c>
      <c r="L16" s="35">
        <f t="shared" ca="1" si="2"/>
        <v>29</v>
      </c>
    </row>
    <row r="17" spans="1:15" s="23" customFormat="1" ht="19.899999999999999" customHeight="1" thickBot="1">
      <c r="A17" s="31" t="s">
        <v>16</v>
      </c>
      <c r="B17" s="47">
        <v>43396</v>
      </c>
      <c r="C17" s="32" cm="1">
        <f t="array" aca="1" ref="C17" ca="1">_xlfn.IFS(MONTH(B17)&lt;MONTH(TODAY()),DATE(YEAR(TODAY()),MONTH(B17),DAY(B17)),MONTH(B17)&gt;MONTH(TODAY()),DATE(YEAR(TODAY())-1,MONTH(B17),DAY(B17)),MONTH(B17)=MONTH(TODAY()),IF(DAY(B17)&gt;DAY(TODAY()),DATE(YEAR(TODAY())-1,MONTH(B17),DAY(B17)),DATE(YEAR(TODAY()),MONTH(B17),DAY(B17))))</f>
        <v>45953</v>
      </c>
      <c r="D17" s="32">
        <f t="shared" ca="1" si="3"/>
        <v>46318</v>
      </c>
      <c r="E17" s="33">
        <v>17</v>
      </c>
      <c r="F17" s="34">
        <f t="shared" ca="1" si="4"/>
        <v>8</v>
      </c>
      <c r="G17" s="33">
        <f t="shared" ca="1" si="0"/>
        <v>25</v>
      </c>
      <c r="H17" s="35">
        <v>30</v>
      </c>
      <c r="I17" s="36" cm="1">
        <f t="array" aca="1" ref="I17" ca="1">_xlfn.IFS(G17&lt;10,3,G17&lt;20,6,G17&gt;=20,9)</f>
        <v>9</v>
      </c>
      <c r="J17" s="33">
        <f t="shared" ca="1" si="1"/>
        <v>39</v>
      </c>
      <c r="K17" s="36">
        <v>4</v>
      </c>
      <c r="L17" s="35">
        <f t="shared" ca="1" si="2"/>
        <v>35</v>
      </c>
      <c r="N17" s="41"/>
      <c r="O17" s="24"/>
    </row>
    <row r="18" spans="1:15" s="23" customFormat="1" ht="19.899999999999999" customHeight="1" thickBot="1">
      <c r="A18" s="31" t="s">
        <v>17</v>
      </c>
      <c r="B18" s="47">
        <v>42573</v>
      </c>
      <c r="C18" s="32" cm="1">
        <f t="array" aca="1" ref="C18" ca="1">_xlfn.IFS(MONTH(B18)&lt;MONTH(TODAY()),DATE(YEAR(TODAY()),MONTH(B18),DAY(B18)),MONTH(B18)&gt;MONTH(TODAY()),DATE(YEAR(TODAY())-1,MONTH(B18),DAY(B18)),MONTH(B18)=MONTH(TODAY()),IF(DAY(B18)&gt;DAY(TODAY()),DATE(YEAR(TODAY())-1,MONTH(B18),DAY(B18)),DATE(YEAR(TODAY()),MONTH(B18),DAY(B18))))</f>
        <v>45860</v>
      </c>
      <c r="D18" s="32">
        <f t="shared" ca="1" si="3"/>
        <v>46225</v>
      </c>
      <c r="E18" s="33">
        <v>17</v>
      </c>
      <c r="F18" s="34">
        <f t="shared" ca="1" si="4"/>
        <v>10</v>
      </c>
      <c r="G18" s="33">
        <f t="shared" ca="1" si="0"/>
        <v>27</v>
      </c>
      <c r="H18" s="35">
        <v>30</v>
      </c>
      <c r="I18" s="36" cm="1">
        <f t="array" aca="1" ref="I18" ca="1">_xlfn.IFS(G18&lt;10,3,G18&lt;20,6,G18&gt;=20,9)</f>
        <v>9</v>
      </c>
      <c r="J18" s="33">
        <f t="shared" ca="1" si="1"/>
        <v>39</v>
      </c>
      <c r="K18" s="36">
        <v>19</v>
      </c>
      <c r="L18" s="35">
        <f t="shared" ca="1" si="2"/>
        <v>20</v>
      </c>
    </row>
    <row r="19" spans="1:15" s="23" customFormat="1" ht="19.899999999999999" customHeight="1" thickBot="1">
      <c r="A19" s="31" t="s">
        <v>18</v>
      </c>
      <c r="B19" s="47">
        <v>44129</v>
      </c>
      <c r="C19" s="32" cm="1">
        <f t="array" aca="1" ref="C19" ca="1">_xlfn.IFS(MONTH(B19)&lt;MONTH(TODAY()),DATE(YEAR(TODAY()),MONTH(B19),DAY(B19)),MONTH(B19)&gt;MONTH(TODAY()),DATE(YEAR(TODAY())-1,MONTH(B19),DAY(B19)),MONTH(B19)=MONTH(TODAY()),IF(DAY(B19)&gt;DAY(TODAY()),DATE(YEAR(TODAY())-1,MONTH(B19),DAY(B19)),DATE(YEAR(TODAY()),MONTH(B19),DAY(B19))))</f>
        <v>45955</v>
      </c>
      <c r="D19" s="32">
        <f t="shared" ca="1" si="3"/>
        <v>46320</v>
      </c>
      <c r="E19" s="33">
        <v>22</v>
      </c>
      <c r="F19" s="34">
        <f t="shared" ca="1" si="4"/>
        <v>6</v>
      </c>
      <c r="G19" s="33">
        <f t="shared" ca="1" si="0"/>
        <v>28</v>
      </c>
      <c r="H19" s="35">
        <v>30</v>
      </c>
      <c r="I19" s="36" cm="1">
        <f t="array" aca="1" ref="I19" ca="1">_xlfn.IFS(G19&lt;10,3,G19&lt;20,6,G19&gt;=20,9)</f>
        <v>9</v>
      </c>
      <c r="J19" s="33">
        <f t="shared" ca="1" si="1"/>
        <v>39</v>
      </c>
      <c r="K19" s="36">
        <v>14</v>
      </c>
      <c r="L19" s="35">
        <f t="shared" ca="1" si="2"/>
        <v>25</v>
      </c>
      <c r="N19" s="42"/>
    </row>
    <row r="20" spans="1:15" s="23" customFormat="1" ht="19.899999999999999" customHeight="1" thickBot="1">
      <c r="A20" s="31" t="s">
        <v>19</v>
      </c>
      <c r="B20" s="47">
        <v>42931</v>
      </c>
      <c r="C20" s="32" cm="1">
        <f t="array" aca="1" ref="C20" ca="1">_xlfn.IFS(MONTH(B20)&lt;MONTH(TODAY()),DATE(YEAR(TODAY()),MONTH(B20),DAY(B20)),MONTH(B20)&gt;MONTH(TODAY()),DATE(YEAR(TODAY())-1,MONTH(B20),DAY(B20)),MONTH(B20)=MONTH(TODAY()),IF(DAY(B20)&gt;DAY(TODAY()),DATE(YEAR(TODAY())-1,MONTH(B20),DAY(B20)),DATE(YEAR(TODAY()),MONTH(B20),DAY(B20))))</f>
        <v>45853</v>
      </c>
      <c r="D20" s="32">
        <f t="shared" ca="1" si="3"/>
        <v>46218</v>
      </c>
      <c r="E20" s="33">
        <v>11</v>
      </c>
      <c r="F20" s="34">
        <f t="shared" ca="1" si="4"/>
        <v>9</v>
      </c>
      <c r="G20" s="33">
        <f t="shared" ca="1" si="0"/>
        <v>20</v>
      </c>
      <c r="H20" s="35">
        <v>30</v>
      </c>
      <c r="I20" s="36" cm="1">
        <f t="array" aca="1" ref="I20" ca="1">_xlfn.IFS(G20&lt;10,3,G20&lt;20,6,G20&gt;=20,9)</f>
        <v>9</v>
      </c>
      <c r="J20" s="33">
        <f t="shared" ca="1" si="1"/>
        <v>39</v>
      </c>
      <c r="K20" s="36">
        <v>4</v>
      </c>
      <c r="L20" s="35">
        <f t="shared" ca="1" si="2"/>
        <v>35</v>
      </c>
    </row>
    <row r="21" spans="1:15" s="23" customFormat="1" ht="19.899999999999999" customHeight="1" thickBot="1">
      <c r="A21" s="31" t="s">
        <v>20</v>
      </c>
      <c r="B21" s="47">
        <v>44176</v>
      </c>
      <c r="C21" s="32" cm="1">
        <f t="array" aca="1" ref="C21" ca="1">_xlfn.IFS(MONTH(B21)&lt;MONTH(TODAY()),DATE(YEAR(TODAY()),MONTH(B21),DAY(B21)),MONTH(B21)&gt;MONTH(TODAY()),DATE(YEAR(TODAY())-1,MONTH(B21),DAY(B21)),MONTH(B21)=MONTH(TODAY()),IF(DAY(B21)&gt;DAY(TODAY()),DATE(YEAR(TODAY())-1,MONTH(B21),DAY(B21)),DATE(YEAR(TODAY()),MONTH(B21),DAY(B21))))</f>
        <v>46002</v>
      </c>
      <c r="D21" s="32">
        <f t="shared" ca="1" si="3"/>
        <v>46367</v>
      </c>
      <c r="E21" s="33">
        <v>3</v>
      </c>
      <c r="F21" s="34">
        <f t="shared" ca="1" si="4"/>
        <v>6</v>
      </c>
      <c r="G21" s="33">
        <f t="shared" ca="1" si="0"/>
        <v>9</v>
      </c>
      <c r="H21" s="35">
        <v>30</v>
      </c>
      <c r="I21" s="36" cm="1">
        <f t="array" aca="1" ref="I21" ca="1">_xlfn.IFS(G21&lt;10,3,G21&lt;20,6,G21&gt;=20,9)</f>
        <v>3</v>
      </c>
      <c r="J21" s="33">
        <f t="shared" ca="1" si="1"/>
        <v>33</v>
      </c>
      <c r="K21" s="36">
        <v>16</v>
      </c>
      <c r="L21" s="35">
        <f t="shared" ca="1" si="2"/>
        <v>17</v>
      </c>
    </row>
    <row r="22" spans="1:15" s="23" customFormat="1" ht="19.899999999999999" customHeight="1" thickBot="1">
      <c r="A22" s="31" t="s">
        <v>21</v>
      </c>
      <c r="B22" s="47">
        <v>43215</v>
      </c>
      <c r="C22" s="32" cm="1">
        <f t="array" aca="1" ref="C22" ca="1">_xlfn.IFS(MONTH(B22)&lt;MONTH(TODAY()),DATE(YEAR(TODAY()),MONTH(B22),DAY(B22)),MONTH(B22)&gt;MONTH(TODAY()),DATE(YEAR(TODAY())-1,MONTH(B22),DAY(B22)),MONTH(B22)=MONTH(TODAY()),IF(DAY(B22)&gt;DAY(TODAY()),DATE(YEAR(TODAY())-1,MONTH(B22),DAY(B22)),DATE(YEAR(TODAY()),MONTH(B22),DAY(B22))))</f>
        <v>46137</v>
      </c>
      <c r="D22" s="32">
        <f t="shared" ca="1" si="3"/>
        <v>46502</v>
      </c>
      <c r="E22" s="33">
        <v>3</v>
      </c>
      <c r="F22" s="34">
        <f t="shared" ca="1" si="4"/>
        <v>8</v>
      </c>
      <c r="G22" s="33">
        <f t="shared" ca="1" si="0"/>
        <v>11</v>
      </c>
      <c r="H22" s="35">
        <v>30</v>
      </c>
      <c r="I22" s="36" cm="1">
        <f t="array" aca="1" ref="I22" ca="1">_xlfn.IFS(G22&lt;10,3,G22&lt;20,6,G22&gt;=20,9)</f>
        <v>6</v>
      </c>
      <c r="J22" s="33">
        <f t="shared" ca="1" si="1"/>
        <v>36</v>
      </c>
      <c r="K22" s="36">
        <v>10</v>
      </c>
      <c r="L22" s="35">
        <f t="shared" ca="1" si="2"/>
        <v>26</v>
      </c>
    </row>
    <row r="23" spans="1:15" s="23" customFormat="1" ht="19.899999999999999" customHeight="1" thickBot="1">
      <c r="A23" s="31" t="s">
        <v>22</v>
      </c>
      <c r="B23" s="47">
        <v>42344</v>
      </c>
      <c r="C23" s="32" cm="1">
        <f t="array" aca="1" ref="C23" ca="1">_xlfn.IFS(MONTH(B23)&lt;MONTH(TODAY()),DATE(YEAR(TODAY()),MONTH(B23),DAY(B23)),MONTH(B23)&gt;MONTH(TODAY()),DATE(YEAR(TODAY())-1,MONTH(B23),DAY(B23)),MONTH(B23)=MONTH(TODAY()),IF(DAY(B23)&gt;DAY(TODAY()),DATE(YEAR(TODAY())-1,MONTH(B23),DAY(B23)),DATE(YEAR(TODAY()),MONTH(B23),DAY(B23))))</f>
        <v>45997</v>
      </c>
      <c r="D23" s="32">
        <f t="shared" ca="1" si="3"/>
        <v>46362</v>
      </c>
      <c r="E23" s="33">
        <v>6</v>
      </c>
      <c r="F23" s="34">
        <f t="shared" ca="1" si="4"/>
        <v>11</v>
      </c>
      <c r="G23" s="33">
        <f t="shared" ca="1" si="0"/>
        <v>17</v>
      </c>
      <c r="H23" s="35">
        <v>30</v>
      </c>
      <c r="I23" s="36" cm="1">
        <f t="array" aca="1" ref="I23" ca="1">_xlfn.IFS(G23&lt;10,3,G23&lt;20,6,G23&gt;=20,9)</f>
        <v>6</v>
      </c>
      <c r="J23" s="33">
        <f t="shared" ca="1" si="1"/>
        <v>36</v>
      </c>
      <c r="K23" s="36">
        <v>9</v>
      </c>
      <c r="L23" s="35">
        <f t="shared" ca="1" si="2"/>
        <v>27</v>
      </c>
    </row>
    <row r="24" spans="1:15" s="23" customFormat="1" ht="19.899999999999999" customHeight="1" thickBot="1">
      <c r="A24" s="31" t="s">
        <v>23</v>
      </c>
      <c r="B24" s="47">
        <v>42404</v>
      </c>
      <c r="C24" s="32" cm="1">
        <f t="array" aca="1" ref="C24" ca="1">_xlfn.IFS(MONTH(B24)&lt;MONTH(TODAY()),DATE(YEAR(TODAY()),MONTH(B24),DAY(B24)),MONTH(B24)&gt;MONTH(TODAY()),DATE(YEAR(TODAY())-1,MONTH(B24),DAY(B24)),MONTH(B24)=MONTH(TODAY()),IF(DAY(B24)&gt;DAY(TODAY()),DATE(YEAR(TODAY())-1,MONTH(B24),DAY(B24)),DATE(YEAR(TODAY()),MONTH(B24),DAY(B24))))</f>
        <v>46057</v>
      </c>
      <c r="D24" s="32">
        <f t="shared" ca="1" si="3"/>
        <v>46422</v>
      </c>
      <c r="E24" s="33">
        <v>3</v>
      </c>
      <c r="F24" s="34">
        <f t="shared" ca="1" si="4"/>
        <v>10</v>
      </c>
      <c r="G24" s="33">
        <f t="shared" ca="1" si="0"/>
        <v>13</v>
      </c>
      <c r="H24" s="35">
        <v>30</v>
      </c>
      <c r="I24" s="36" cm="1">
        <f t="array" aca="1" ref="I24" ca="1">_xlfn.IFS(G24&lt;10,3,G24&lt;20,6,G24&gt;=20,9)</f>
        <v>6</v>
      </c>
      <c r="J24" s="33">
        <f t="shared" ca="1" si="1"/>
        <v>36</v>
      </c>
      <c r="K24" s="36">
        <v>17</v>
      </c>
      <c r="L24" s="35">
        <f t="shared" ca="1" si="2"/>
        <v>19</v>
      </c>
    </row>
    <row r="25" spans="1:15" s="23" customFormat="1" ht="19.899999999999999" customHeight="1" thickBot="1">
      <c r="A25" s="31" t="s">
        <v>24</v>
      </c>
      <c r="B25" s="47">
        <v>41996</v>
      </c>
      <c r="C25" s="32" cm="1">
        <f t="array" aca="1" ref="C25" ca="1">_xlfn.IFS(MONTH(B25)&lt;MONTH(TODAY()),DATE(YEAR(TODAY()),MONTH(B25),DAY(B25)),MONTH(B25)&gt;MONTH(TODAY()),DATE(YEAR(TODAY())-1,MONTH(B25),DAY(B25)),MONTH(B25)=MONTH(TODAY()),IF(DAY(B25)&gt;DAY(TODAY()),DATE(YEAR(TODAY())-1,MONTH(B25),DAY(B25)),DATE(YEAR(TODAY()),MONTH(B25),DAY(B25))))</f>
        <v>46014</v>
      </c>
      <c r="D25" s="32">
        <f t="shared" ca="1" si="3"/>
        <v>46379</v>
      </c>
      <c r="E25" s="33">
        <v>9</v>
      </c>
      <c r="F25" s="34">
        <f t="shared" ca="1" si="4"/>
        <v>12</v>
      </c>
      <c r="G25" s="33">
        <f t="shared" ca="1" si="0"/>
        <v>21</v>
      </c>
      <c r="H25" s="35">
        <v>30</v>
      </c>
      <c r="I25" s="36" cm="1">
        <f t="array" aca="1" ref="I25" ca="1">_xlfn.IFS(G25&lt;10,3,G25&lt;20,6,G25&gt;=20,9)</f>
        <v>9</v>
      </c>
      <c r="J25" s="33">
        <f t="shared" ca="1" si="1"/>
        <v>39</v>
      </c>
      <c r="K25" s="36">
        <v>20</v>
      </c>
      <c r="L25" s="35">
        <f t="shared" ca="1" si="2"/>
        <v>19</v>
      </c>
    </row>
    <row r="26" spans="1:15" s="23" customFormat="1" ht="19.899999999999999" customHeight="1" thickBot="1">
      <c r="A26" s="31" t="s">
        <v>25</v>
      </c>
      <c r="B26" s="47">
        <v>44015</v>
      </c>
      <c r="C26" s="32" cm="1">
        <f t="array" aca="1" ref="C26" ca="1">_xlfn.IFS(MONTH(B26)&lt;MONTH(TODAY()),DATE(YEAR(TODAY()),MONTH(B26),DAY(B26)),MONTH(B26)&gt;MONTH(TODAY()),DATE(YEAR(TODAY())-1,MONTH(B26),DAY(B26)),MONTH(B26)=MONTH(TODAY()),IF(DAY(B26)&gt;DAY(TODAY()),DATE(YEAR(TODAY())-1,MONTH(B26),DAY(B26)),DATE(YEAR(TODAY()),MONTH(B26),DAY(B26))))</f>
        <v>46206</v>
      </c>
      <c r="D26" s="32">
        <f t="shared" ca="1" si="3"/>
        <v>46571</v>
      </c>
      <c r="E26" s="33">
        <v>3</v>
      </c>
      <c r="F26" s="34">
        <f t="shared" ca="1" si="4"/>
        <v>6</v>
      </c>
      <c r="G26" s="33">
        <f t="shared" ca="1" si="0"/>
        <v>9</v>
      </c>
      <c r="H26" s="35">
        <v>30</v>
      </c>
      <c r="I26" s="36" cm="1">
        <f t="array" aca="1" ref="I26" ca="1">_xlfn.IFS(G26&lt;10,3,G26&lt;20,6,G26&gt;=20,9)</f>
        <v>3</v>
      </c>
      <c r="J26" s="33">
        <f t="shared" ca="1" si="1"/>
        <v>33</v>
      </c>
      <c r="K26" s="36">
        <v>12</v>
      </c>
      <c r="L26" s="35">
        <f t="shared" ca="1" si="2"/>
        <v>21</v>
      </c>
    </row>
    <row r="27" spans="1:15" s="23" customFormat="1" ht="19.899999999999999" customHeight="1" thickBot="1">
      <c r="A27" s="31" t="s">
        <v>26</v>
      </c>
      <c r="B27" s="47">
        <v>41774</v>
      </c>
      <c r="C27" s="32" cm="1">
        <f t="array" aca="1" ref="C27" ca="1">_xlfn.IFS(MONTH(B27)&lt;MONTH(TODAY()),DATE(YEAR(TODAY()),MONTH(B27),DAY(B27)),MONTH(B27)&gt;MONTH(TODAY()),DATE(YEAR(TODAY())-1,MONTH(B27),DAY(B27)),MONTH(B27)=MONTH(TODAY()),IF(DAY(B27)&gt;DAY(TODAY()),DATE(YEAR(TODAY())-1,MONTH(B27),DAY(B27)),DATE(YEAR(TODAY()),MONTH(B27),DAY(B27))))</f>
        <v>46157</v>
      </c>
      <c r="D27" s="32">
        <f t="shared" ca="1" si="3"/>
        <v>46522</v>
      </c>
      <c r="E27" s="33">
        <v>6</v>
      </c>
      <c r="F27" s="34">
        <f t="shared" ca="1" si="4"/>
        <v>12</v>
      </c>
      <c r="G27" s="33">
        <f t="shared" ca="1" si="0"/>
        <v>18</v>
      </c>
      <c r="H27" s="35">
        <v>30</v>
      </c>
      <c r="I27" s="36" cm="1">
        <f t="array" aca="1" ref="I27" ca="1">_xlfn.IFS(G27&lt;10,3,G27&lt;20,6,G27&gt;=20,9)</f>
        <v>6</v>
      </c>
      <c r="J27" s="33">
        <f t="shared" ca="1" si="1"/>
        <v>36</v>
      </c>
      <c r="K27" s="36">
        <v>15</v>
      </c>
      <c r="L27" s="35">
        <f t="shared" ca="1" si="2"/>
        <v>21</v>
      </c>
    </row>
    <row r="28" spans="1:15" s="23" customFormat="1" ht="19.899999999999999" customHeight="1" thickBot="1">
      <c r="A28" s="31" t="s">
        <v>27</v>
      </c>
      <c r="B28" s="47">
        <v>45433</v>
      </c>
      <c r="C28" s="32" cm="1">
        <f t="array" aca="1" ref="C28" ca="1">_xlfn.IFS(MONTH(B28)&lt;MONTH(TODAY()),DATE(YEAR(TODAY()),MONTH(B28),DAY(B28)),MONTH(B28)&gt;MONTH(TODAY()),DATE(YEAR(TODAY())-1,MONTH(B28),DAY(B28)),MONTH(B28)=MONTH(TODAY()),IF(DAY(B28)&gt;DAY(TODAY()),DATE(YEAR(TODAY())-1,MONTH(B28),DAY(B28)),DATE(YEAR(TODAY()),MONTH(B28),DAY(B28))))</f>
        <v>46163</v>
      </c>
      <c r="D28" s="32">
        <f t="shared" ca="1" si="3"/>
        <v>46528</v>
      </c>
      <c r="E28" s="33">
        <v>6</v>
      </c>
      <c r="F28" s="34">
        <f t="shared" ca="1" si="4"/>
        <v>2</v>
      </c>
      <c r="G28" s="33">
        <f t="shared" ca="1" si="0"/>
        <v>8</v>
      </c>
      <c r="H28" s="35">
        <v>30</v>
      </c>
      <c r="I28" s="36" cm="1">
        <f t="array" aca="1" ref="I28" ca="1">_xlfn.IFS(G28&lt;10,3,G28&lt;20,6,G28&gt;=20,9)</f>
        <v>3</v>
      </c>
      <c r="J28" s="33">
        <f t="shared" ca="1" si="1"/>
        <v>33</v>
      </c>
      <c r="K28" s="36">
        <v>5</v>
      </c>
      <c r="L28" s="35">
        <f t="shared" ca="1" si="2"/>
        <v>28</v>
      </c>
    </row>
    <row r="29" spans="1:15" s="23" customFormat="1" ht="19.899999999999999" customHeight="1" thickBot="1">
      <c r="A29" s="31" t="s">
        <v>28</v>
      </c>
      <c r="B29" s="47">
        <v>43668</v>
      </c>
      <c r="C29" s="32" cm="1">
        <f t="array" aca="1" ref="C29" ca="1">_xlfn.IFS(MONTH(B29)&lt;MONTH(TODAY()),DATE(YEAR(TODAY()),MONTH(B29),DAY(B29)),MONTH(B29)&gt;MONTH(TODAY()),DATE(YEAR(TODAY())-1,MONTH(B29),DAY(B29)),MONTH(B29)=MONTH(TODAY()),IF(DAY(B29)&gt;DAY(TODAY()),DATE(YEAR(TODAY())-1,MONTH(B29),DAY(B29)),DATE(YEAR(TODAY()),MONTH(B29),DAY(B29))))</f>
        <v>45860</v>
      </c>
      <c r="D29" s="32">
        <f t="shared" ca="1" si="3"/>
        <v>46225</v>
      </c>
      <c r="E29" s="33">
        <v>6</v>
      </c>
      <c r="F29" s="34">
        <f t="shared" ca="1" si="4"/>
        <v>7</v>
      </c>
      <c r="G29" s="33">
        <f t="shared" ca="1" si="0"/>
        <v>13</v>
      </c>
      <c r="H29" s="35">
        <v>30</v>
      </c>
      <c r="I29" s="36" cm="1">
        <f t="array" aca="1" ref="I29" ca="1">_xlfn.IFS(G29&lt;10,3,G29&lt;20,6,G29&gt;=20,9)</f>
        <v>6</v>
      </c>
      <c r="J29" s="33">
        <f t="shared" ca="1" si="1"/>
        <v>36</v>
      </c>
      <c r="K29" s="36">
        <v>8</v>
      </c>
      <c r="L29" s="35">
        <f t="shared" ca="1" si="2"/>
        <v>28</v>
      </c>
    </row>
    <row r="30" spans="1:15" s="23" customFormat="1" ht="19.899999999999999" customHeight="1" thickBot="1">
      <c r="A30" s="31" t="s">
        <v>29</v>
      </c>
      <c r="B30" s="47">
        <v>45630</v>
      </c>
      <c r="C30" s="32" cm="1">
        <f t="array" aca="1" ref="C30" ca="1">_xlfn.IFS(MONTH(B30)&lt;MONTH(TODAY()),DATE(YEAR(TODAY()),MONTH(B30),DAY(B30)),MONTH(B30)&gt;MONTH(TODAY()),DATE(YEAR(TODAY())-1,MONTH(B30),DAY(B30)),MONTH(B30)=MONTH(TODAY()),IF(DAY(B30)&gt;DAY(TODAY()),DATE(YEAR(TODAY())-1,MONTH(B30),DAY(B30)),DATE(YEAR(TODAY()),MONTH(B30),DAY(B30))))</f>
        <v>45995</v>
      </c>
      <c r="D30" s="32">
        <f t="shared" ca="1" si="3"/>
        <v>46360</v>
      </c>
      <c r="E30" s="33">
        <v>22</v>
      </c>
      <c r="F30" s="34">
        <f t="shared" ca="1" si="4"/>
        <v>2</v>
      </c>
      <c r="G30" s="33">
        <f t="shared" ca="1" si="0"/>
        <v>24</v>
      </c>
      <c r="H30" s="35">
        <v>30</v>
      </c>
      <c r="I30" s="36" cm="1">
        <f t="array" aca="1" ref="I30" ca="1">_xlfn.IFS(G30&lt;10,3,G30&lt;20,6,G30&gt;=20,9)</f>
        <v>9</v>
      </c>
      <c r="J30" s="33">
        <f t="shared" ca="1" si="1"/>
        <v>39</v>
      </c>
      <c r="K30" s="36">
        <v>16</v>
      </c>
      <c r="L30" s="35">
        <f t="shared" ca="1" si="2"/>
        <v>23</v>
      </c>
    </row>
    <row r="31" spans="1:15" s="23" customFormat="1" ht="19.899999999999999" customHeight="1" thickBot="1">
      <c r="A31" s="31" t="s">
        <v>30</v>
      </c>
      <c r="B31" s="47">
        <v>43822</v>
      </c>
      <c r="C31" s="32" cm="1">
        <f t="array" aca="1" ref="C31" ca="1">_xlfn.IFS(MONTH(B31)&lt;MONTH(TODAY()),DATE(YEAR(TODAY()),MONTH(B31),DAY(B31)),MONTH(B31)&gt;MONTH(TODAY()),DATE(YEAR(TODAY())-1,MONTH(B31),DAY(B31)),MONTH(B31)=MONTH(TODAY()),IF(DAY(B31)&gt;DAY(TODAY()),DATE(YEAR(TODAY())-1,MONTH(B31),DAY(B31)),DATE(YEAR(TODAY()),MONTH(B31),DAY(B31))))</f>
        <v>46014</v>
      </c>
      <c r="D31" s="32">
        <f t="shared" ca="1" si="3"/>
        <v>46379</v>
      </c>
      <c r="E31" s="33">
        <v>22</v>
      </c>
      <c r="F31" s="34">
        <f t="shared" ca="1" si="4"/>
        <v>7</v>
      </c>
      <c r="G31" s="33">
        <f t="shared" ca="1" si="0"/>
        <v>29</v>
      </c>
      <c r="H31" s="35">
        <v>30</v>
      </c>
      <c r="I31" s="36" cm="1">
        <f t="array" aca="1" ref="I31" ca="1">_xlfn.IFS(G31&lt;10,3,G31&lt;20,6,G31&gt;=20,9)</f>
        <v>9</v>
      </c>
      <c r="J31" s="33">
        <f t="shared" ca="1" si="1"/>
        <v>39</v>
      </c>
      <c r="K31" s="36">
        <v>12</v>
      </c>
      <c r="L31" s="35">
        <f t="shared" ca="1" si="2"/>
        <v>27</v>
      </c>
    </row>
    <row r="32" spans="1:15" s="23" customFormat="1" ht="19.899999999999999" customHeight="1" thickBot="1">
      <c r="A32" s="31" t="s">
        <v>31</v>
      </c>
      <c r="B32" s="47">
        <v>43211</v>
      </c>
      <c r="C32" s="32" cm="1">
        <f t="array" aca="1" ref="C32" ca="1">_xlfn.IFS(MONTH(B32)&lt;MONTH(TODAY()),DATE(YEAR(TODAY()),MONTH(B32),DAY(B32)),MONTH(B32)&gt;MONTH(TODAY()),DATE(YEAR(TODAY())-1,MONTH(B32),DAY(B32)),MONTH(B32)=MONTH(TODAY()),IF(DAY(B32)&gt;DAY(TODAY()),DATE(YEAR(TODAY())-1,MONTH(B32),DAY(B32)),DATE(YEAR(TODAY()),MONTH(B32),DAY(B32))))</f>
        <v>46133</v>
      </c>
      <c r="D32" s="32">
        <f t="shared" ca="1" si="3"/>
        <v>46498</v>
      </c>
      <c r="E32" s="33">
        <v>22</v>
      </c>
      <c r="F32" s="34">
        <f t="shared" ca="1" si="4"/>
        <v>8</v>
      </c>
      <c r="G32" s="33">
        <f t="shared" ca="1" si="0"/>
        <v>30</v>
      </c>
      <c r="H32" s="35">
        <v>30</v>
      </c>
      <c r="I32" s="36" cm="1">
        <f t="array" aca="1" ref="I32" ca="1">_xlfn.IFS(G32&lt;10,3,G32&lt;20,6,G32&gt;=20,9)</f>
        <v>9</v>
      </c>
      <c r="J32" s="33">
        <f t="shared" ca="1" si="1"/>
        <v>39</v>
      </c>
      <c r="K32" s="36">
        <v>32</v>
      </c>
      <c r="L32" s="35">
        <f t="shared" ca="1" si="2"/>
        <v>7</v>
      </c>
    </row>
  </sheetData>
  <autoFilter ref="A1:L32" xr:uid="{00000000-0001-0000-0000-000000000000}"/>
  <dataValidations count="1">
    <dataValidation type="list" allowBlank="1" showInputMessage="1" showErrorMessage="1" sqref="O3" xr:uid="{53DA2950-6144-5141-BAD6-3A054F75B6F0}">
      <formula1>$A$2:$A$32</formula1>
    </dataValidation>
  </dataValidations>
  <printOptions horizontalCentered="1"/>
  <pageMargins left="0.25" right="0.25" top="0.5" bottom="0.75" header="0.3" footer="0.3"/>
  <pageSetup paperSize="9" scale="68" orientation="landscape" r:id="rId1"/>
  <headerFooter>
    <oddHeader>&amp;C&amp;"Roboto Black,Regular"&amp;12VACATION TRACKER</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8F407-4E52-4259-8D4E-458E4108EE84}">
  <sheetPr>
    <tabColor theme="0" tint="-0.14999847407452621"/>
    <pageSetUpPr fitToPage="1"/>
  </sheetPr>
  <dimension ref="A1:B32"/>
  <sheetViews>
    <sheetView showGridLines="0" zoomScale="70" zoomScaleNormal="70" workbookViewId="0">
      <selection activeCell="V22" sqref="V22"/>
    </sheetView>
  </sheetViews>
  <sheetFormatPr defaultColWidth="10.140625" defaultRowHeight="12.75"/>
  <cols>
    <col min="1" max="1" width="18.7109375" style="2" bestFit="1" customWidth="1"/>
    <col min="2" max="2" width="15.7109375" style="2" customWidth="1"/>
    <col min="3" max="16384" width="10.140625" style="2"/>
  </cols>
  <sheetData>
    <row r="1" spans="1:2" s="1" customFormat="1" ht="100.15" customHeight="1" thickBot="1">
      <c r="A1" s="25" t="s">
        <v>0</v>
      </c>
      <c r="B1" s="26" t="s">
        <v>47</v>
      </c>
    </row>
    <row r="2" spans="1:2" s="23" customFormat="1" ht="19.899999999999999" customHeight="1" thickBot="1">
      <c r="A2" s="35" t="s">
        <v>1</v>
      </c>
      <c r="B2" s="40">
        <v>18</v>
      </c>
    </row>
    <row r="3" spans="1:2" s="23" customFormat="1" ht="19.899999999999999" customHeight="1" thickBot="1">
      <c r="A3" s="35" t="s">
        <v>2</v>
      </c>
      <c r="B3" s="40">
        <v>24</v>
      </c>
    </row>
    <row r="4" spans="1:2" s="23" customFormat="1" ht="19.899999999999999" customHeight="1" thickBot="1">
      <c r="A4" s="35" t="s">
        <v>3</v>
      </c>
      <c r="B4" s="40">
        <v>24</v>
      </c>
    </row>
    <row r="5" spans="1:2" s="23" customFormat="1" ht="19.899999999999999" customHeight="1" thickBot="1">
      <c r="A5" s="35" t="s">
        <v>4</v>
      </c>
      <c r="B5" s="40">
        <v>18</v>
      </c>
    </row>
    <row r="6" spans="1:2" s="23" customFormat="1" ht="19.899999999999999" customHeight="1" thickBot="1">
      <c r="A6" s="35" t="s">
        <v>5</v>
      </c>
      <c r="B6" s="40">
        <v>0</v>
      </c>
    </row>
    <row r="7" spans="1:2" s="23" customFormat="1" ht="19.899999999999999" customHeight="1" thickBot="1">
      <c r="A7" s="35" t="s">
        <v>6</v>
      </c>
      <c r="B7" s="40">
        <v>33</v>
      </c>
    </row>
    <row r="8" spans="1:2" s="23" customFormat="1" ht="19.899999999999999" customHeight="1" thickBot="1">
      <c r="A8" s="35" t="s">
        <v>7</v>
      </c>
      <c r="B8" s="40">
        <v>2</v>
      </c>
    </row>
    <row r="9" spans="1:2" s="23" customFormat="1" ht="19.899999999999999" customHeight="1" thickBot="1">
      <c r="A9" s="35" t="s">
        <v>8</v>
      </c>
      <c r="B9" s="40">
        <v>20</v>
      </c>
    </row>
    <row r="10" spans="1:2" s="23" customFormat="1" ht="19.899999999999999" customHeight="1" thickBot="1">
      <c r="A10" s="35" t="s">
        <v>9</v>
      </c>
      <c r="B10" s="40">
        <v>7</v>
      </c>
    </row>
    <row r="11" spans="1:2" s="23" customFormat="1" ht="19.899999999999999" customHeight="1" thickBot="1">
      <c r="A11" s="35" t="s">
        <v>10</v>
      </c>
      <c r="B11" s="40">
        <v>25</v>
      </c>
    </row>
    <row r="12" spans="1:2" s="23" customFormat="1" ht="19.899999999999999" customHeight="1" thickBot="1">
      <c r="A12" s="35" t="s">
        <v>11</v>
      </c>
      <c r="B12" s="40">
        <v>13</v>
      </c>
    </row>
    <row r="13" spans="1:2" s="23" customFormat="1" ht="19.899999999999999" customHeight="1" thickBot="1">
      <c r="A13" s="35" t="s">
        <v>12</v>
      </c>
      <c r="B13" s="40">
        <v>15</v>
      </c>
    </row>
    <row r="14" spans="1:2" s="23" customFormat="1" ht="19.899999999999999" customHeight="1" thickBot="1">
      <c r="A14" s="35" t="s">
        <v>13</v>
      </c>
      <c r="B14" s="40">
        <v>1</v>
      </c>
    </row>
    <row r="15" spans="1:2" s="23" customFormat="1" ht="19.899999999999999" customHeight="1" thickBot="1">
      <c r="A15" s="35" t="s">
        <v>14</v>
      </c>
      <c r="B15" s="40">
        <v>8</v>
      </c>
    </row>
    <row r="16" spans="1:2" s="23" customFormat="1" ht="19.899999999999999" customHeight="1" thickBot="1">
      <c r="A16" s="35" t="s">
        <v>15</v>
      </c>
      <c r="B16" s="40">
        <v>10</v>
      </c>
    </row>
    <row r="17" spans="1:2" s="23" customFormat="1" ht="19.899999999999999" customHeight="1" thickBot="1">
      <c r="A17" s="35" t="s">
        <v>16</v>
      </c>
      <c r="B17" s="40">
        <v>4</v>
      </c>
    </row>
    <row r="18" spans="1:2" s="23" customFormat="1" ht="19.899999999999999" customHeight="1" thickBot="1">
      <c r="A18" s="35" t="s">
        <v>17</v>
      </c>
      <c r="B18" s="40">
        <v>19</v>
      </c>
    </row>
    <row r="19" spans="1:2" s="23" customFormat="1" ht="19.899999999999999" customHeight="1" thickBot="1">
      <c r="A19" s="35" t="s">
        <v>18</v>
      </c>
      <c r="B19" s="40">
        <v>14</v>
      </c>
    </row>
    <row r="20" spans="1:2" s="23" customFormat="1" ht="19.899999999999999" customHeight="1" thickBot="1">
      <c r="A20" s="35" t="s">
        <v>19</v>
      </c>
      <c r="B20" s="40">
        <v>4</v>
      </c>
    </row>
    <row r="21" spans="1:2" s="23" customFormat="1" ht="19.899999999999999" customHeight="1" thickBot="1">
      <c r="A21" s="35" t="s">
        <v>20</v>
      </c>
      <c r="B21" s="40">
        <v>16</v>
      </c>
    </row>
    <row r="22" spans="1:2" s="23" customFormat="1" ht="19.899999999999999" customHeight="1" thickBot="1">
      <c r="A22" s="35" t="s">
        <v>21</v>
      </c>
      <c r="B22" s="40">
        <v>10</v>
      </c>
    </row>
    <row r="23" spans="1:2" s="23" customFormat="1" ht="19.899999999999999" customHeight="1" thickBot="1">
      <c r="A23" s="35" t="s">
        <v>22</v>
      </c>
      <c r="B23" s="40">
        <v>9</v>
      </c>
    </row>
    <row r="24" spans="1:2" s="23" customFormat="1" ht="19.899999999999999" customHeight="1" thickBot="1">
      <c r="A24" s="35" t="s">
        <v>23</v>
      </c>
      <c r="B24" s="40">
        <v>17</v>
      </c>
    </row>
    <row r="25" spans="1:2" s="23" customFormat="1" ht="19.899999999999999" customHeight="1" thickBot="1">
      <c r="A25" s="35" t="s">
        <v>24</v>
      </c>
      <c r="B25" s="40">
        <v>20</v>
      </c>
    </row>
    <row r="26" spans="1:2" s="23" customFormat="1" ht="19.899999999999999" customHeight="1" thickBot="1">
      <c r="A26" s="35" t="s">
        <v>25</v>
      </c>
      <c r="B26" s="40">
        <v>12</v>
      </c>
    </row>
    <row r="27" spans="1:2" s="23" customFormat="1" ht="19.899999999999999" customHeight="1" thickBot="1">
      <c r="A27" s="35" t="s">
        <v>26</v>
      </c>
      <c r="B27" s="40">
        <v>15</v>
      </c>
    </row>
    <row r="28" spans="1:2" s="23" customFormat="1" ht="19.899999999999999" customHeight="1" thickBot="1">
      <c r="A28" s="35" t="s">
        <v>27</v>
      </c>
      <c r="B28" s="40">
        <v>5</v>
      </c>
    </row>
    <row r="29" spans="1:2" s="23" customFormat="1" ht="19.899999999999999" customHeight="1" thickBot="1">
      <c r="A29" s="35" t="s">
        <v>28</v>
      </c>
      <c r="B29" s="40">
        <v>8</v>
      </c>
    </row>
    <row r="30" spans="1:2" s="23" customFormat="1" ht="19.899999999999999" customHeight="1" thickBot="1">
      <c r="A30" s="35" t="s">
        <v>29</v>
      </c>
      <c r="B30" s="40">
        <v>16</v>
      </c>
    </row>
    <row r="31" spans="1:2" s="23" customFormat="1" ht="19.899999999999999" customHeight="1" thickBot="1">
      <c r="A31" s="35" t="s">
        <v>30</v>
      </c>
      <c r="B31" s="40">
        <v>12</v>
      </c>
    </row>
    <row r="32" spans="1:2" s="23" customFormat="1" ht="19.899999999999999" customHeight="1" thickBot="1">
      <c r="A32" s="35" t="s">
        <v>31</v>
      </c>
      <c r="B32" s="40">
        <v>32</v>
      </c>
    </row>
  </sheetData>
  <autoFilter ref="A1:A32" xr:uid="{00000000-0001-0000-0000-000000000000}"/>
  <printOptions horizontalCentered="1"/>
  <pageMargins left="0.25" right="0.25" top="0.75" bottom="0.25" header="0.3" footer="0.3"/>
  <pageSetup paperSize="9" scale="83" orientation="landscape" r:id="rId1"/>
  <headerFooter>
    <oddHeader>&amp;C&amp;"Roboto,Bold"&amp;12VACATION USED</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Challenge</vt:lpstr>
      <vt:lpstr>VacationTracker</vt:lpstr>
      <vt:lpstr>Transactions</vt:lpstr>
      <vt:lpstr>Challenge!Print_Area</vt:lpstr>
      <vt:lpstr>Transactions!Print_Area</vt:lpstr>
      <vt:lpstr>VacationTracker!Print_Area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Martin</dc:creator>
  <cp:lastModifiedBy>Тарас Андрійович Осипчук</cp:lastModifiedBy>
  <cp:lastPrinted>2024-12-03T08:38:08Z</cp:lastPrinted>
  <dcterms:created xsi:type="dcterms:W3CDTF">2015-06-05T18:17:20Z</dcterms:created>
  <dcterms:modified xsi:type="dcterms:W3CDTF">2026-07-06T16:58:27Z</dcterms:modified>
</cp:coreProperties>
</file>